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omments3.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omments4.xml" ContentType="application/vnd.openxmlformats-officedocument.spreadsheetml.comments+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omments5.xml" ContentType="application/vnd.openxmlformats-officedocument.spreadsheetml.comments+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10.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never" codeName="ThisWorkbook" autoCompressPictures="0"/>
  <mc:AlternateContent xmlns:mc="http://schemas.openxmlformats.org/markup-compatibility/2006">
    <mc:Choice Requires="x15">
      <x15ac:absPath xmlns:x15ac="http://schemas.microsoft.com/office/spreadsheetml/2010/11/ac" url="C:\Users\Planner de Mtto\Desktop\PLANNER DE MANTENIMIENTO 2026\"/>
    </mc:Choice>
  </mc:AlternateContent>
  <xr:revisionPtr revIDLastSave="0" documentId="13_ncr:1_{F5975C4A-A558-41A9-87D3-C71FB74C3565}" xr6:coauthVersionLast="47" xr6:coauthVersionMax="47" xr10:uidLastSave="{00000000-0000-0000-0000-000000000000}"/>
  <bookViews>
    <workbookView xWindow="-108" yWindow="-108" windowWidth="23256" windowHeight="13896" tabRatio="635" firstSheet="2" activeTab="6" xr2:uid="{00000000-000D-0000-FFFF-FFFF00000000}"/>
  </bookViews>
  <sheets>
    <sheet name="Instructivo" sheetId="27" r:id="rId1"/>
    <sheet name="Resumen mensual y Gráficas" sheetId="22" state="hidden" r:id="rId2"/>
    <sheet name="Registrio Paros" sheetId="49" r:id="rId3"/>
    <sheet name="Detalle1" sheetId="55" state="hidden" r:id="rId4"/>
    <sheet name="Resumen general" sheetId="50" r:id="rId5"/>
    <sheet name="MTBF" sheetId="53" r:id="rId6"/>
    <sheet name="MTTR" sheetId="54" r:id="rId7"/>
    <sheet name="Análisis PNP por equipo" sheetId="52" r:id="rId8"/>
    <sheet name="Listas" sheetId="3" r:id="rId9"/>
    <sheet name="Pareto ago. 2017" sheetId="28" state="hidden" r:id="rId10"/>
    <sheet name="Pareto nov. 2017" sheetId="36" state="hidden" r:id="rId11"/>
    <sheet name="Pareto Mar.2018" sheetId="39" state="hidden" r:id="rId12"/>
  </sheets>
  <definedNames>
    <definedName name="_xlnm._FilterDatabase" localSheetId="7" hidden="1">'Análisis PNP por equipo'!$B$14:$D$152</definedName>
    <definedName name="_xlnm._FilterDatabase" localSheetId="8" hidden="1">Listas!$A$1:$D$297</definedName>
    <definedName name="_xlnm._FilterDatabase" localSheetId="2" hidden="1">'Registrio Paros'!$D$2:$K$4</definedName>
    <definedName name="_xlchart.v1.0" hidden="1">'Análisis PNP por equipo'!$B$15:$B$152</definedName>
    <definedName name="_xlchart.v1.1" hidden="1">'Análisis PNP por equipo'!$C$15:$C$152</definedName>
    <definedName name="_xlcn.WorksheetConnection_MTTRE6G141" hidden="1">MTTR!$E$6:$G$14</definedName>
    <definedName name="_xlnm.Print_Area" localSheetId="1">'Resumen mensual y Gráficas'!$B$39:$E$72</definedName>
    <definedName name="CLASE">Listas!#REF!</definedName>
    <definedName name="EQUIPO">Listas!#REF!</definedName>
    <definedName name="SECCION">Listas!$C$3:$C$12</definedName>
    <definedName name="TIPO1">Listas!$A$3:$A$5</definedName>
    <definedName name="TIPO2">Listas!$B$8:$B$203</definedName>
  </definedNames>
  <calcPr calcId="191029" concurrentCalc="0"/>
  <pivotCaches>
    <pivotCache cacheId="0" r:id="rId13"/>
    <pivotCache cacheId="23" r:id="rId14"/>
    <pivotCache cacheId="34" r:id="rId15"/>
  </pivotCaches>
  <fileRecoveryPr autoRecover="0"/>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o" name="Rango" connection="WorksheetConnection_MTTR!$E$6:$G$1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54" l="1"/>
  <c r="C25" i="54"/>
  <c r="C10" i="54"/>
  <c r="C12" i="54"/>
  <c r="C9" i="54"/>
  <c r="B12" i="53"/>
  <c r="H2" i="53"/>
  <c r="B10" i="53"/>
  <c r="B9" i="53"/>
  <c r="F517" i="49"/>
  <c r="F519" i="49"/>
  <c r="F520" i="49"/>
  <c r="F489" i="49"/>
  <c r="F490" i="49"/>
  <c r="F491" i="49"/>
  <c r="F495" i="49"/>
  <c r="F546" i="49"/>
  <c r="F545" i="49"/>
  <c r="F544" i="49"/>
  <c r="F543" i="49"/>
  <c r="F542" i="49"/>
  <c r="F541" i="49"/>
  <c r="F540" i="49"/>
  <c r="F539" i="49"/>
  <c r="F538" i="49"/>
  <c r="F537" i="49"/>
  <c r="F536" i="49"/>
  <c r="F535" i="49"/>
  <c r="F534" i="49"/>
  <c r="F533" i="49"/>
  <c r="F532" i="49"/>
  <c r="F531" i="49"/>
  <c r="F530" i="49"/>
  <c r="F529" i="49"/>
  <c r="F528" i="49"/>
  <c r="F527" i="49"/>
  <c r="F526" i="49"/>
  <c r="F525" i="49"/>
  <c r="F524" i="49"/>
  <c r="F523" i="49"/>
  <c r="F522" i="49"/>
  <c r="F521" i="49"/>
  <c r="F518" i="49"/>
  <c r="F516" i="49"/>
  <c r="F515" i="49"/>
  <c r="F514" i="49"/>
  <c r="F513" i="49"/>
  <c r="F512" i="49"/>
  <c r="F511" i="49"/>
  <c r="F510" i="49"/>
  <c r="F509" i="49"/>
  <c r="F508" i="49"/>
  <c r="F507" i="49"/>
  <c r="F506" i="49"/>
  <c r="F505" i="49"/>
  <c r="F504" i="49"/>
  <c r="F503" i="49"/>
  <c r="F502" i="49"/>
  <c r="F501" i="49"/>
  <c r="F500" i="49"/>
  <c r="F499" i="49"/>
  <c r="F498" i="49"/>
  <c r="F497" i="49"/>
  <c r="F496" i="49"/>
  <c r="F494" i="49"/>
  <c r="F493" i="49"/>
  <c r="F492" i="49"/>
  <c r="F488" i="49"/>
  <c r="F487" i="49"/>
  <c r="F486" i="49"/>
  <c r="F485" i="49"/>
  <c r="F484" i="49"/>
  <c r="F483" i="49"/>
  <c r="F482" i="49"/>
  <c r="F481" i="49"/>
  <c r="F480" i="49"/>
  <c r="F479" i="49"/>
  <c r="F478" i="49"/>
  <c r="F477" i="49"/>
  <c r="F476" i="49"/>
  <c r="F475" i="49"/>
  <c r="F474" i="49"/>
  <c r="F473" i="49"/>
  <c r="F472" i="49"/>
  <c r="F471" i="49"/>
  <c r="F470" i="49"/>
  <c r="F469" i="49"/>
  <c r="F468" i="49"/>
  <c r="F467" i="49"/>
  <c r="F466" i="49"/>
  <c r="F465" i="49"/>
  <c r="F464" i="49"/>
  <c r="F463" i="49"/>
  <c r="F462" i="49"/>
  <c r="F461" i="49"/>
  <c r="F460" i="49"/>
  <c r="F459" i="49"/>
  <c r="F458" i="49"/>
  <c r="F457" i="49"/>
  <c r="F456" i="49"/>
  <c r="F455" i="49"/>
  <c r="F454" i="49"/>
  <c r="F453" i="49"/>
  <c r="F452" i="49"/>
  <c r="F451" i="49"/>
  <c r="F450" i="49"/>
  <c r="F449" i="49"/>
  <c r="F448" i="49"/>
  <c r="F447" i="49"/>
  <c r="F446" i="49"/>
  <c r="F445" i="49"/>
  <c r="F444" i="49"/>
  <c r="F443" i="49"/>
  <c r="F442" i="49"/>
  <c r="F441" i="49"/>
  <c r="F440" i="49"/>
  <c r="F439" i="49"/>
  <c r="F438" i="49"/>
  <c r="F437" i="49"/>
  <c r="F436" i="49"/>
  <c r="F435" i="49"/>
  <c r="F434" i="49"/>
  <c r="F433" i="49"/>
  <c r="F432" i="49"/>
  <c r="F431" i="49"/>
  <c r="F430" i="49"/>
  <c r="F429" i="49"/>
  <c r="F428" i="49"/>
  <c r="F427" i="49"/>
  <c r="F426" i="49"/>
  <c r="F425" i="49"/>
  <c r="F424" i="49"/>
  <c r="F423" i="49"/>
  <c r="F422" i="49"/>
  <c r="F421" i="49"/>
  <c r="F420" i="49"/>
  <c r="F419" i="49"/>
  <c r="F418" i="49"/>
  <c r="F417" i="49"/>
  <c r="F416" i="49"/>
  <c r="F415" i="49"/>
  <c r="F414" i="49"/>
  <c r="F413" i="49"/>
  <c r="F412" i="49"/>
  <c r="F411" i="49"/>
  <c r="F410" i="49"/>
  <c r="F409" i="49"/>
  <c r="F408" i="49"/>
  <c r="F407" i="49"/>
  <c r="F406" i="49"/>
  <c r="F405" i="49"/>
  <c r="F404" i="49"/>
  <c r="F403" i="49"/>
  <c r="F402" i="49"/>
  <c r="F401" i="49"/>
  <c r="F400" i="49"/>
  <c r="F399" i="49"/>
  <c r="F398" i="49"/>
  <c r="F397" i="49"/>
  <c r="F396" i="49"/>
  <c r="F395" i="49"/>
  <c r="F394" i="49"/>
  <c r="F393" i="49"/>
  <c r="F392" i="49"/>
  <c r="F391" i="49"/>
  <c r="F390" i="49"/>
  <c r="F389" i="49"/>
  <c r="F388" i="49"/>
  <c r="F387" i="49"/>
  <c r="F386" i="49"/>
  <c r="F385" i="49"/>
  <c r="F384" i="49"/>
  <c r="F383" i="49"/>
  <c r="F382" i="49"/>
  <c r="F381" i="49"/>
  <c r="F380" i="49"/>
  <c r="F379" i="49"/>
  <c r="F378" i="49"/>
  <c r="F377" i="49"/>
  <c r="F376" i="49"/>
  <c r="F375" i="49"/>
  <c r="F374" i="49"/>
  <c r="F373" i="49"/>
  <c r="F372" i="49"/>
  <c r="F371" i="49"/>
  <c r="F370" i="49"/>
  <c r="F369" i="49"/>
  <c r="F368" i="49"/>
  <c r="F367" i="49"/>
  <c r="F366" i="49"/>
  <c r="F365" i="49"/>
  <c r="F364" i="49"/>
  <c r="F363" i="49"/>
  <c r="F362" i="49"/>
  <c r="F361" i="49"/>
  <c r="F360" i="49"/>
  <c r="F359" i="49"/>
  <c r="F358" i="49"/>
  <c r="F357" i="49"/>
  <c r="F356" i="49"/>
  <c r="F355" i="49"/>
  <c r="F354" i="49"/>
  <c r="F353" i="49"/>
  <c r="F352" i="49"/>
  <c r="F351" i="49"/>
  <c r="F350" i="49"/>
  <c r="F349" i="49"/>
  <c r="F348" i="49"/>
  <c r="F347" i="49"/>
  <c r="F346" i="49"/>
  <c r="F345" i="49"/>
  <c r="F344" i="49"/>
  <c r="F343" i="49"/>
  <c r="F342" i="49"/>
  <c r="F341" i="49"/>
  <c r="F340" i="49"/>
  <c r="F339" i="49"/>
  <c r="F338" i="49"/>
  <c r="F337" i="49"/>
  <c r="F336" i="49"/>
  <c r="F335" i="49"/>
  <c r="F334" i="49"/>
  <c r="F333" i="49"/>
  <c r="F332" i="49"/>
  <c r="F331" i="49"/>
  <c r="F330" i="49"/>
  <c r="F329" i="49"/>
  <c r="F328" i="49"/>
  <c r="F327" i="49"/>
  <c r="F326" i="49"/>
  <c r="F325" i="49"/>
  <c r="F324" i="49"/>
  <c r="F323" i="49"/>
  <c r="F322" i="49"/>
  <c r="F321" i="49"/>
  <c r="F320" i="49"/>
  <c r="F319" i="49"/>
  <c r="F318" i="49"/>
  <c r="F317" i="49"/>
  <c r="F316" i="49"/>
  <c r="F315" i="49"/>
  <c r="F314" i="49"/>
  <c r="F313" i="49"/>
  <c r="F312" i="49"/>
  <c r="F311" i="49"/>
  <c r="F310" i="49"/>
  <c r="F309" i="49"/>
  <c r="F308" i="49"/>
  <c r="F307" i="49"/>
  <c r="F306" i="49"/>
  <c r="F305" i="49"/>
  <c r="F304" i="49"/>
  <c r="F303" i="49"/>
  <c r="F302" i="49"/>
  <c r="F301" i="49"/>
  <c r="F300" i="49"/>
  <c r="F299" i="49"/>
  <c r="F298" i="49"/>
  <c r="F297" i="49"/>
  <c r="F296" i="49"/>
  <c r="F295" i="49"/>
  <c r="F294" i="49"/>
  <c r="F293" i="49"/>
  <c r="F292" i="49"/>
  <c r="F291" i="49"/>
  <c r="F290" i="49"/>
  <c r="F289" i="49"/>
  <c r="F288" i="49"/>
  <c r="F287" i="49"/>
  <c r="F286" i="49"/>
  <c r="F285" i="49"/>
  <c r="F284" i="49"/>
  <c r="F283" i="49"/>
  <c r="F282" i="49"/>
  <c r="F281" i="49"/>
  <c r="F280" i="49"/>
  <c r="F279" i="49"/>
  <c r="F278" i="49"/>
  <c r="F277" i="49"/>
  <c r="F276" i="49"/>
  <c r="F275" i="49"/>
  <c r="F274" i="49"/>
  <c r="F273" i="49"/>
  <c r="F272" i="49"/>
  <c r="F271" i="49"/>
  <c r="F270" i="49"/>
  <c r="F269" i="49"/>
  <c r="F268" i="49"/>
  <c r="F267" i="49"/>
  <c r="F266" i="49"/>
  <c r="F265" i="49"/>
  <c r="F264" i="49"/>
  <c r="F263" i="49"/>
  <c r="F262" i="49"/>
  <c r="F261" i="49"/>
  <c r="F260" i="49"/>
  <c r="F259" i="49"/>
  <c r="F258" i="49"/>
  <c r="F257" i="49"/>
  <c r="F256" i="49"/>
  <c r="F255" i="49"/>
  <c r="F254" i="49"/>
  <c r="F253" i="49"/>
  <c r="F252" i="49"/>
  <c r="F251" i="49"/>
  <c r="F250" i="49"/>
  <c r="F249" i="49"/>
  <c r="F248" i="49"/>
  <c r="F247" i="49"/>
  <c r="F246" i="49"/>
  <c r="F245" i="49"/>
  <c r="F244" i="49"/>
  <c r="F243" i="49"/>
  <c r="F242" i="49"/>
  <c r="F241" i="49"/>
  <c r="F240" i="49"/>
  <c r="F239" i="49"/>
  <c r="F238" i="49"/>
  <c r="F237" i="49"/>
  <c r="F236" i="49"/>
  <c r="F235" i="49"/>
  <c r="F234" i="49"/>
  <c r="F233" i="49"/>
  <c r="F232" i="49"/>
  <c r="F231" i="49"/>
  <c r="F230" i="49"/>
  <c r="F229" i="49"/>
  <c r="F228" i="49"/>
  <c r="F227" i="49"/>
  <c r="F226" i="49"/>
  <c r="F225" i="49"/>
  <c r="F224" i="49"/>
  <c r="F223" i="49"/>
  <c r="F222" i="49"/>
  <c r="F221" i="49"/>
  <c r="F220" i="49"/>
  <c r="F219" i="49"/>
  <c r="F218" i="49"/>
  <c r="F217" i="49"/>
  <c r="F216" i="49"/>
  <c r="F215" i="49"/>
  <c r="F214" i="49"/>
  <c r="F213" i="49"/>
  <c r="F212" i="49"/>
  <c r="F211" i="49"/>
  <c r="F210" i="49"/>
  <c r="F209" i="49"/>
  <c r="F208" i="49"/>
  <c r="F207" i="49"/>
  <c r="F206" i="49"/>
  <c r="F205" i="49"/>
  <c r="F204" i="49"/>
  <c r="F203" i="49"/>
  <c r="F202" i="49"/>
  <c r="F201" i="49"/>
  <c r="F200" i="49"/>
  <c r="F199" i="49"/>
  <c r="F198" i="49"/>
  <c r="F197" i="49"/>
  <c r="F196" i="49"/>
  <c r="F195" i="49"/>
  <c r="F194" i="49"/>
  <c r="F193" i="49"/>
  <c r="F192" i="49"/>
  <c r="F191" i="49"/>
  <c r="F190" i="49"/>
  <c r="F189" i="49"/>
  <c r="F188" i="49"/>
  <c r="F187" i="49"/>
  <c r="F186" i="49"/>
  <c r="F185" i="49"/>
  <c r="F184" i="49"/>
  <c r="F183" i="49"/>
  <c r="F182" i="49"/>
  <c r="F181" i="49"/>
  <c r="F180" i="49"/>
  <c r="F179" i="49"/>
  <c r="F178" i="49"/>
  <c r="F177" i="49"/>
  <c r="F176" i="49"/>
  <c r="F175" i="49"/>
  <c r="F174" i="49"/>
  <c r="F173" i="49"/>
  <c r="F172" i="49"/>
  <c r="F171" i="49"/>
  <c r="F170" i="49"/>
  <c r="F169" i="49"/>
  <c r="F168" i="49"/>
  <c r="F167" i="49"/>
  <c r="F166" i="49"/>
  <c r="F165" i="49"/>
  <c r="F164" i="49"/>
  <c r="F163" i="49"/>
  <c r="F162" i="49"/>
  <c r="F161" i="49"/>
  <c r="F160" i="49"/>
  <c r="F159" i="49"/>
  <c r="F158" i="49"/>
  <c r="F157" i="49"/>
  <c r="F156" i="49"/>
  <c r="F155" i="49"/>
  <c r="F154" i="49"/>
  <c r="F153" i="49"/>
  <c r="F152" i="49"/>
  <c r="F151" i="49"/>
  <c r="F150" i="49"/>
  <c r="F149" i="49"/>
  <c r="F148" i="49"/>
  <c r="F147" i="49"/>
  <c r="F146" i="49"/>
  <c r="F145" i="49"/>
  <c r="F144" i="49"/>
  <c r="F143" i="49"/>
  <c r="F142" i="49"/>
  <c r="F141" i="49"/>
  <c r="F140" i="49"/>
  <c r="F139" i="49"/>
  <c r="F138" i="49"/>
  <c r="F137" i="49"/>
  <c r="F136" i="49"/>
  <c r="F135" i="49"/>
  <c r="F134" i="49"/>
  <c r="F133" i="49"/>
  <c r="F132" i="49"/>
  <c r="F131" i="49"/>
  <c r="F130" i="49"/>
  <c r="F129" i="49"/>
  <c r="F128" i="49"/>
  <c r="F127" i="49"/>
  <c r="F126" i="49"/>
  <c r="F125" i="49"/>
  <c r="F124" i="49"/>
  <c r="F123" i="49"/>
  <c r="F122" i="49"/>
  <c r="F121" i="49"/>
  <c r="F120" i="49"/>
  <c r="F119" i="49"/>
  <c r="F118" i="49"/>
  <c r="F117" i="49"/>
  <c r="F116" i="49"/>
  <c r="F115" i="49"/>
  <c r="F114" i="49"/>
  <c r="F113" i="49"/>
  <c r="F112" i="49"/>
  <c r="F111" i="49"/>
  <c r="F110" i="49"/>
  <c r="F109" i="49"/>
  <c r="F108" i="49"/>
  <c r="F107" i="49"/>
  <c r="F106" i="49"/>
  <c r="F105" i="49"/>
  <c r="F104" i="49"/>
  <c r="F103" i="49"/>
  <c r="F102" i="49"/>
  <c r="F101" i="49"/>
  <c r="F100" i="49"/>
  <c r="F99" i="49"/>
  <c r="F98" i="49"/>
  <c r="F97" i="49"/>
  <c r="F96" i="49"/>
  <c r="F95" i="49"/>
  <c r="F94" i="49"/>
  <c r="F93" i="49"/>
  <c r="F92" i="49"/>
  <c r="F91" i="49"/>
  <c r="F90" i="49"/>
  <c r="F89" i="49"/>
  <c r="F88" i="49"/>
  <c r="F87" i="49"/>
  <c r="F86" i="49"/>
  <c r="F85" i="49"/>
  <c r="F84" i="49"/>
  <c r="F83" i="49"/>
  <c r="F82" i="49"/>
  <c r="F81" i="49"/>
  <c r="F80" i="49"/>
  <c r="F79" i="49"/>
  <c r="F78" i="49"/>
  <c r="F77" i="49"/>
  <c r="F76" i="49"/>
  <c r="F75" i="49"/>
  <c r="F74" i="49"/>
  <c r="F73" i="49"/>
  <c r="F72" i="49"/>
  <c r="F71" i="49"/>
  <c r="F70" i="49"/>
  <c r="F69" i="49"/>
  <c r="F68" i="49"/>
  <c r="F67" i="49"/>
  <c r="F66" i="49"/>
  <c r="F65" i="49"/>
  <c r="F64" i="49"/>
  <c r="F63" i="49"/>
  <c r="F62" i="49"/>
  <c r="F61" i="49"/>
  <c r="F60" i="49"/>
  <c r="F59" i="49"/>
  <c r="F58" i="49"/>
  <c r="F57" i="49"/>
  <c r="F56" i="49"/>
  <c r="F55" i="49"/>
  <c r="F54" i="49"/>
  <c r="F53" i="49"/>
  <c r="F52" i="49"/>
  <c r="F51" i="49"/>
  <c r="F50" i="49"/>
  <c r="F49" i="49"/>
  <c r="F48" i="49"/>
  <c r="F47" i="49"/>
  <c r="F46" i="49"/>
  <c r="F45" i="49"/>
  <c r="F44" i="49"/>
  <c r="F43" i="49"/>
  <c r="F42" i="49"/>
  <c r="F41" i="49"/>
  <c r="F40" i="49"/>
  <c r="F39" i="49"/>
  <c r="F38" i="49"/>
  <c r="F37" i="49"/>
  <c r="F36" i="49"/>
  <c r="F35" i="49"/>
  <c r="F34" i="49"/>
  <c r="F33" i="49"/>
  <c r="F32" i="49"/>
  <c r="F31" i="49"/>
  <c r="F30" i="49"/>
  <c r="F29" i="49"/>
  <c r="F28" i="49"/>
  <c r="F27" i="49"/>
  <c r="F26" i="49"/>
  <c r="F25" i="49"/>
  <c r="F24" i="49"/>
  <c r="F23" i="49"/>
  <c r="F22" i="49"/>
  <c r="F21" i="49"/>
  <c r="F20" i="49"/>
  <c r="F19" i="49"/>
  <c r="F18" i="49"/>
  <c r="F17" i="49"/>
  <c r="F16" i="49"/>
  <c r="F15" i="49"/>
  <c r="F14" i="49"/>
  <c r="F13" i="49"/>
  <c r="F12" i="49"/>
  <c r="F11" i="49"/>
  <c r="F10" i="49"/>
  <c r="F9" i="49"/>
  <c r="F8" i="49"/>
  <c r="F7" i="49"/>
  <c r="E15" i="50"/>
  <c r="E17" i="50"/>
  <c r="E18" i="50"/>
  <c r="E16" i="50"/>
  <c r="E19" i="50"/>
  <c r="E20" i="50"/>
  <c r="E23" i="50"/>
  <c r="B525" i="49"/>
  <c r="C525" i="49"/>
  <c r="B530" i="49"/>
  <c r="B531" i="49"/>
  <c r="B532" i="49"/>
  <c r="B533" i="49"/>
  <c r="B534" i="49"/>
  <c r="B535" i="49"/>
  <c r="B536" i="49"/>
  <c r="B537" i="49"/>
  <c r="B538" i="49"/>
  <c r="B539" i="49"/>
  <c r="B540" i="49"/>
  <c r="B541" i="49"/>
  <c r="B542" i="49"/>
  <c r="B543" i="49"/>
  <c r="B544" i="49"/>
  <c r="B545" i="49"/>
  <c r="B546" i="49"/>
  <c r="C530" i="49"/>
  <c r="C531" i="49"/>
  <c r="C532" i="49"/>
  <c r="C533" i="49"/>
  <c r="C534" i="49"/>
  <c r="C535" i="49"/>
  <c r="C536" i="49"/>
  <c r="C537" i="49"/>
  <c r="C538" i="49"/>
  <c r="C539" i="49"/>
  <c r="C540" i="49"/>
  <c r="C541" i="49"/>
  <c r="C542" i="49"/>
  <c r="C543" i="49"/>
  <c r="C544" i="49"/>
  <c r="C545" i="49"/>
  <c r="C546" i="49"/>
  <c r="B529" i="49"/>
  <c r="C529" i="49"/>
  <c r="B521" i="49"/>
  <c r="B522" i="49"/>
  <c r="B523" i="49"/>
  <c r="B524" i="49"/>
  <c r="B526" i="49"/>
  <c r="B527" i="49"/>
  <c r="B528" i="49"/>
  <c r="C521" i="49"/>
  <c r="C522" i="49"/>
  <c r="C523" i="49"/>
  <c r="C524" i="49"/>
  <c r="C526" i="49"/>
  <c r="C527" i="49"/>
  <c r="C528" i="49"/>
  <c r="B520" i="49"/>
  <c r="C520" i="49"/>
  <c r="B519" i="49"/>
  <c r="C519" i="49"/>
  <c r="B518" i="49"/>
  <c r="C518" i="49"/>
  <c r="B517" i="49"/>
  <c r="C517" i="49"/>
  <c r="B516" i="49"/>
  <c r="C516" i="49"/>
  <c r="B515" i="49"/>
  <c r="C515" i="49"/>
  <c r="B514" i="49"/>
  <c r="C514" i="49"/>
  <c r="B513" i="49"/>
  <c r="C513" i="49"/>
  <c r="B512" i="49"/>
  <c r="C512" i="49"/>
  <c r="B511" i="49"/>
  <c r="C511" i="49"/>
  <c r="B510" i="49"/>
  <c r="C510" i="49"/>
  <c r="B506" i="49"/>
  <c r="B507" i="49"/>
  <c r="B508" i="49"/>
  <c r="B509" i="49"/>
  <c r="C506" i="49"/>
  <c r="C507" i="49"/>
  <c r="C508" i="49"/>
  <c r="C509" i="49"/>
  <c r="B505" i="49"/>
  <c r="C505" i="49"/>
  <c r="B504" i="49"/>
  <c r="C504" i="49"/>
  <c r="B503" i="49"/>
  <c r="C503" i="49"/>
  <c r="B502" i="49"/>
  <c r="C502" i="49"/>
  <c r="B501" i="49"/>
  <c r="C501" i="49"/>
  <c r="B500" i="49"/>
  <c r="C500" i="49"/>
  <c r="B499" i="49"/>
  <c r="C499" i="49"/>
  <c r="B498" i="49"/>
  <c r="C498" i="49"/>
  <c r="B497" i="49"/>
  <c r="C497" i="49"/>
  <c r="B496" i="49"/>
  <c r="C496" i="49"/>
  <c r="B495" i="49"/>
  <c r="C495" i="49"/>
  <c r="B494" i="49"/>
  <c r="C494" i="49"/>
  <c r="C493" i="49"/>
  <c r="C492" i="49"/>
  <c r="C489" i="49"/>
  <c r="C490" i="49"/>
  <c r="C491" i="49"/>
  <c r="B493" i="49"/>
  <c r="B492" i="49"/>
  <c r="B491" i="49"/>
  <c r="B490" i="49"/>
  <c r="B489" i="49"/>
  <c r="B25" i="53"/>
  <c r="B488" i="49"/>
  <c r="C488" i="49"/>
  <c r="C467" i="49"/>
  <c r="C466" i="49"/>
  <c r="C465" i="49"/>
  <c r="C464" i="49"/>
  <c r="C463" i="49"/>
  <c r="C462" i="49"/>
  <c r="C461" i="49"/>
  <c r="C460" i="49"/>
  <c r="C459" i="49"/>
  <c r="C458" i="49"/>
  <c r="C457" i="49"/>
  <c r="C456" i="49"/>
  <c r="C455" i="49"/>
  <c r="C454" i="49"/>
  <c r="C453" i="49"/>
  <c r="C452" i="49"/>
  <c r="C451" i="49"/>
  <c r="C450" i="49"/>
  <c r="C449" i="49"/>
  <c r="C448" i="49"/>
  <c r="C447" i="49"/>
  <c r="C446" i="49"/>
  <c r="C445" i="49"/>
  <c r="C444" i="49"/>
  <c r="C443" i="49"/>
  <c r="C442" i="49"/>
  <c r="C441" i="49"/>
  <c r="C440" i="49"/>
  <c r="C439" i="49"/>
  <c r="C438" i="49"/>
  <c r="C437" i="49"/>
  <c r="C436" i="49"/>
  <c r="C435" i="49"/>
  <c r="C434" i="49"/>
  <c r="C433" i="49"/>
  <c r="C432" i="49"/>
  <c r="C431" i="49"/>
  <c r="C430" i="49"/>
  <c r="B487" i="49"/>
  <c r="C487" i="49"/>
  <c r="B486" i="49"/>
  <c r="C486" i="49"/>
  <c r="B485" i="49"/>
  <c r="C485" i="49"/>
  <c r="B484" i="49"/>
  <c r="C484" i="49"/>
  <c r="B483" i="49"/>
  <c r="C483" i="49"/>
  <c r="B482" i="49"/>
  <c r="C482" i="49"/>
  <c r="B481" i="49"/>
  <c r="C481" i="49"/>
  <c r="B480" i="49"/>
  <c r="C480" i="49"/>
  <c r="B479" i="49"/>
  <c r="C479" i="49"/>
  <c r="B478" i="49"/>
  <c r="C478" i="49"/>
  <c r="B477" i="49"/>
  <c r="C477" i="49"/>
  <c r="B476" i="49"/>
  <c r="C476" i="49"/>
  <c r="B475" i="49"/>
  <c r="C475" i="49"/>
  <c r="B474" i="49"/>
  <c r="C474" i="49"/>
  <c r="B473" i="49"/>
  <c r="C473" i="49"/>
  <c r="B472" i="49"/>
  <c r="C472" i="49"/>
  <c r="B471" i="49"/>
  <c r="C471" i="49"/>
  <c r="F15" i="50"/>
  <c r="F16" i="50"/>
  <c r="F19" i="50"/>
  <c r="F20" i="50"/>
  <c r="F23" i="50"/>
  <c r="E21" i="50"/>
  <c r="B359" i="49"/>
  <c r="B360" i="49"/>
  <c r="C359" i="49"/>
  <c r="C360" i="49"/>
  <c r="B361" i="49"/>
  <c r="B362" i="49"/>
  <c r="C361" i="49"/>
  <c r="C362" i="49"/>
  <c r="B363" i="49"/>
  <c r="C363" i="49"/>
  <c r="B386" i="49"/>
  <c r="B387" i="49"/>
  <c r="B388" i="49"/>
  <c r="B389" i="49"/>
  <c r="C386" i="49"/>
  <c r="C387" i="49"/>
  <c r="C388" i="49"/>
  <c r="C389" i="49"/>
  <c r="B390" i="49"/>
  <c r="B391" i="49"/>
  <c r="C390" i="49"/>
  <c r="C391" i="49"/>
  <c r="B392" i="49"/>
  <c r="C392" i="49"/>
  <c r="B393" i="49"/>
  <c r="C393" i="49"/>
  <c r="C423" i="49"/>
  <c r="C424" i="49"/>
  <c r="C425" i="49"/>
  <c r="C426" i="49"/>
  <c r="C427" i="49"/>
  <c r="C428" i="49"/>
  <c r="C429" i="49"/>
  <c r="C395" i="49"/>
  <c r="C396" i="49"/>
  <c r="C397" i="49"/>
  <c r="C398" i="49"/>
  <c r="C399" i="49"/>
  <c r="C400" i="49"/>
  <c r="C401" i="49"/>
  <c r="C402" i="49"/>
  <c r="C403" i="49"/>
  <c r="C404" i="49"/>
  <c r="C405" i="49"/>
  <c r="C406" i="49"/>
  <c r="C407" i="49"/>
  <c r="C408" i="49"/>
  <c r="C409" i="49"/>
  <c r="C410" i="49"/>
  <c r="C411" i="49"/>
  <c r="C412" i="49"/>
  <c r="C413" i="49"/>
  <c r="C414" i="49"/>
  <c r="C415" i="49"/>
  <c r="C416" i="49"/>
  <c r="C417" i="49"/>
  <c r="C418" i="49"/>
  <c r="C419" i="49"/>
  <c r="C420" i="49"/>
  <c r="C421" i="49"/>
  <c r="C422" i="49"/>
  <c r="B58" i="50"/>
  <c r="B381" i="49"/>
  <c r="C381" i="49"/>
  <c r="C380" i="49"/>
  <c r="C382" i="49"/>
  <c r="C383" i="49"/>
  <c r="C384" i="49"/>
  <c r="C385" i="49"/>
  <c r="C394" i="49"/>
  <c r="C358" i="49"/>
  <c r="C364" i="49"/>
  <c r="C365" i="49"/>
  <c r="C366" i="49"/>
  <c r="C367" i="49"/>
  <c r="C368" i="49"/>
  <c r="C369" i="49"/>
  <c r="C370" i="49"/>
  <c r="C371" i="49"/>
  <c r="C372" i="49"/>
  <c r="C373" i="49"/>
  <c r="C374" i="49"/>
  <c r="C375" i="49"/>
  <c r="C376" i="49"/>
  <c r="C377" i="49"/>
  <c r="C378" i="49"/>
  <c r="C379" i="49"/>
  <c r="B343" i="49"/>
  <c r="C343" i="49"/>
  <c r="B344" i="49"/>
  <c r="C344" i="49"/>
  <c r="B470" i="49"/>
  <c r="C470" i="49"/>
  <c r="B469" i="49"/>
  <c r="C469" i="49"/>
  <c r="B468" i="49"/>
  <c r="C468" i="49"/>
  <c r="C351" i="49"/>
  <c r="C352" i="49"/>
  <c r="C353" i="49"/>
  <c r="C354" i="49"/>
  <c r="C355" i="49"/>
  <c r="C356" i="49"/>
  <c r="C357" i="49"/>
  <c r="C340" i="49"/>
  <c r="C341" i="49"/>
  <c r="C342" i="49"/>
  <c r="C345" i="49"/>
  <c r="C346" i="49"/>
  <c r="C347" i="49"/>
  <c r="C348" i="49"/>
  <c r="C349" i="49"/>
  <c r="C350" i="49"/>
  <c r="C331" i="49"/>
  <c r="C332" i="49"/>
  <c r="C333" i="49"/>
  <c r="C334" i="49"/>
  <c r="C335" i="49"/>
  <c r="C336" i="49"/>
  <c r="C337" i="49"/>
  <c r="C338" i="49"/>
  <c r="C339" i="49"/>
  <c r="C326" i="49"/>
  <c r="C327" i="49"/>
  <c r="C328" i="49"/>
  <c r="C324" i="49"/>
  <c r="C325" i="49"/>
  <c r="C329" i="49"/>
  <c r="C330" i="49"/>
  <c r="C310" i="49"/>
  <c r="C311" i="49"/>
  <c r="C312" i="49"/>
  <c r="C313" i="49"/>
  <c r="C314" i="49"/>
  <c r="C315" i="49"/>
  <c r="C316" i="49"/>
  <c r="C317" i="49"/>
  <c r="C318" i="49"/>
  <c r="C319" i="49"/>
  <c r="C320" i="49"/>
  <c r="C321" i="49"/>
  <c r="C322" i="49"/>
  <c r="C323" i="49"/>
  <c r="C300" i="49"/>
  <c r="C301" i="49"/>
  <c r="C302" i="49"/>
  <c r="C303" i="49"/>
  <c r="C304" i="49"/>
  <c r="C305" i="49"/>
  <c r="C306" i="49"/>
  <c r="C307" i="49"/>
  <c r="C308" i="49"/>
  <c r="C309" i="49"/>
  <c r="C279" i="49"/>
  <c r="C280" i="49"/>
  <c r="C281" i="49"/>
  <c r="C282" i="49"/>
  <c r="C283" i="49"/>
  <c r="C284" i="49"/>
  <c r="C285" i="49"/>
  <c r="C286" i="49"/>
  <c r="C287" i="49"/>
  <c r="C288" i="49"/>
  <c r="C289" i="49"/>
  <c r="C290" i="49"/>
  <c r="C291" i="49"/>
  <c r="C292" i="49"/>
  <c r="C293" i="49"/>
  <c r="C294" i="49"/>
  <c r="C295" i="49"/>
  <c r="C296" i="49"/>
  <c r="C297" i="49"/>
  <c r="C298" i="49"/>
  <c r="C299" i="49"/>
  <c r="C267" i="49"/>
  <c r="C268" i="49"/>
  <c r="C269" i="49"/>
  <c r="C270" i="49"/>
  <c r="C271" i="49"/>
  <c r="C272" i="49"/>
  <c r="C273" i="49"/>
  <c r="C274" i="49"/>
  <c r="C275" i="49"/>
  <c r="C276" i="49"/>
  <c r="C277" i="49"/>
  <c r="C278" i="49"/>
  <c r="C261" i="49"/>
  <c r="C262" i="49"/>
  <c r="C263" i="49"/>
  <c r="C264" i="49"/>
  <c r="C265" i="49"/>
  <c r="C266" i="49"/>
  <c r="C244" i="49"/>
  <c r="C245" i="49"/>
  <c r="C246" i="49"/>
  <c r="C247" i="49"/>
  <c r="C248" i="49"/>
  <c r="C249" i="49"/>
  <c r="C250" i="49"/>
  <c r="C237" i="49"/>
  <c r="C238" i="49"/>
  <c r="C239" i="49"/>
  <c r="C240" i="49"/>
  <c r="C241" i="49"/>
  <c r="C242" i="49"/>
  <c r="C243" i="49"/>
  <c r="C251" i="49"/>
  <c r="C252" i="49"/>
  <c r="C253" i="49"/>
  <c r="C254" i="49"/>
  <c r="C255" i="49"/>
  <c r="C256" i="49"/>
  <c r="C257" i="49"/>
  <c r="C258" i="49"/>
  <c r="C259" i="49"/>
  <c r="C260" i="49"/>
  <c r="C222" i="49"/>
  <c r="C223" i="49"/>
  <c r="C224" i="49"/>
  <c r="C225" i="49"/>
  <c r="C226" i="49"/>
  <c r="C227" i="49"/>
  <c r="C228" i="49"/>
  <c r="C229" i="49"/>
  <c r="C230" i="49"/>
  <c r="C231" i="49"/>
  <c r="C232" i="49"/>
  <c r="C233" i="49"/>
  <c r="C234" i="49"/>
  <c r="C235" i="49"/>
  <c r="C236" i="49"/>
  <c r="C215" i="49"/>
  <c r="C216" i="49"/>
  <c r="C217" i="49"/>
  <c r="C218" i="49"/>
  <c r="C219" i="49"/>
  <c r="C220" i="49"/>
  <c r="C221" i="49"/>
  <c r="F21" i="50"/>
  <c r="C210" i="49"/>
  <c r="C211" i="49"/>
  <c r="C212" i="49"/>
  <c r="C213" i="49"/>
  <c r="C214" i="49"/>
  <c r="C198" i="49"/>
  <c r="C199" i="49"/>
  <c r="C200" i="49"/>
  <c r="C201" i="49"/>
  <c r="C202" i="49"/>
  <c r="C203" i="49"/>
  <c r="C204" i="49"/>
  <c r="C205" i="49"/>
  <c r="C206" i="49"/>
  <c r="C207" i="49"/>
  <c r="C208" i="49"/>
  <c r="C209" i="49"/>
  <c r="B178" i="49"/>
  <c r="C178" i="49"/>
  <c r="B179" i="49"/>
  <c r="C179" i="49"/>
  <c r="C173" i="49"/>
  <c r="C174" i="49"/>
  <c r="C175" i="49"/>
  <c r="C176" i="49"/>
  <c r="C177" i="49"/>
  <c r="C180" i="49"/>
  <c r="C181" i="49"/>
  <c r="C182" i="49"/>
  <c r="C183" i="49"/>
  <c r="C184" i="49"/>
  <c r="C185" i="49"/>
  <c r="C186" i="49"/>
  <c r="C187" i="49"/>
  <c r="C188" i="49"/>
  <c r="C189" i="49"/>
  <c r="C190" i="49"/>
  <c r="C191" i="49"/>
  <c r="C192" i="49"/>
  <c r="C193" i="49"/>
  <c r="C194" i="49"/>
  <c r="C195" i="49"/>
  <c r="C196" i="49"/>
  <c r="C197" i="49"/>
  <c r="C160" i="49"/>
  <c r="C161" i="49"/>
  <c r="C162" i="49"/>
  <c r="C163" i="49"/>
  <c r="C164" i="49"/>
  <c r="C165" i="49"/>
  <c r="C166" i="49"/>
  <c r="C167" i="49"/>
  <c r="C168" i="49"/>
  <c r="C169" i="49"/>
  <c r="C170" i="49"/>
  <c r="C171" i="49"/>
  <c r="C172" i="49"/>
  <c r="C140" i="49"/>
  <c r="C141" i="49"/>
  <c r="C142" i="49"/>
  <c r="C143" i="49"/>
  <c r="C144" i="49"/>
  <c r="C145" i="49"/>
  <c r="C146" i="49"/>
  <c r="C147" i="49"/>
  <c r="C148" i="49"/>
  <c r="C149" i="49"/>
  <c r="C150" i="49"/>
  <c r="C151" i="49"/>
  <c r="C152" i="49"/>
  <c r="C153" i="49"/>
  <c r="C154" i="49"/>
  <c r="C155" i="49"/>
  <c r="C156" i="49"/>
  <c r="C157" i="49"/>
  <c r="C158" i="49"/>
  <c r="C159" i="49"/>
  <c r="B113" i="49"/>
  <c r="C113" i="49"/>
  <c r="C105" i="49"/>
  <c r="C107" i="49"/>
  <c r="B107" i="49"/>
  <c r="C91" i="49"/>
  <c r="C92" i="49"/>
  <c r="C93" i="49"/>
  <c r="B48" i="49"/>
  <c r="B49" i="49"/>
  <c r="B50" i="49"/>
  <c r="B51" i="49"/>
  <c r="B52" i="49"/>
  <c r="B53" i="49"/>
  <c r="B54" i="49"/>
  <c r="B55" i="49"/>
  <c r="B56" i="49"/>
  <c r="B57" i="49"/>
  <c r="B58" i="49"/>
  <c r="B59" i="49"/>
  <c r="B60" i="49"/>
  <c r="B61" i="49"/>
  <c r="B62" i="49"/>
  <c r="B63" i="49"/>
  <c r="B64" i="49"/>
  <c r="B65" i="49"/>
  <c r="B66" i="49"/>
  <c r="B67" i="49"/>
  <c r="B68" i="49"/>
  <c r="B69" i="49"/>
  <c r="B70" i="49"/>
  <c r="B71" i="49"/>
  <c r="B72" i="49"/>
  <c r="B73" i="49"/>
  <c r="B74" i="49"/>
  <c r="B75" i="49"/>
  <c r="B76" i="49"/>
  <c r="B77" i="49"/>
  <c r="B78" i="49"/>
  <c r="B79" i="49"/>
  <c r="B80" i="49"/>
  <c r="B81" i="49"/>
  <c r="B82" i="49"/>
  <c r="B83" i="49"/>
  <c r="B84" i="49"/>
  <c r="B85" i="49"/>
  <c r="B86" i="49"/>
  <c r="B87" i="49"/>
  <c r="B88" i="49"/>
  <c r="B89" i="49"/>
  <c r="B90" i="49"/>
  <c r="B94" i="49"/>
  <c r="B39" i="49"/>
  <c r="B40" i="49"/>
  <c r="C39" i="49"/>
  <c r="C40" i="49"/>
  <c r="B38" i="49"/>
  <c r="C38" i="49"/>
  <c r="B16" i="52"/>
  <c r="B17" i="52"/>
  <c r="B18" i="52"/>
  <c r="B19" i="52"/>
  <c r="B20" i="52"/>
  <c r="B21" i="52"/>
  <c r="B22" i="52"/>
  <c r="B23" i="52"/>
  <c r="B24" i="52"/>
  <c r="B25" i="52"/>
  <c r="B26" i="52"/>
  <c r="B27" i="52"/>
  <c r="B28" i="52"/>
  <c r="B29" i="52"/>
  <c r="B30" i="52"/>
  <c r="B31" i="52"/>
  <c r="B32" i="52"/>
  <c r="B33" i="52"/>
  <c r="B34" i="52"/>
  <c r="B35" i="52"/>
  <c r="B36" i="52"/>
  <c r="B37" i="52"/>
  <c r="B38" i="52"/>
  <c r="B39" i="52"/>
  <c r="B40" i="52"/>
  <c r="B41" i="52"/>
  <c r="B42" i="52"/>
  <c r="B43" i="52"/>
  <c r="B44" i="52"/>
  <c r="B45" i="52"/>
  <c r="B46" i="52"/>
  <c r="B47" i="52"/>
  <c r="B48" i="52"/>
  <c r="B49" i="52"/>
  <c r="B50" i="52"/>
  <c r="B51" i="52"/>
  <c r="B52" i="52"/>
  <c r="B53" i="52"/>
  <c r="B54" i="52"/>
  <c r="B55" i="52"/>
  <c r="B56" i="52"/>
  <c r="B57" i="52"/>
  <c r="B58" i="52"/>
  <c r="B59" i="52"/>
  <c r="B60" i="52"/>
  <c r="B61" i="52"/>
  <c r="B62" i="52"/>
  <c r="B63" i="52"/>
  <c r="B64" i="52"/>
  <c r="B65" i="52"/>
  <c r="B66" i="52"/>
  <c r="B67" i="52"/>
  <c r="B68" i="52"/>
  <c r="B69" i="52"/>
  <c r="B70" i="52"/>
  <c r="B71" i="52"/>
  <c r="B72" i="52"/>
  <c r="B73" i="52"/>
  <c r="B74" i="52"/>
  <c r="B75" i="52"/>
  <c r="B76" i="52"/>
  <c r="B77" i="52"/>
  <c r="B78" i="52"/>
  <c r="B79" i="52"/>
  <c r="B80" i="52"/>
  <c r="B81" i="52"/>
  <c r="B82" i="52"/>
  <c r="B83" i="52"/>
  <c r="B84" i="52"/>
  <c r="B85" i="52"/>
  <c r="B86" i="52"/>
  <c r="B87" i="52"/>
  <c r="B88" i="52"/>
  <c r="B89" i="52"/>
  <c r="B90" i="52"/>
  <c r="B91" i="52"/>
  <c r="B92" i="52"/>
  <c r="B93" i="52"/>
  <c r="B94" i="52"/>
  <c r="B95" i="52"/>
  <c r="B96" i="52"/>
  <c r="B97" i="52"/>
  <c r="B98" i="52"/>
  <c r="B99" i="52"/>
  <c r="B100" i="52"/>
  <c r="B101" i="52"/>
  <c r="B102" i="52"/>
  <c r="B103" i="52"/>
  <c r="B104" i="52"/>
  <c r="B105" i="52"/>
  <c r="B106" i="52"/>
  <c r="B107" i="52"/>
  <c r="B108" i="52"/>
  <c r="B109" i="52"/>
  <c r="B110" i="52"/>
  <c r="B111" i="52"/>
  <c r="B112" i="52"/>
  <c r="B113" i="52"/>
  <c r="B114" i="52"/>
  <c r="B115" i="52"/>
  <c r="B116" i="52"/>
  <c r="B117" i="52"/>
  <c r="B118" i="52"/>
  <c r="B119" i="52"/>
  <c r="B120" i="52"/>
  <c r="B121" i="52"/>
  <c r="B122" i="52"/>
  <c r="B123" i="52"/>
  <c r="B124" i="52"/>
  <c r="B125" i="52"/>
  <c r="B126" i="52"/>
  <c r="B127" i="52"/>
  <c r="B128" i="52"/>
  <c r="B129" i="52"/>
  <c r="B130" i="52"/>
  <c r="B131" i="52"/>
  <c r="B132" i="52"/>
  <c r="B133" i="52"/>
  <c r="B134" i="52"/>
  <c r="B135" i="52"/>
  <c r="B136" i="52"/>
  <c r="B137" i="52"/>
  <c r="B138" i="52"/>
  <c r="B139" i="52"/>
  <c r="B140" i="52"/>
  <c r="B141" i="52"/>
  <c r="B142" i="52"/>
  <c r="B143" i="52"/>
  <c r="B144" i="52"/>
  <c r="B145" i="52"/>
  <c r="B146" i="52"/>
  <c r="B147" i="52"/>
  <c r="B148" i="52"/>
  <c r="B149" i="52"/>
  <c r="B150" i="52"/>
  <c r="B151" i="52"/>
  <c r="B152" i="52"/>
  <c r="B15" i="52"/>
  <c r="B21" i="49"/>
  <c r="C21" i="49"/>
  <c r="B22" i="49"/>
  <c r="C22" i="49"/>
  <c r="B23" i="49"/>
  <c r="C23" i="49"/>
  <c r="B24" i="49"/>
  <c r="C24" i="49"/>
  <c r="B25" i="49"/>
  <c r="C25" i="49"/>
  <c r="B26" i="49"/>
  <c r="C26" i="49"/>
  <c r="B27" i="49"/>
  <c r="C27" i="49"/>
  <c r="B28" i="49"/>
  <c r="C28" i="49"/>
  <c r="B29" i="49"/>
  <c r="C29" i="49"/>
  <c r="B30" i="49"/>
  <c r="C30" i="49"/>
  <c r="B31" i="49"/>
  <c r="C31" i="49"/>
  <c r="B32" i="49"/>
  <c r="C32" i="49"/>
  <c r="B33" i="49"/>
  <c r="C33" i="49"/>
  <c r="B34" i="49"/>
  <c r="C34" i="49"/>
  <c r="B35" i="49"/>
  <c r="C35" i="49"/>
  <c r="B36" i="49"/>
  <c r="C36" i="49"/>
  <c r="B37" i="49"/>
  <c r="C37" i="49"/>
  <c r="B41" i="49"/>
  <c r="C41" i="49"/>
  <c r="B42" i="49"/>
  <c r="C42" i="49"/>
  <c r="B43" i="49"/>
  <c r="C43" i="49"/>
  <c r="B44" i="49"/>
  <c r="C44" i="49"/>
  <c r="B45" i="49"/>
  <c r="C45" i="49"/>
  <c r="B46" i="49"/>
  <c r="C46" i="49"/>
  <c r="B47" i="49"/>
  <c r="C47" i="49"/>
  <c r="C48" i="49"/>
  <c r="C49" i="49"/>
  <c r="C50" i="49"/>
  <c r="C51" i="49"/>
  <c r="C52" i="49"/>
  <c r="C53" i="49"/>
  <c r="C54" i="49"/>
  <c r="C55" i="49"/>
  <c r="C56" i="49"/>
  <c r="C57" i="49"/>
  <c r="C58" i="49"/>
  <c r="C59" i="49"/>
  <c r="C60" i="49"/>
  <c r="C61" i="49"/>
  <c r="C62" i="49"/>
  <c r="C63" i="49"/>
  <c r="C64" i="49"/>
  <c r="C65" i="49"/>
  <c r="C66" i="49"/>
  <c r="C67" i="49"/>
  <c r="C68" i="49"/>
  <c r="C69" i="49"/>
  <c r="C70" i="49"/>
  <c r="C71" i="49"/>
  <c r="C72" i="49"/>
  <c r="C73" i="49"/>
  <c r="C74" i="49"/>
  <c r="C75" i="49"/>
  <c r="C76" i="49"/>
  <c r="C77" i="49"/>
  <c r="C78" i="49"/>
  <c r="C79" i="49"/>
  <c r="C80" i="49"/>
  <c r="C81" i="49"/>
  <c r="C82" i="49"/>
  <c r="C83" i="49"/>
  <c r="C84" i="49"/>
  <c r="C85" i="49"/>
  <c r="C86" i="49"/>
  <c r="C87" i="49"/>
  <c r="C88" i="49"/>
  <c r="C89" i="49"/>
  <c r="C90" i="49"/>
  <c r="C94" i="49"/>
  <c r="B95" i="49"/>
  <c r="C95" i="49"/>
  <c r="B96" i="49"/>
  <c r="C96" i="49"/>
  <c r="B97" i="49"/>
  <c r="C97" i="49"/>
  <c r="B98" i="49"/>
  <c r="C98" i="49"/>
  <c r="B99" i="49"/>
  <c r="C99" i="49"/>
  <c r="B100" i="49"/>
  <c r="C100" i="49"/>
  <c r="B101" i="49"/>
  <c r="C101" i="49"/>
  <c r="B102" i="49"/>
  <c r="C102" i="49"/>
  <c r="B103" i="49"/>
  <c r="C103" i="49"/>
  <c r="B104" i="49"/>
  <c r="C104" i="49"/>
  <c r="B106" i="49"/>
  <c r="C106" i="49"/>
  <c r="B108" i="49"/>
  <c r="C108" i="49"/>
  <c r="B109" i="49"/>
  <c r="C109" i="49"/>
  <c r="B110" i="49"/>
  <c r="C110" i="49"/>
  <c r="B111" i="49"/>
  <c r="C111" i="49"/>
  <c r="B112" i="49"/>
  <c r="C112" i="49"/>
  <c r="B114" i="49"/>
  <c r="C114" i="49"/>
  <c r="B115" i="49"/>
  <c r="C115" i="49"/>
  <c r="B116" i="49"/>
  <c r="C116" i="49"/>
  <c r="B117" i="49"/>
  <c r="C117" i="49"/>
  <c r="B118" i="49"/>
  <c r="C118" i="49"/>
  <c r="B119" i="49"/>
  <c r="C119" i="49"/>
  <c r="B120" i="49"/>
  <c r="C120" i="49"/>
  <c r="B121" i="49"/>
  <c r="C121" i="49"/>
  <c r="B122" i="49"/>
  <c r="C122" i="49"/>
  <c r="B123" i="49"/>
  <c r="C123" i="49"/>
  <c r="B124" i="49"/>
  <c r="C124" i="49"/>
  <c r="B125" i="49"/>
  <c r="C125" i="49"/>
  <c r="B126" i="49"/>
  <c r="C126" i="49"/>
  <c r="B127" i="49"/>
  <c r="C127" i="49"/>
  <c r="B128" i="49"/>
  <c r="C128" i="49"/>
  <c r="B129" i="49"/>
  <c r="C129" i="49"/>
  <c r="B130" i="49"/>
  <c r="C130" i="49"/>
  <c r="B131" i="49"/>
  <c r="C131" i="49"/>
  <c r="B132" i="49"/>
  <c r="C132" i="49"/>
  <c r="B133" i="49"/>
  <c r="C133" i="49"/>
  <c r="B134" i="49"/>
  <c r="C134" i="49"/>
  <c r="B135" i="49"/>
  <c r="C135" i="49"/>
  <c r="B136" i="49"/>
  <c r="C136" i="49"/>
  <c r="B137" i="49"/>
  <c r="C137" i="49"/>
  <c r="B138" i="49"/>
  <c r="C138" i="49"/>
  <c r="B139" i="49"/>
  <c r="C139" i="49"/>
  <c r="B13" i="49"/>
  <c r="C80" i="52"/>
  <c r="C95" i="52"/>
  <c r="C77" i="52"/>
  <c r="C78" i="52"/>
  <c r="C79" i="52"/>
  <c r="C81" i="52"/>
  <c r="C82" i="52"/>
  <c r="C83" i="52"/>
  <c r="C84" i="52"/>
  <c r="C85" i="52"/>
  <c r="C86" i="52"/>
  <c r="C87" i="52"/>
  <c r="C88" i="52"/>
  <c r="C89" i="52"/>
  <c r="C90" i="52"/>
  <c r="C91" i="52"/>
  <c r="C92" i="52"/>
  <c r="C93" i="52"/>
  <c r="C94" i="52"/>
  <c r="C96" i="52"/>
  <c r="C97" i="52"/>
  <c r="C98" i="52"/>
  <c r="C99" i="52"/>
  <c r="C100" i="52"/>
  <c r="C101" i="52"/>
  <c r="C102" i="52"/>
  <c r="C103" i="52"/>
  <c r="C104" i="52"/>
  <c r="C105" i="52"/>
  <c r="C106" i="52"/>
  <c r="C107" i="52"/>
  <c r="C64" i="52"/>
  <c r="C72" i="52"/>
  <c r="C74" i="52"/>
  <c r="C69" i="52"/>
  <c r="C76" i="52"/>
  <c r="C73" i="52"/>
  <c r="C75" i="52"/>
  <c r="C70" i="52"/>
  <c r="C51" i="52"/>
  <c r="C67" i="52"/>
  <c r="C22" i="52"/>
  <c r="C32" i="52"/>
  <c r="C62" i="52"/>
  <c r="C66" i="52"/>
  <c r="C53" i="52"/>
  <c r="C38" i="52"/>
  <c r="C47" i="52"/>
  <c r="C30" i="52"/>
  <c r="C42" i="52"/>
  <c r="C56" i="52"/>
  <c r="C52" i="52"/>
  <c r="C58" i="52"/>
  <c r="C61" i="52"/>
  <c r="C43" i="52"/>
  <c r="C45" i="52"/>
  <c r="C34" i="52"/>
  <c r="C54" i="52"/>
  <c r="C17" i="52"/>
  <c r="C44" i="52"/>
  <c r="C65" i="52"/>
  <c r="C41" i="52"/>
  <c r="C31" i="52"/>
  <c r="C15" i="52"/>
  <c r="C25" i="52"/>
  <c r="C27" i="52"/>
  <c r="C19" i="52"/>
  <c r="C37" i="52"/>
  <c r="C24" i="52"/>
  <c r="C46" i="52"/>
  <c r="C60" i="52"/>
  <c r="C33" i="52"/>
  <c r="C36" i="52"/>
  <c r="C68" i="52"/>
  <c r="C55" i="52"/>
  <c r="C28" i="52"/>
  <c r="C40" i="52"/>
  <c r="C57" i="52"/>
  <c r="C26" i="52"/>
  <c r="C50" i="52"/>
  <c r="C39" i="52"/>
  <c r="C16" i="52"/>
  <c r="C48" i="52"/>
  <c r="C63" i="52"/>
  <c r="C49" i="52"/>
  <c r="C29" i="52"/>
  <c r="C59" i="52"/>
  <c r="C18" i="52"/>
  <c r="C20" i="52"/>
  <c r="C71" i="52"/>
  <c r="C21" i="52"/>
  <c r="C23" i="52"/>
  <c r="C35" i="52"/>
  <c r="E22" i="50"/>
  <c r="B7" i="49"/>
  <c r="B8" i="49"/>
  <c r="B9" i="49"/>
  <c r="B10" i="49"/>
  <c r="B11" i="49"/>
  <c r="B12" i="49"/>
  <c r="B14" i="49"/>
  <c r="B15" i="49"/>
  <c r="B16" i="49"/>
  <c r="B17" i="49"/>
  <c r="B18" i="49"/>
  <c r="B19" i="49"/>
  <c r="B20" i="49"/>
  <c r="C16" i="49"/>
  <c r="C13" i="49"/>
  <c r="C12" i="49"/>
  <c r="C11" i="49"/>
  <c r="C20" i="49"/>
  <c r="C19" i="49"/>
  <c r="C18" i="49"/>
  <c r="C15" i="49"/>
  <c r="C17" i="49"/>
  <c r="C14" i="49"/>
  <c r="C10" i="49"/>
  <c r="C9" i="49"/>
  <c r="C8" i="49"/>
  <c r="C7" i="49"/>
  <c r="C108" i="52"/>
  <c r="C109" i="52"/>
  <c r="C110" i="52"/>
  <c r="C111" i="52"/>
  <c r="C112" i="52"/>
  <c r="C113" i="52"/>
  <c r="C114" i="52"/>
  <c r="C115" i="52"/>
  <c r="C116" i="52"/>
  <c r="C117" i="52"/>
  <c r="C118" i="52"/>
  <c r="C119" i="52"/>
  <c r="C120" i="52"/>
  <c r="C121" i="52"/>
  <c r="C122" i="52"/>
  <c r="C123" i="52"/>
  <c r="C124" i="52"/>
  <c r="C125" i="52"/>
  <c r="C126" i="52"/>
  <c r="C127" i="52"/>
  <c r="C128" i="52"/>
  <c r="C129" i="52"/>
  <c r="C130" i="52"/>
  <c r="C131" i="52"/>
  <c r="C132" i="52"/>
  <c r="C133" i="52"/>
  <c r="C134" i="52"/>
  <c r="C135" i="52"/>
  <c r="C136" i="52"/>
  <c r="C137" i="52"/>
  <c r="C138" i="52"/>
  <c r="C139" i="52"/>
  <c r="C140" i="52"/>
  <c r="C141" i="52"/>
  <c r="C142" i="52"/>
  <c r="C143" i="52"/>
  <c r="C144" i="52"/>
  <c r="C145" i="52"/>
  <c r="C146" i="52"/>
  <c r="C147" i="52"/>
  <c r="C148" i="52"/>
  <c r="C149" i="52"/>
  <c r="C150" i="52"/>
  <c r="C151" i="52"/>
  <c r="C152" i="52"/>
  <c r="B9" i="39"/>
  <c r="G24" i="39"/>
  <c r="H12" i="39"/>
  <c r="H8" i="39"/>
  <c r="B15" i="36"/>
  <c r="C10" i="36"/>
  <c r="C95" i="28"/>
  <c r="F39" i="28"/>
  <c r="B95" i="28"/>
  <c r="E47" i="28"/>
  <c r="D12" i="28"/>
  <c r="D93" i="28"/>
  <c r="D54" i="28"/>
  <c r="D38" i="28"/>
  <c r="D26" i="28"/>
  <c r="D49" i="28"/>
  <c r="D91" i="28"/>
  <c r="D52" i="28"/>
  <c r="G52" i="28"/>
  <c r="D19" i="28"/>
  <c r="G19" i="28"/>
  <c r="D64" i="28"/>
  <c r="G64" i="28"/>
  <c r="D69" i="28"/>
  <c r="D63" i="28"/>
  <c r="D87" i="28"/>
  <c r="D78" i="28"/>
  <c r="D58" i="28"/>
  <c r="D43" i="28"/>
  <c r="D82" i="28"/>
  <c r="D85" i="28"/>
  <c r="D79" i="28"/>
  <c r="D39" i="28"/>
  <c r="D31" i="28"/>
  <c r="D6" i="28"/>
  <c r="D53" i="28"/>
  <c r="D55" i="28"/>
  <c r="G55" i="28"/>
  <c r="D41" i="28"/>
  <c r="G41" i="28"/>
  <c r="D35" i="28"/>
  <c r="G35" i="28"/>
  <c r="D48" i="28"/>
  <c r="D84" i="28"/>
  <c r="D67" i="28"/>
  <c r="D81" i="28"/>
  <c r="D32" i="28"/>
  <c r="D28" i="28"/>
  <c r="D5" i="28"/>
  <c r="D24" i="28"/>
  <c r="D13" i="28"/>
  <c r="D88" i="28"/>
  <c r="D86" i="28"/>
  <c r="D7" i="28"/>
  <c r="D50" i="28"/>
  <c r="D80" i="28"/>
  <c r="G80" i="28"/>
  <c r="D14" i="28"/>
  <c r="G14" i="28"/>
  <c r="D4" i="28"/>
  <c r="G4" i="28"/>
  <c r="D23" i="28"/>
  <c r="D15" i="28"/>
  <c r="D70" i="28"/>
  <c r="D45" i="28"/>
  <c r="D61" i="28"/>
  <c r="D76" i="28"/>
  <c r="D10" i="28"/>
  <c r="D16" i="28"/>
  <c r="D29" i="28"/>
  <c r="D21" i="28"/>
  <c r="D51" i="28"/>
  <c r="D3" i="28"/>
  <c r="D2" i="28"/>
  <c r="D95" i="28"/>
  <c r="D56" i="28"/>
  <c r="G56" i="28"/>
  <c r="D42" i="28"/>
  <c r="D9" i="28"/>
  <c r="G9" i="28"/>
  <c r="D20" i="28"/>
  <c r="D18" i="28"/>
  <c r="D66" i="28"/>
  <c r="D11" i="28"/>
  <c r="D22" i="28"/>
  <c r="D74" i="28"/>
  <c r="D44" i="28"/>
  <c r="D83" i="28"/>
  <c r="D94" i="28"/>
  <c r="D47" i="28"/>
  <c r="D89" i="28"/>
  <c r="D33" i="28"/>
  <c r="D72" i="28"/>
  <c r="D57" i="28"/>
  <c r="G57" i="28"/>
  <c r="D36" i="28"/>
  <c r="D25" i="28"/>
  <c r="G25" i="28"/>
  <c r="D62" i="28"/>
  <c r="D17" i="28"/>
  <c r="D90" i="28"/>
  <c r="D77" i="28"/>
  <c r="D59" i="28"/>
  <c r="D92" i="28"/>
  <c r="D75" i="28"/>
  <c r="D60" i="28"/>
  <c r="D68" i="28"/>
  <c r="D27" i="28"/>
  <c r="D40" i="28"/>
  <c r="D30" i="28"/>
  <c r="D65" i="28"/>
  <c r="D73" i="28"/>
  <c r="D46" i="28"/>
  <c r="G46" i="28"/>
  <c r="D71" i="28"/>
  <c r="D37" i="28"/>
  <c r="D34" i="28"/>
  <c r="D8" i="28"/>
  <c r="P6" i="22"/>
  <c r="P9" i="22"/>
  <c r="O6" i="22"/>
  <c r="O8" i="22"/>
  <c r="O10" i="22"/>
  <c r="O29" i="22"/>
  <c r="G11" i="22"/>
  <c r="G10" i="22"/>
  <c r="E12" i="28"/>
  <c r="D6" i="22"/>
  <c r="G6" i="22"/>
  <c r="M6" i="22"/>
  <c r="M8" i="22"/>
  <c r="M10" i="22"/>
  <c r="M9" i="22"/>
  <c r="I6" i="22"/>
  <c r="I9" i="22"/>
  <c r="K6" i="22"/>
  <c r="K8" i="22"/>
  <c r="K10" i="22"/>
  <c r="J6" i="22"/>
  <c r="J7" i="22"/>
  <c r="J11" i="22"/>
  <c r="L6" i="22"/>
  <c r="L9" i="22"/>
  <c r="C6" i="22"/>
  <c r="F6" i="22"/>
  <c r="E6" i="22"/>
  <c r="H6" i="22"/>
  <c r="H9" i="22"/>
  <c r="H10" i="22"/>
  <c r="H7" i="22"/>
  <c r="H11" i="22"/>
  <c r="F21" i="28"/>
  <c r="E87" i="28"/>
  <c r="E71" i="28"/>
  <c r="E40" i="28"/>
  <c r="F92" i="28"/>
  <c r="E38" i="28"/>
  <c r="E68" i="28"/>
  <c r="E57" i="28"/>
  <c r="E58" i="28"/>
  <c r="E72" i="28"/>
  <c r="E2" i="28"/>
  <c r="E81" i="28"/>
  <c r="E10" i="28"/>
  <c r="F3" i="28"/>
  <c r="E34" i="28"/>
  <c r="E37" i="28"/>
  <c r="E39" i="28"/>
  <c r="E62" i="28"/>
  <c r="E94" i="28"/>
  <c r="F90" i="28"/>
  <c r="E33" i="28"/>
  <c r="E48" i="28"/>
  <c r="E70" i="28"/>
  <c r="E25" i="28"/>
  <c r="E26" i="28"/>
  <c r="E59" i="28"/>
  <c r="E79" i="28"/>
  <c r="F44" i="28"/>
  <c r="E66" i="28"/>
  <c r="E29" i="28"/>
  <c r="E32" i="28"/>
  <c r="E49" i="28"/>
  <c r="E23" i="28"/>
  <c r="E53" i="28"/>
  <c r="E76" i="28"/>
  <c r="E56" i="28"/>
  <c r="E27" i="28"/>
  <c r="E78" i="28"/>
  <c r="E73" i="28"/>
  <c r="E52" i="28"/>
  <c r="E83" i="28"/>
  <c r="E74" i="28"/>
  <c r="E4" i="28"/>
  <c r="E69" i="28"/>
  <c r="E64" i="28"/>
  <c r="E55" i="28"/>
  <c r="E24" i="28"/>
  <c r="E65" i="28"/>
  <c r="E60" i="28"/>
  <c r="E90" i="28"/>
  <c r="E3" i="28"/>
  <c r="E19" i="28"/>
  <c r="E93" i="28"/>
  <c r="E45" i="28"/>
  <c r="C7" i="36"/>
  <c r="E5" i="28"/>
  <c r="E46" i="28"/>
  <c r="E7" i="28"/>
  <c r="E41" i="28"/>
  <c r="E43" i="28"/>
  <c r="E42" i="28"/>
  <c r="E11" i="28"/>
  <c r="E35" i="28"/>
  <c r="E28" i="28"/>
  <c r="E51" i="28"/>
  <c r="E54" i="28"/>
  <c r="E15" i="28"/>
  <c r="E92" i="28"/>
  <c r="E14" i="28"/>
  <c r="E31" i="28"/>
  <c r="E75" i="28"/>
  <c r="E30" i="28"/>
  <c r="F42" i="28"/>
  <c r="F91" i="28"/>
  <c r="F15" i="28"/>
  <c r="C12" i="36"/>
  <c r="C14" i="36"/>
  <c r="C5" i="36"/>
  <c r="C8" i="36"/>
  <c r="C2" i="36"/>
  <c r="D2" i="36"/>
  <c r="D3" i="36"/>
  <c r="D4" i="36"/>
  <c r="D5" i="36"/>
  <c r="D6" i="36"/>
  <c r="D7" i="36"/>
  <c r="D8" i="36"/>
  <c r="D9" i="36"/>
  <c r="C11" i="36"/>
  <c r="C6" i="36"/>
  <c r="C4" i="36"/>
  <c r="C13" i="36"/>
  <c r="C3" i="36"/>
  <c r="E63" i="28"/>
  <c r="E21" i="28"/>
  <c r="E16" i="28"/>
  <c r="E89" i="28"/>
  <c r="E84" i="28"/>
  <c r="E9" i="28"/>
  <c r="E67" i="28"/>
  <c r="E13" i="28"/>
  <c r="E20" i="28"/>
  <c r="E85" i="28"/>
  <c r="E80" i="28"/>
  <c r="E86" i="28"/>
  <c r="E8" i="28"/>
  <c r="E36" i="28"/>
  <c r="E18" i="28"/>
  <c r="E44" i="28"/>
  <c r="E22" i="28"/>
  <c r="E6" i="28"/>
  <c r="E82" i="28"/>
  <c r="E61" i="28"/>
  <c r="E91" i="28"/>
  <c r="E88" i="28"/>
  <c r="E50" i="28"/>
  <c r="E77" i="28"/>
  <c r="E17" i="28"/>
  <c r="C9" i="36"/>
  <c r="Y6" i="22"/>
  <c r="Y9" i="22"/>
  <c r="W6" i="22"/>
  <c r="W7" i="22"/>
  <c r="W11" i="22"/>
  <c r="S6" i="22"/>
  <c r="S9" i="22"/>
  <c r="U6" i="22"/>
  <c r="U7" i="22"/>
  <c r="U11" i="22"/>
  <c r="X6" i="22"/>
  <c r="X8" i="22"/>
  <c r="X10" i="22"/>
  <c r="X7" i="22"/>
  <c r="X11" i="22"/>
  <c r="N6" i="22"/>
  <c r="N8" i="22"/>
  <c r="N10" i="22"/>
  <c r="N9" i="22"/>
  <c r="Z6" i="22"/>
  <c r="Z9" i="22"/>
  <c r="Q6" i="22"/>
  <c r="Q9" i="22"/>
  <c r="V6" i="22"/>
  <c r="V8" i="22"/>
  <c r="V10" i="22"/>
  <c r="V7" i="22"/>
  <c r="V11" i="22"/>
  <c r="R6" i="22"/>
  <c r="R8" i="22"/>
  <c r="R10" i="22"/>
  <c r="T6" i="22"/>
  <c r="T8" i="22"/>
  <c r="T10" i="22"/>
  <c r="T9" i="22"/>
  <c r="T7" i="22"/>
  <c r="T11" i="22"/>
  <c r="N7" i="22"/>
  <c r="N11" i="22"/>
  <c r="Y8" i="22"/>
  <c r="Y10" i="22"/>
  <c r="I8" i="22"/>
  <c r="I10" i="22"/>
  <c r="Q7" i="22"/>
  <c r="Q11" i="22"/>
  <c r="U9" i="22"/>
  <c r="U8" i="22"/>
  <c r="U10" i="22"/>
  <c r="K9" i="22"/>
  <c r="O9" i="22"/>
  <c r="J9" i="22"/>
  <c r="O7" i="22"/>
  <c r="O11" i="22"/>
  <c r="J8" i="22"/>
  <c r="J10" i="22"/>
  <c r="K7" i="22"/>
  <c r="K11" i="22"/>
  <c r="R7" i="22"/>
  <c r="R11" i="22"/>
  <c r="Q8" i="22"/>
  <c r="Q10" i="22"/>
  <c r="Z8" i="22"/>
  <c r="Z10" i="22"/>
  <c r="S8" i="22"/>
  <c r="S10" i="22"/>
  <c r="S7" i="22"/>
  <c r="S11" i="22"/>
  <c r="V9" i="22"/>
  <c r="Z7" i="22"/>
  <c r="Z11" i="22"/>
  <c r="X9" i="22"/>
  <c r="R9" i="22"/>
  <c r="L7" i="22"/>
  <c r="L11" i="22"/>
  <c r="F86" i="28"/>
  <c r="F11" i="28"/>
  <c r="F82" i="28"/>
  <c r="F35" i="28"/>
  <c r="F2" i="28"/>
  <c r="F80" i="28"/>
  <c r="F70" i="28"/>
  <c r="F87" i="28"/>
  <c r="L8" i="22"/>
  <c r="L10" i="22"/>
  <c r="F59" i="28"/>
  <c r="F79" i="28"/>
  <c r="H21" i="39"/>
  <c r="I7" i="22"/>
  <c r="I11" i="22"/>
  <c r="F34" i="28"/>
  <c r="F33" i="28"/>
  <c r="F7" i="28"/>
  <c r="F6" i="28"/>
  <c r="F30" i="28"/>
  <c r="F31" i="28"/>
  <c r="F94" i="28"/>
  <c r="F88" i="28"/>
  <c r="F47" i="28"/>
  <c r="F26" i="28"/>
  <c r="F56" i="28"/>
  <c r="F53" i="28"/>
  <c r="F76" i="28"/>
  <c r="F77" i="28"/>
  <c r="F72" i="28"/>
  <c r="F8" i="28"/>
  <c r="F51" i="28"/>
  <c r="F16" i="28"/>
  <c r="W8" i="22"/>
  <c r="W10" i="22"/>
  <c r="W9" i="22"/>
  <c r="H22" i="39"/>
  <c r="H7" i="39"/>
  <c r="P7" i="22"/>
  <c r="P11" i="22"/>
  <c r="P8" i="22"/>
  <c r="P10" i="22"/>
  <c r="F66" i="28"/>
  <c r="F84" i="28"/>
  <c r="F54" i="28"/>
  <c r="F29" i="28"/>
  <c r="F75" i="28"/>
  <c r="F18" i="28"/>
  <c r="F40" i="28"/>
  <c r="F49" i="28"/>
  <c r="F64" i="28"/>
  <c r="F4" i="28"/>
  <c r="F73" i="28"/>
  <c r="F43" i="28"/>
  <c r="F37" i="28"/>
  <c r="F36" i="28"/>
  <c r="F89" i="28"/>
  <c r="F62" i="28"/>
  <c r="F41" i="28"/>
  <c r="F14" i="28"/>
  <c r="F61" i="28"/>
  <c r="F78" i="28"/>
  <c r="F55" i="28"/>
  <c r="F38" i="28"/>
  <c r="F69" i="28"/>
  <c r="F65" i="28"/>
  <c r="F52" i="28"/>
  <c r="F46" i="28"/>
  <c r="F23" i="28"/>
  <c r="F12" i="28"/>
  <c r="F19" i="28"/>
  <c r="F27" i="28"/>
  <c r="F74" i="28"/>
  <c r="F71" i="28"/>
  <c r="F24" i="28"/>
  <c r="F58" i="28"/>
  <c r="F85" i="28"/>
  <c r="F81" i="28"/>
  <c r="F25" i="28"/>
  <c r="F68" i="28"/>
  <c r="F63" i="28"/>
  <c r="F10" i="28"/>
  <c r="F57" i="28"/>
  <c r="F22" i="28"/>
  <c r="Y7" i="22"/>
  <c r="Y11" i="22"/>
  <c r="F50" i="28"/>
  <c r="F83" i="28"/>
  <c r="F17" i="28"/>
  <c r="F5" i="28"/>
  <c r="F9" i="28"/>
  <c r="F48" i="28"/>
  <c r="F32" i="28"/>
  <c r="F20" i="28"/>
  <c r="F93" i="28"/>
  <c r="F45" i="28"/>
  <c r="F67" i="28"/>
  <c r="F28" i="28"/>
  <c r="F13" i="28"/>
  <c r="F60" i="28"/>
  <c r="E44" i="22"/>
  <c r="G63" i="28"/>
  <c r="G34" i="28"/>
  <c r="G82" i="28"/>
  <c r="G15" i="28"/>
  <c r="G12" i="28"/>
  <c r="G66" i="28"/>
  <c r="G42" i="28"/>
  <c r="G71" i="28"/>
  <c r="G22" i="28"/>
  <c r="G58" i="28"/>
  <c r="G44" i="28"/>
  <c r="C97" i="28"/>
  <c r="G23" i="28"/>
  <c r="G89" i="28"/>
  <c r="G79" i="28"/>
  <c r="G87" i="28"/>
  <c r="G5" i="28"/>
  <c r="G43" i="28"/>
  <c r="G61" i="28"/>
  <c r="G92" i="28"/>
  <c r="G11" i="28"/>
  <c r="G28" i="28"/>
  <c r="G62" i="28"/>
  <c r="G74" i="28"/>
  <c r="G24" i="28"/>
  <c r="G88" i="28"/>
  <c r="G90" i="28"/>
  <c r="G78" i="28"/>
  <c r="G93" i="28"/>
  <c r="G83" i="28"/>
  <c r="G38" i="28"/>
  <c r="G10" i="28"/>
  <c r="G54" i="28"/>
  <c r="G75" i="28"/>
  <c r="G69" i="28"/>
  <c r="G29" i="28"/>
  <c r="G37" i="28"/>
  <c r="G18" i="28"/>
  <c r="G73" i="28"/>
  <c r="G76" i="28"/>
  <c r="G20" i="28"/>
  <c r="G48" i="28"/>
  <c r="G32" i="28"/>
  <c r="G17" i="28"/>
  <c r="G59" i="28"/>
  <c r="G45" i="28"/>
  <c r="G36" i="28"/>
  <c r="G77" i="28"/>
  <c r="G13" i="28"/>
  <c r="G67" i="28"/>
  <c r="G53" i="28"/>
  <c r="G7" i="28"/>
  <c r="G8" i="28"/>
  <c r="B97" i="28"/>
  <c r="G70" i="28"/>
  <c r="G81" i="28"/>
  <c r="G84" i="28"/>
  <c r="G27" i="28"/>
  <c r="G47" i="28"/>
  <c r="G91" i="28"/>
  <c r="G33" i="28"/>
  <c r="G6" i="28"/>
  <c r="D10" i="36"/>
  <c r="D11" i="36"/>
  <c r="D12" i="36"/>
  <c r="D13" i="36"/>
  <c r="D14" i="36"/>
  <c r="G40" i="28"/>
  <c r="G51" i="28"/>
  <c r="G31" i="28"/>
  <c r="G21" i="28"/>
  <c r="G39" i="28"/>
  <c r="G65" i="28"/>
  <c r="G50" i="28"/>
  <c r="G30" i="28"/>
  <c r="G3" i="28"/>
  <c r="G49" i="28"/>
  <c r="G86" i="28"/>
  <c r="G26" i="28"/>
  <c r="G68" i="28"/>
  <c r="G94" i="28"/>
  <c r="G72" i="28"/>
  <c r="G85" i="28"/>
  <c r="G60" i="28"/>
  <c r="G16" i="28"/>
  <c r="G2" i="28"/>
  <c r="H2" i="28"/>
  <c r="H19" i="39"/>
  <c r="H5" i="39"/>
  <c r="H13" i="39"/>
  <c r="H14" i="39"/>
  <c r="M7" i="22"/>
  <c r="M11" i="22"/>
  <c r="H10" i="39"/>
  <c r="H16" i="39"/>
  <c r="H17" i="39"/>
  <c r="H20" i="39"/>
  <c r="H11" i="39"/>
  <c r="H15" i="39"/>
  <c r="H6" i="39"/>
  <c r="H9" i="39"/>
  <c r="H18" i="39"/>
  <c r="H4" i="39"/>
  <c r="I4" i="39"/>
  <c r="I5" i="39"/>
  <c r="I6" i="39"/>
  <c r="I7" i="39"/>
  <c r="I8" i="39"/>
  <c r="I9" i="39"/>
  <c r="I10" i="39"/>
  <c r="I11" i="39"/>
  <c r="I12" i="39"/>
  <c r="I13" i="39"/>
  <c r="I14" i="39"/>
  <c r="I15" i="39"/>
  <c r="I16" i="39"/>
  <c r="I17" i="39"/>
  <c r="I18" i="39"/>
  <c r="I19" i="39"/>
  <c r="I20" i="39"/>
  <c r="I21" i="39"/>
  <c r="I22" i="39"/>
  <c r="H23" i="39"/>
  <c r="D147" i="52"/>
  <c r="D136" i="52"/>
  <c r="D125" i="52"/>
  <c r="D119" i="52"/>
  <c r="D113" i="52"/>
  <c r="D152" i="52"/>
  <c r="D146" i="52"/>
  <c r="D141" i="52"/>
  <c r="D130" i="52"/>
  <c r="D151" i="52"/>
  <c r="D140" i="52"/>
  <c r="D135" i="52"/>
  <c r="D118" i="52"/>
  <c r="D112" i="52"/>
  <c r="D19" i="52"/>
  <c r="D150" i="52"/>
  <c r="D145" i="52"/>
  <c r="D134" i="52"/>
  <c r="D129" i="52"/>
  <c r="D111" i="52"/>
  <c r="D90" i="52"/>
  <c r="D89" i="52"/>
  <c r="D26" i="52"/>
  <c r="D79" i="52"/>
  <c r="D29" i="52"/>
  <c r="D55" i="52"/>
  <c r="D106" i="52"/>
  <c r="D93" i="52"/>
  <c r="D96" i="52"/>
  <c r="D71" i="52"/>
  <c r="D63" i="52"/>
  <c r="D52" i="52"/>
  <c r="D91" i="52"/>
  <c r="D68" i="52"/>
  <c r="D61" i="52"/>
  <c r="D50" i="52"/>
  <c r="D56" i="52"/>
  <c r="D34" i="52"/>
  <c r="D65" i="52"/>
  <c r="D37" i="52"/>
  <c r="D51" i="52"/>
  <c r="D20" i="52"/>
  <c r="D76" i="52"/>
  <c r="D77" i="52"/>
  <c r="D101" i="52"/>
  <c r="D99" i="52"/>
  <c r="D66" i="52"/>
  <c r="D85" i="52"/>
  <c r="D88" i="52"/>
  <c r="D15" i="52"/>
  <c r="D86" i="52"/>
  <c r="D124" i="52"/>
  <c r="D80" i="52"/>
  <c r="D54" i="52"/>
  <c r="D58" i="52"/>
  <c r="D72" i="52"/>
  <c r="D21" i="52"/>
  <c r="D98" i="52"/>
  <c r="D27" i="52"/>
  <c r="D40" i="52"/>
  <c r="D103" i="52"/>
  <c r="D102" i="52"/>
  <c r="D18" i="52"/>
  <c r="D17" i="52"/>
  <c r="D107" i="52"/>
  <c r="D53" i="52"/>
  <c r="D49" i="52"/>
  <c r="D104" i="52"/>
  <c r="D74" i="52"/>
  <c r="D35" i="52"/>
  <c r="D75" i="52"/>
  <c r="D43" i="52"/>
  <c r="D105" i="52"/>
  <c r="D48" i="52"/>
  <c r="D46" i="52"/>
  <c r="D95" i="52"/>
  <c r="D100" i="52"/>
  <c r="D31" i="52"/>
  <c r="D59" i="52"/>
  <c r="D32" i="52"/>
  <c r="D78" i="52"/>
  <c r="D67" i="52"/>
  <c r="D73" i="52"/>
  <c r="D94" i="52"/>
  <c r="D83" i="52"/>
  <c r="D64" i="52"/>
  <c r="D122" i="52"/>
  <c r="D81" i="52"/>
  <c r="D39" i="52"/>
  <c r="D92" i="52"/>
  <c r="D24" i="52"/>
  <c r="D97" i="52"/>
  <c r="D69" i="52"/>
  <c r="D45" i="52"/>
  <c r="D38" i="52"/>
  <c r="D44" i="52"/>
  <c r="D22" i="52"/>
  <c r="D84" i="52"/>
  <c r="D82" i="52"/>
  <c r="D87" i="52"/>
  <c r="D25" i="52"/>
  <c r="D70" i="52"/>
  <c r="D28" i="52"/>
  <c r="D33" i="52"/>
  <c r="D16" i="52"/>
  <c r="D30" i="52"/>
  <c r="D47" i="52"/>
  <c r="D23" i="52"/>
  <c r="D60" i="52"/>
  <c r="D41" i="52"/>
  <c r="D57" i="52"/>
  <c r="D62" i="52"/>
  <c r="D144" i="52"/>
  <c r="D139" i="52"/>
  <c r="D128" i="52"/>
  <c r="D123" i="52"/>
  <c r="D117" i="52"/>
  <c r="D110" i="52"/>
  <c r="D131" i="52"/>
  <c r="D149" i="52"/>
  <c r="D138" i="52"/>
  <c r="D133" i="52"/>
  <c r="D116" i="52"/>
  <c r="D109" i="52"/>
  <c r="D120" i="52"/>
  <c r="D36" i="52"/>
  <c r="D148" i="52"/>
  <c r="D143" i="52"/>
  <c r="D132" i="52"/>
  <c r="D127" i="52"/>
  <c r="D115" i="52"/>
  <c r="D108" i="52"/>
  <c r="D142" i="52"/>
  <c r="D137" i="52"/>
  <c r="D126" i="52"/>
  <c r="D121" i="52"/>
  <c r="D114" i="52"/>
  <c r="D42" i="52"/>
  <c r="I23" i="39"/>
  <c r="H3" i="28"/>
  <c r="H4" i="28"/>
  <c r="H5" i="28"/>
  <c r="H6" i="28"/>
  <c r="H7" i="28"/>
  <c r="H8" i="28"/>
  <c r="H9" i="28"/>
  <c r="H10" i="28"/>
  <c r="H11" i="28"/>
  <c r="H12" i="28"/>
  <c r="H13" i="28"/>
  <c r="H14" i="28"/>
  <c r="H15" i="28"/>
  <c r="H16" i="28"/>
  <c r="H17" i="28"/>
  <c r="H18" i="28"/>
  <c r="H19" i="28"/>
  <c r="H20" i="28"/>
  <c r="H21" i="28"/>
  <c r="H22" i="28"/>
  <c r="H23" i="28"/>
  <c r="H24" i="28"/>
  <c r="H25" i="28"/>
  <c r="H26" i="28"/>
  <c r="H27" i="28"/>
  <c r="H28" i="28"/>
  <c r="H29" i="28"/>
  <c r="H30" i="28"/>
  <c r="H31" i="28"/>
  <c r="H32" i="28"/>
  <c r="H33" i="28"/>
  <c r="H34" i="28"/>
  <c r="H35" i="28"/>
  <c r="H36" i="28"/>
  <c r="H37" i="28"/>
  <c r="H38" i="28"/>
  <c r="H39" i="28"/>
  <c r="H40" i="28"/>
  <c r="H41" i="28"/>
  <c r="H42" i="28"/>
  <c r="H43" i="28"/>
  <c r="H44" i="28"/>
  <c r="H45" i="28"/>
  <c r="H46" i="28"/>
  <c r="H47" i="28"/>
  <c r="H48" i="28"/>
  <c r="H49" i="28"/>
  <c r="H50" i="28"/>
  <c r="H51" i="28"/>
  <c r="H52" i="28"/>
  <c r="H53" i="28"/>
  <c r="H54" i="28"/>
  <c r="H55" i="28"/>
  <c r="H56" i="28"/>
  <c r="H57" i="28"/>
  <c r="H58" i="28"/>
  <c r="H59" i="28"/>
  <c r="H60" i="28"/>
  <c r="H61" i="28"/>
  <c r="H62" i="28"/>
  <c r="H63" i="28"/>
  <c r="H64" i="28"/>
  <c r="H65" i="28"/>
  <c r="H66" i="28"/>
  <c r="H67" i="28"/>
  <c r="H68" i="28"/>
  <c r="H69" i="28"/>
  <c r="H70" i="28"/>
  <c r="H71" i="28"/>
  <c r="H72" i="28"/>
  <c r="H73" i="28"/>
  <c r="H74" i="28"/>
  <c r="H75" i="28"/>
  <c r="H76" i="28"/>
  <c r="H77" i="28"/>
  <c r="H78" i="28"/>
  <c r="H79" i="28"/>
  <c r="H80" i="28"/>
  <c r="H81" i="28"/>
  <c r="H82" i="28"/>
  <c r="H83" i="28"/>
  <c r="H84" i="28"/>
  <c r="H85" i="28"/>
  <c r="H86" i="28"/>
  <c r="H87" i="28"/>
  <c r="H88" i="28"/>
  <c r="H89" i="28"/>
  <c r="H90" i="28"/>
  <c r="H91" i="28"/>
  <c r="H92" i="28"/>
  <c r="H93" i="28"/>
  <c r="H94" i="28"/>
  <c r="F17" i="50"/>
  <c r="F18" i="50"/>
  <c r="F22" i="5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Sabino Moreno</author>
  </authors>
  <commentList>
    <comment ref="A17" authorId="0" shapeId="0" xr:uid="{00000000-0006-0000-0100-000001000000}">
      <text>
        <r>
          <rPr>
            <sz val="10"/>
            <color indexed="81"/>
            <rFont val="Arial"/>
            <family val="2"/>
          </rPr>
          <t>* Son aquellas paradas que se hacen de manera programada y avalada por Dirección de planta, tales como capacitaciones, reuniones, pruebas o ensayos para ajuste de equipos, mantenimiento programado y trabajos de montaje, reparaciones locativas, etc. 
*Se consideran en este tipo el arranque y apagado de planta.</t>
        </r>
      </text>
    </comment>
    <comment ref="A26" authorId="0" shapeId="0" xr:uid="{8CF083D1-3D9C-43D6-B6EF-B11D48881CA3}">
      <text>
        <r>
          <rPr>
            <sz val="11"/>
            <color indexed="81"/>
            <rFont val="Arial"/>
            <family val="2"/>
          </rPr>
          <t xml:space="preserve">Son aquellas paradas de carácter inesperado como consecuencia de fallas mecánicas, operativas o externas que implican una detención del proceso productivo de foma parcial o total.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Supervisores PBP</author>
  </authors>
  <commentList>
    <comment ref="J6" authorId="0" shapeId="0" xr:uid="{BAFB527E-B2F0-4518-B773-3117F89B27D1}">
      <text>
        <r>
          <rPr>
            <sz val="9"/>
            <color indexed="81"/>
            <rFont val="Tahoma"/>
            <charset val="1"/>
          </rPr>
          <t xml:space="preserve">Diferenciar 
-Red externa
-Falta de fruta fresca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Supervisores PBP</author>
  </authors>
  <commentList>
    <comment ref="A6" authorId="0" shapeId="0" xr:uid="{A09FB85D-0EEE-4905-8D17-6971488C0E6B}">
      <text>
        <r>
          <rPr>
            <b/>
            <sz val="9"/>
            <color indexed="81"/>
            <rFont val="Tahoma"/>
            <charset val="1"/>
          </rPr>
          <t>Recordar actualizar tabla dinámica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Supervisores PBP</author>
  </authors>
  <commentList>
    <comment ref="G6" authorId="0" shapeId="0" xr:uid="{6FFAF999-6817-446C-A0AA-02010143CCB8}">
      <text>
        <r>
          <rPr>
            <sz val="9"/>
            <color indexed="81"/>
            <rFont val="Tahoma"/>
            <charset val="1"/>
          </rPr>
          <t xml:space="preserve">Diferenciar 
-Red externa
-Falta de fruta fresca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Supervisores PBP</author>
    <author>Usuario</author>
  </authors>
  <commentList>
    <comment ref="B14" authorId="0" shapeId="0" xr:uid="{BA53A548-AA11-4A5B-96CB-7B190B1101A5}">
      <text>
        <r>
          <rPr>
            <sz val="9"/>
            <color indexed="81"/>
            <rFont val="Tahoma"/>
            <family val="2"/>
          </rPr>
          <t>Si se incluye un
 item nuevo en la lista, se debe copiar nuevamente la lista en esta columna</t>
        </r>
      </text>
    </comment>
    <comment ref="D14" authorId="1" shapeId="0" xr:uid="{5B1919A2-F68F-480A-93D2-F290391760D4}">
      <text>
        <r>
          <rPr>
            <b/>
            <sz val="9"/>
            <color indexed="10"/>
            <rFont val="Tahoma"/>
            <family val="2"/>
          </rPr>
          <t>Ordenar tabla descendente por hora de paro</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CAE37C-5809-4FA0-9232-8F85A8C08E65}"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B868B5A-CED4-4BEE-9FC4-07E0CA398EFA}" name="WorksheetConnection_MTTR!$E$6:$G$14" type="102" refreshedVersion="8" minRefreshableVersion="5">
    <extLst>
      <ext xmlns:x15="http://schemas.microsoft.com/office/spreadsheetml/2010/11/main" uri="{DE250136-89BD-433C-8126-D09CA5730AF9}">
        <x15:connection id="Rango" autoDelete="1">
          <x15:rangePr sourceName="_xlcn.WorksheetConnection_MTTRE6G14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<sst xmlns="http://schemas.openxmlformats.org/spreadsheetml/2006/main" count="3644" uniqueCount="606">
  <si>
    <t>TIPO I</t>
  </si>
  <si>
    <t>TIPO II</t>
  </si>
  <si>
    <t>SECCIÓN</t>
  </si>
  <si>
    <t>EQUIPOS</t>
  </si>
  <si>
    <t>Programada</t>
  </si>
  <si>
    <t>Arranque planta</t>
  </si>
  <si>
    <t>Planta general</t>
  </si>
  <si>
    <t>Mantenimiento</t>
  </si>
  <si>
    <t>Apagado planta</t>
  </si>
  <si>
    <t>Recepción fruta</t>
  </si>
  <si>
    <t>Operativa</t>
  </si>
  <si>
    <t>Reunión</t>
  </si>
  <si>
    <t xml:space="preserve">Esterilización </t>
  </si>
  <si>
    <t>Externa</t>
  </si>
  <si>
    <t>Capacitaciones</t>
  </si>
  <si>
    <t>Desfrutado</t>
  </si>
  <si>
    <t>Mantenimiento programado</t>
  </si>
  <si>
    <t>Extracción</t>
  </si>
  <si>
    <t>Montajes</t>
  </si>
  <si>
    <t>Clarificación</t>
  </si>
  <si>
    <t>Falla eléctrica</t>
  </si>
  <si>
    <t>Desfibrado</t>
  </si>
  <si>
    <t>Bomba aceite húmedo</t>
  </si>
  <si>
    <t>Falla mecánica</t>
  </si>
  <si>
    <t>Palmistería</t>
  </si>
  <si>
    <t>Falla operativa</t>
  </si>
  <si>
    <t>Atascamiento</t>
  </si>
  <si>
    <t>Generación de vapor</t>
  </si>
  <si>
    <t>Sobrecarga</t>
  </si>
  <si>
    <t>Planta tratamiento de agua</t>
  </si>
  <si>
    <t>Falta de fruta esterilizada</t>
  </si>
  <si>
    <t>Tratamiento efluentes</t>
  </si>
  <si>
    <t>Falta de fruta fresca</t>
  </si>
  <si>
    <t>Falta energía red</t>
  </si>
  <si>
    <t>Eventos naturales</t>
  </si>
  <si>
    <t>Eventos orden público</t>
  </si>
  <si>
    <t>Clarificador</t>
  </si>
  <si>
    <t>Digestor 1</t>
  </si>
  <si>
    <t>Preclarificador</t>
  </si>
  <si>
    <t>Prensa 1</t>
  </si>
  <si>
    <t>Prensa 2</t>
  </si>
  <si>
    <t xml:space="preserve">Código: </t>
  </si>
  <si>
    <t>Versión:</t>
  </si>
  <si>
    <t xml:space="preserve">Fecha de Aprobación: </t>
  </si>
  <si>
    <t>1. Identificar clase y tipo de parada.</t>
  </si>
  <si>
    <t>A continuación se presenta el árbol para identificación y registro de las paradas de planta:</t>
  </si>
  <si>
    <t>Tipo I</t>
  </si>
  <si>
    <t>Tipo II</t>
  </si>
  <si>
    <t>Sección</t>
  </si>
  <si>
    <t>Equipo</t>
  </si>
  <si>
    <t>Causa de falla / Observación</t>
  </si>
  <si>
    <t>�</t>
  </si>
  <si>
    <t>2. Cómo registrar las paradas.</t>
  </si>
  <si>
    <t>Resgistro fecha y tiempos</t>
  </si>
  <si>
    <t>1. Registrar fecha</t>
  </si>
  <si>
    <r>
      <t xml:space="preserve">2. Automáticamente se registrará el año correspondiente. </t>
    </r>
    <r>
      <rPr>
        <b/>
        <sz val="11"/>
        <color rgb="FFFF0000"/>
        <rFont val="Arial"/>
        <family val="2"/>
      </rPr>
      <t>No digitar ningún valor.</t>
    </r>
  </si>
  <si>
    <r>
      <t xml:space="preserve">3. Automáticamente se registrará el mes correspondiente. </t>
    </r>
    <r>
      <rPr>
        <b/>
        <sz val="11"/>
        <color rgb="FFFF0000"/>
        <rFont val="Arial"/>
        <family val="2"/>
      </rPr>
      <t>No digitar ningún valor.</t>
    </r>
  </si>
  <si>
    <t>4. Registrar hora de inicio de la parada</t>
  </si>
  <si>
    <t>5. Registrar hora de fin de la parada</t>
  </si>
  <si>
    <r>
      <t xml:space="preserve">6. En la columna Duración, se calculará automáticamente el tiempo de parada. </t>
    </r>
    <r>
      <rPr>
        <b/>
        <sz val="11"/>
        <color rgb="FFFF0000"/>
        <rFont val="Arial"/>
        <family val="2"/>
      </rPr>
      <t>No digitar ningún valor.</t>
    </r>
  </si>
  <si>
    <t xml:space="preserve">Si es parada programada </t>
  </si>
  <si>
    <t>7. Seleccionar en columna Tipo I: Programada</t>
  </si>
  <si>
    <t>8. Seleccionat en columna Tipo II:  Arranque de planta, Apagado de planta, Reunión, Capacitaciones, Mantenimiento programado, Montajes, Otro</t>
  </si>
  <si>
    <t>9. Seleccionar sección o Planta general</t>
  </si>
  <si>
    <t>10. Seleccionar equipo o  Planta general</t>
  </si>
  <si>
    <t>11. Incuir una observación (Opcional)</t>
  </si>
  <si>
    <t>12. Fin.</t>
  </si>
  <si>
    <t>Si es parada No programada por mantenimiento</t>
  </si>
  <si>
    <t>7. Seleccionar en columna Tipo I: No Programada</t>
  </si>
  <si>
    <t>8. Seleccionat en columna Tipo II:  Mecánica o eléctrica</t>
  </si>
  <si>
    <t>11. Describir la causa de la falla</t>
  </si>
  <si>
    <t>Si es parada No programada operativa</t>
  </si>
  <si>
    <t>7. Seleccionar en columna Tipo : Operativa</t>
  </si>
  <si>
    <t>8. Seleccionat en columna Tipo II:  Falla operativa, Atascamiento o Sobrecarga</t>
  </si>
  <si>
    <t>Si es parada No programada externa</t>
  </si>
  <si>
    <t>7. Seleccionar en columna Tipo : Externa</t>
  </si>
  <si>
    <t>8. Seleccionat en columna Tipo II:  Falta de fruto fresco, Falla energía red, Eventos naturales o Eventos de orden público</t>
  </si>
  <si>
    <t>11. Incluir una observación: Opcional</t>
  </si>
  <si>
    <t>ene</t>
  </si>
  <si>
    <t>feb</t>
  </si>
  <si>
    <t>mar</t>
  </si>
  <si>
    <t>abr</t>
  </si>
  <si>
    <t>may</t>
  </si>
  <si>
    <t>junio</t>
  </si>
  <si>
    <t>julio</t>
  </si>
  <si>
    <t>Horas programadas de proceso</t>
  </si>
  <si>
    <t>%Paradas externas</t>
  </si>
  <si>
    <t>%Paradas por mantenimiento</t>
  </si>
  <si>
    <t>%Paradas Operativas</t>
  </si>
  <si>
    <t>%Paradas mtto y operativas</t>
  </si>
  <si>
    <t>%Paradas total</t>
  </si>
  <si>
    <t>Meta paradas mtto y operativas</t>
  </si>
  <si>
    <t>AÑO</t>
  </si>
  <si>
    <t>CLASE</t>
  </si>
  <si>
    <t>No programada</t>
  </si>
  <si>
    <t>Por mantenimiento</t>
  </si>
  <si>
    <t>Suma de DURACIÓN (h)</t>
  </si>
  <si>
    <t>Etiquetas de columna</t>
  </si>
  <si>
    <t>Etiquetas de fila</t>
  </si>
  <si>
    <t>Total general</t>
  </si>
  <si>
    <t xml:space="preserve">Caldera VR 16 </t>
  </si>
  <si>
    <t>Autoclave N°1</t>
  </si>
  <si>
    <t xml:space="preserve">Redler a tolva de pesaje </t>
  </si>
  <si>
    <t xml:space="preserve">Esclusa de fibras </t>
  </si>
  <si>
    <t>Transportador sinfín fibras alimentacion a caldera</t>
  </si>
  <si>
    <t>Tamiz DE CRUDO 1</t>
  </si>
  <si>
    <t>Bomba lodos preclarificador</t>
  </si>
  <si>
    <t>Redler de fruta esterelizada N°1</t>
  </si>
  <si>
    <t>Bomba lodos a Florentinos</t>
  </si>
  <si>
    <t>Indexer N° 1</t>
  </si>
  <si>
    <t>Transportador sinfín retorno de fruta</t>
  </si>
  <si>
    <t>Redler de fruta esterelizada N°2</t>
  </si>
  <si>
    <t>Fecha</t>
  </si>
  <si>
    <t>Año</t>
  </si>
  <si>
    <t>Mes</t>
  </si>
  <si>
    <t>Hora inicio</t>
  </si>
  <si>
    <t xml:space="preserve">Hora fin </t>
  </si>
  <si>
    <t>Tiempo paro (horas)</t>
  </si>
  <si>
    <t>Responsable diligenciamiento</t>
  </si>
  <si>
    <t>Transportador de torta</t>
  </si>
  <si>
    <t xml:space="preserve"> </t>
  </si>
  <si>
    <t>,</t>
  </si>
  <si>
    <t>Centrifuga 1</t>
  </si>
  <si>
    <t>RESUMEN HORAS DE PAROS POR SECCIÓN Y EQUIPO</t>
  </si>
  <si>
    <t>HORAS TOTALES POR TIPO DE PARO</t>
  </si>
  <si>
    <t>Desde</t>
  </si>
  <si>
    <t>(Todas)</t>
  </si>
  <si>
    <t>Dia</t>
  </si>
  <si>
    <t>Suma de Tiempo paro (horas)</t>
  </si>
  <si>
    <t>Tipo parada</t>
  </si>
  <si>
    <t>Horas de paro</t>
  </si>
  <si>
    <t>Porcentaje   (%)</t>
  </si>
  <si>
    <t>Total</t>
  </si>
  <si>
    <r>
      <t xml:space="preserve">CONTROL DE PAROS CPO 
</t>
    </r>
    <r>
      <rPr>
        <sz val="14"/>
        <color theme="1"/>
        <rFont val="Arial"/>
        <family val="2"/>
      </rPr>
      <t>Análisis Paradas No Programadas por equipo</t>
    </r>
  </si>
  <si>
    <t>HORAS TOTALES POR EQUIPO</t>
  </si>
  <si>
    <t>Hasta</t>
  </si>
  <si>
    <t>Porcentaje sobre total de paradas  (%)</t>
  </si>
  <si>
    <t>Falta de fruta esterilizado</t>
  </si>
  <si>
    <t>Desfrutador</t>
  </si>
  <si>
    <t>Caldera</t>
  </si>
  <si>
    <t>Elevador de fruto</t>
  </si>
  <si>
    <t>Arranque</t>
  </si>
  <si>
    <t>Redler # 2</t>
  </si>
  <si>
    <t>Limpieza parrilla caldera</t>
  </si>
  <si>
    <t>Redler Principal</t>
  </si>
  <si>
    <t>Autoclave # 1</t>
  </si>
  <si>
    <t xml:space="preserve">Digestor 2 </t>
  </si>
  <si>
    <t>Falta de Fruta en planta</t>
  </si>
  <si>
    <t>Fluído eléctrico</t>
  </si>
  <si>
    <t>Parrilla viajera</t>
  </si>
  <si>
    <t>Redler caldera</t>
  </si>
  <si>
    <t>Bomba bocatoma</t>
  </si>
  <si>
    <t>redler alimenta tolvas</t>
  </si>
  <si>
    <t>Planta en General</t>
  </si>
  <si>
    <t>Redler Transversal de fruto cocido</t>
  </si>
  <si>
    <t>Filtro cepillo #1</t>
  </si>
  <si>
    <t>Transportador de fruto bajo desfrutador</t>
  </si>
  <si>
    <t>bomba a florentinos</t>
  </si>
  <si>
    <t>Vagoneta</t>
  </si>
  <si>
    <t>Compresor esterilizacion</t>
  </si>
  <si>
    <t>Planta eléctrica</t>
  </si>
  <si>
    <t>Vagoneta #1</t>
  </si>
  <si>
    <t>Bomba tanque elevado</t>
  </si>
  <si>
    <t>Transportador Sinfín distribuidor fruto</t>
  </si>
  <si>
    <t>ventilador aire primario</t>
  </si>
  <si>
    <t>Centrifuga 3</t>
  </si>
  <si>
    <t>Transportador de fibra a calderas</t>
  </si>
  <si>
    <t>Válvula modulante distribuidor</t>
  </si>
  <si>
    <t>Banda de tusa</t>
  </si>
  <si>
    <t xml:space="preserve">Bomba de transferencia </t>
  </si>
  <si>
    <t xml:space="preserve">Vagoneta </t>
  </si>
  <si>
    <t>Redler # 1</t>
  </si>
  <si>
    <t>Bomba de lodos al ciclon desarenador N°1</t>
  </si>
  <si>
    <t>Secador de vacio</t>
  </si>
  <si>
    <t>indexer #1 , 2 ,3 ,4</t>
  </si>
  <si>
    <t>Valvula distribuidor</t>
  </si>
  <si>
    <t>Transportador Sinfín de nuez humeda a silo</t>
  </si>
  <si>
    <t>Ciclon de fibra</t>
  </si>
  <si>
    <t>Elevador nueces humedas</t>
  </si>
  <si>
    <t>Bomba alimentacion caldera</t>
  </si>
  <si>
    <t>Centrifugas</t>
  </si>
  <si>
    <t>Automatizacion</t>
  </si>
  <si>
    <t>Centrífuga #2</t>
  </si>
  <si>
    <t xml:space="preserve">Prensa tusas </t>
  </si>
  <si>
    <t>Transportador de fibra incinado</t>
  </si>
  <si>
    <t xml:space="preserve">Bomba de florentinos </t>
  </si>
  <si>
    <t>Tuberia licor de prensa</t>
  </si>
  <si>
    <t>Unidad hidraulica prensa 1</t>
  </si>
  <si>
    <t>Indexer #2</t>
  </si>
  <si>
    <t>Transportador de fruto hacia elevador</t>
  </si>
  <si>
    <t xml:space="preserve">Bomba de aceite seco </t>
  </si>
  <si>
    <t>Bomba de aceite del pre</t>
  </si>
  <si>
    <t>Vagoneta #2</t>
  </si>
  <si>
    <t>Redler Fracturadora</t>
  </si>
  <si>
    <t>ciclon desarenador 2</t>
  </si>
  <si>
    <t>Unidad hidraulica Prensa P15 #2</t>
  </si>
  <si>
    <t>Bomba de aceite húmedo</t>
  </si>
  <si>
    <t>Indexer #1</t>
  </si>
  <si>
    <t>Válvula distribuidor</t>
  </si>
  <si>
    <t>Transportador de fibra bajo ciclones</t>
  </si>
  <si>
    <t>Vagoneta #3</t>
  </si>
  <si>
    <t>Reservorio</t>
  </si>
  <si>
    <t>Unidad hidraulica de la autoclave N°1</t>
  </si>
  <si>
    <t>Indexer #4</t>
  </si>
  <si>
    <t>Tuberia de desarenados a tanque  de lodos</t>
  </si>
  <si>
    <t>Bomba de efluentes</t>
  </si>
  <si>
    <t>Bomba de recuperados de centrifugas</t>
  </si>
  <si>
    <t>Exclusa de fibra</t>
  </si>
  <si>
    <t>2.2</t>
  </si>
  <si>
    <t>clarificacion</t>
  </si>
  <si>
    <t>Bomba de lodos del preclarificador</t>
  </si>
  <si>
    <t xml:space="preserve">Silo de nuez </t>
  </si>
  <si>
    <t>Ciclon desarenador 1</t>
  </si>
  <si>
    <t>Bomba de lodos preclarificador</t>
  </si>
  <si>
    <t>Ducto de alimentación a caldera</t>
  </si>
  <si>
    <t>Bomba de agua lodosa</t>
  </si>
  <si>
    <t>Ducto de alimentación</t>
  </si>
  <si>
    <t>Transportador Sinfín de retorno fruto</t>
  </si>
  <si>
    <t>Tuberia aceite terminado</t>
  </si>
  <si>
    <t>Bomba aceite terminado</t>
  </si>
  <si>
    <t xml:space="preserve">Unidad de la tolva No.1 </t>
  </si>
  <si>
    <t>Autoclave # 2</t>
  </si>
  <si>
    <t>Transportador Sinfín de afrecho</t>
  </si>
  <si>
    <t>h parada 2017</t>
  </si>
  <si>
    <t>%</t>
  </si>
  <si>
    <t>Pareto</t>
  </si>
  <si>
    <t>Tablero de control y automatizacion esterilizacion</t>
  </si>
  <si>
    <t>Redler principal de fruta fresca</t>
  </si>
  <si>
    <t>Vagoneta N°2</t>
  </si>
  <si>
    <t>Bomba alimentacion de agua a caldera N°1</t>
  </si>
  <si>
    <t xml:space="preserve">Elevador de fruto </t>
  </si>
  <si>
    <t xml:space="preserve">Redler transversal de fruta esterilizada </t>
  </si>
  <si>
    <t xml:space="preserve">Transportador sinfín fibras bajo ciclones </t>
  </si>
  <si>
    <t>Vagoneta N°4</t>
  </si>
  <si>
    <t>Ciclon de fibras</t>
  </si>
  <si>
    <t xml:space="preserve">INDICADORES </t>
  </si>
  <si>
    <t>CPO</t>
  </si>
  <si>
    <t xml:space="preserve">Equipo </t>
  </si>
  <si>
    <t xml:space="preserve">Horas de parada </t>
  </si>
  <si>
    <t>H</t>
  </si>
  <si>
    <t xml:space="preserve">Porcentaje acumulado </t>
  </si>
  <si>
    <t xml:space="preserve">HPNP </t>
  </si>
  <si>
    <t>HL</t>
  </si>
  <si>
    <t xml:space="preserve">Transportador sinfín bajo desfrutador </t>
  </si>
  <si>
    <t>HPP</t>
  </si>
  <si>
    <t>Tamiz lodos</t>
  </si>
  <si>
    <t>Filtros cepillos N°1</t>
  </si>
  <si>
    <t>Vagoneta N°3</t>
  </si>
  <si>
    <t>Tanque lodos tamizados</t>
  </si>
  <si>
    <t xml:space="preserve">Tambor desfrutador </t>
  </si>
  <si>
    <t xml:space="preserve">Transportador sinfín distribuidor de fruto </t>
  </si>
  <si>
    <t>Autoclave N°2</t>
  </si>
  <si>
    <t>Mecánica</t>
  </si>
  <si>
    <t>Eléctrica</t>
  </si>
  <si>
    <t>Otras-Externa</t>
  </si>
  <si>
    <t>Falta RFF</t>
  </si>
  <si>
    <t>Corte energia red</t>
  </si>
  <si>
    <t>Raquis</t>
  </si>
  <si>
    <t xml:space="preserve">Generacion electrica </t>
  </si>
  <si>
    <t>Nave esterilización</t>
  </si>
  <si>
    <t>Nave central</t>
  </si>
  <si>
    <t>Nave caldera</t>
  </si>
  <si>
    <t>Nave CCM</t>
  </si>
  <si>
    <t>Nave florentino</t>
  </si>
  <si>
    <t>Comedor</t>
  </si>
  <si>
    <t>Contenedor de Laboratorio</t>
  </si>
  <si>
    <t>Unidad hidráulica tolva recepción</t>
  </si>
  <si>
    <t xml:space="preserve">Redler #1 </t>
  </si>
  <si>
    <t xml:space="preserve">Bomba Centrifuga del Foso de Tolvas </t>
  </si>
  <si>
    <t>Redler #2 de Fruta a Esterilizadores</t>
  </si>
  <si>
    <t>Esterilizador Oblicuo Automático</t>
  </si>
  <si>
    <t>Unidad hidraulica llenado esterilizador</t>
  </si>
  <si>
    <t>Unidad hidraulica descarga esterilizador</t>
  </si>
  <si>
    <t>Tolva para Fruto Esterilizado Dosificador</t>
  </si>
  <si>
    <t>Redler de Fruto Esterilizado</t>
  </si>
  <si>
    <t>Bomba para Chimenea de Esterilización</t>
  </si>
  <si>
    <t>Sensor de Presión Valvula de Alivio</t>
  </si>
  <si>
    <t>Bomba Foso de Condensados del Esterilizador</t>
  </si>
  <si>
    <t>Tapa Superior del Autoclave</t>
  </si>
  <si>
    <t>Tapa Inferior del Autoclave</t>
  </si>
  <si>
    <t>Dosificador de Fruto Cosido</t>
  </si>
  <si>
    <t xml:space="preserve">Desfrutador Sin Eje </t>
  </si>
  <si>
    <t>Sinfín para Fruto Suelto</t>
  </si>
  <si>
    <t>Hidroacople de Desfrutador</t>
  </si>
  <si>
    <t>Motor de Desfrutador</t>
  </si>
  <si>
    <t>Banda #1 para Racimos Vacíos</t>
  </si>
  <si>
    <t>Crusher para Racimos Vacíos</t>
  </si>
  <si>
    <t>Prensa para Racimos Vacíos</t>
  </si>
  <si>
    <t>Banda #2 Para Racimos Vacíos</t>
  </si>
  <si>
    <t>Tamiz Circular en Acero Inoxidable</t>
  </si>
  <si>
    <t>Elevador de Fruto</t>
  </si>
  <si>
    <t>Digestor Vertical</t>
  </si>
  <si>
    <t>Prensa de doble tornillo</t>
  </si>
  <si>
    <t>Tamiz circular aceite de prensas</t>
  </si>
  <si>
    <t>Unidad hidráulica prensa P15</t>
  </si>
  <si>
    <t>Bomba para Aceite del Preclarificador</t>
  </si>
  <si>
    <t>Tanque Pulmon del Tricanter (Agitador)</t>
  </si>
  <si>
    <t>Bomba para Lodos Aceitosos</t>
  </si>
  <si>
    <t>Bomba Tanque de Lodos Desarenados. Segunda Etapa</t>
  </si>
  <si>
    <t>Tricanter</t>
  </si>
  <si>
    <t>Sinfin de Sólidos Paleables del Tricanter</t>
  </si>
  <si>
    <t>Bomba de Aceite a Sistema de Secado</t>
  </si>
  <si>
    <t>Bomba de vacío -SIHI HALBERG (Germany) SIHI LPHX 55316</t>
  </si>
  <si>
    <t>Bomba de Aceite terminado Seco a Almacenamiento</t>
  </si>
  <si>
    <t>Bomba para Aceite Recuperado del Florentino</t>
  </si>
  <si>
    <t>Bomba para Efluentes del Florentino 2x1 1/4</t>
  </si>
  <si>
    <t>Tanque de Aceite Recuperado de Florentino</t>
  </si>
  <si>
    <t>Bomba para Purgas del Foso de la Clarificación</t>
  </si>
  <si>
    <t>Bomba para el Despacho de Aceite Crudo</t>
  </si>
  <si>
    <t>Tanque de Lodos Desarenados</t>
  </si>
  <si>
    <t>Bomba de Aceite Recuperado de Centrifuga</t>
  </si>
  <si>
    <t>Centrifuga de Platos Pasx 710T</t>
  </si>
  <si>
    <t>Desarenador # 1</t>
  </si>
  <si>
    <t>Desarenador # 2</t>
  </si>
  <si>
    <t>Tanque de Aceite Recuperado de Centrifuga</t>
  </si>
  <si>
    <t>Tanque de Agua Caliente</t>
  </si>
  <si>
    <t xml:space="preserve">Filtro Cepillo </t>
  </si>
  <si>
    <t>Precalificador</t>
  </si>
  <si>
    <t>Transportador de Torta</t>
  </si>
  <si>
    <t>Tambor Pulidor Sin Eje</t>
  </si>
  <si>
    <t>Ventilador del Sistema Neumático de Desfibración</t>
  </si>
  <si>
    <t>Esclusa del Sistema Neumático de Desfibración</t>
  </si>
  <si>
    <t>Ventilador del Sistema Neumático de Cascaras y Finos</t>
  </si>
  <si>
    <t>Esclusa del Sistema Neumático de Cascaras y Finos</t>
  </si>
  <si>
    <t>Redler #3 para Combustible</t>
  </si>
  <si>
    <t>Sinfín de Nueces Pulidas Hacia Sinfín</t>
  </si>
  <si>
    <t>Sinfín de Nueces a Elevador</t>
  </si>
  <si>
    <t>Elevador de Nueces</t>
  </si>
  <si>
    <t xml:space="preserve">Parrilla silo almendras </t>
  </si>
  <si>
    <t>Molino tipo Ripple Mill</t>
  </si>
  <si>
    <t xml:space="preserve">Esclusa Mezcla Triturada </t>
  </si>
  <si>
    <t xml:space="preserve">Esclusa de la Interfase </t>
  </si>
  <si>
    <t>Hidrociclón de Almendras y Cascaras</t>
  </si>
  <si>
    <t>Sinfín de Almendras a Elevador</t>
  </si>
  <si>
    <t>Esclusa del Sistema Neumático de Cascaras Húmedas</t>
  </si>
  <si>
    <t>Ventilador del Sistema Neumático de Cascaras Húmedas</t>
  </si>
  <si>
    <t>Elevador de Almendras</t>
  </si>
  <si>
    <t>Ventilador del Silo de Almendras</t>
  </si>
  <si>
    <t>Sinfín Bajo Silo de Almendras</t>
  </si>
  <si>
    <t xml:space="preserve">Redler #4 para Combustible a Caldera </t>
  </si>
  <si>
    <t xml:space="preserve">Redler #5 para el Retorno de Combustible </t>
  </si>
  <si>
    <t>Esclusa para Ceniza #1</t>
  </si>
  <si>
    <t>Esclusa para Ceniza #2</t>
  </si>
  <si>
    <t>Esclusa para Ceniza #3</t>
  </si>
  <si>
    <t>Esclusa para Ceniza #4</t>
  </si>
  <si>
    <t>Sinfín N° 1 para Cenizas</t>
  </si>
  <si>
    <t>Sinfín N° 2 para Cenizas</t>
  </si>
  <si>
    <t>Sinfín N° 3 para Cenizas</t>
  </si>
  <si>
    <t>Sinfín N° 4 bajo ESP para Cenizas</t>
  </si>
  <si>
    <t>Sinfín N° 5 de Cenizas</t>
  </si>
  <si>
    <t>Sinfín N° 6 de Cenizas</t>
  </si>
  <si>
    <t>Sinfín N° 7 de Cenizas</t>
  </si>
  <si>
    <t>Sinfín N° 8 de Cenizas</t>
  </si>
  <si>
    <t>Banda #3 Raquis Prensado / sinfín lodos tricanter</t>
  </si>
  <si>
    <t xml:space="preserve">Banda #5 Subproductos a tolva / bomba distribuidor de vapor </t>
  </si>
  <si>
    <t>Precipitador electrostático ESP</t>
  </si>
  <si>
    <t>Planta eléctrica de 1250 Kva</t>
  </si>
  <si>
    <t>Planta eléctrica de 72 Kva</t>
  </si>
  <si>
    <t>Compresor de aire FSN</t>
  </si>
  <si>
    <t>Turbina</t>
  </si>
  <si>
    <t>Tableros CCM</t>
  </si>
  <si>
    <t>Tablero Caldera</t>
  </si>
  <si>
    <t>Tablero ESP</t>
  </si>
  <si>
    <t>Tablero bomba pozo profundo</t>
  </si>
  <si>
    <t>Tanque almacenamiento No. 1</t>
  </si>
  <si>
    <t>Tanque almacenamiento No. 2</t>
  </si>
  <si>
    <t>Zona de cargue</t>
  </si>
  <si>
    <t>Caldera Inducido #1</t>
  </si>
  <si>
    <t>Caldera Inducido #2</t>
  </si>
  <si>
    <t>Caldera ventilador forzado</t>
  </si>
  <si>
    <t>Caldera ventilador secundario</t>
  </si>
  <si>
    <t>Caldera ventilador alimentador</t>
  </si>
  <si>
    <t>Caldera sinfín alimentador</t>
  </si>
  <si>
    <t>Caldera compresor</t>
  </si>
  <si>
    <t>Caldera bomba agua #1</t>
  </si>
  <si>
    <t>Caldera bomba agua #2</t>
  </si>
  <si>
    <t>Caldera bomba desaireador #1</t>
  </si>
  <si>
    <t>Caldera bomba desaireador #2</t>
  </si>
  <si>
    <t>Caldera dosificador #1</t>
  </si>
  <si>
    <t>Caldera dosificador #2</t>
  </si>
  <si>
    <t>Caldera redler ceniza humeda</t>
  </si>
  <si>
    <t>Caldera Refrigeración parrilla</t>
  </si>
  <si>
    <t>Caldera bomba hidráulica #1</t>
  </si>
  <si>
    <t>Caldera bomba hidráulica #2</t>
  </si>
  <si>
    <t>Caldera hidráulico A4</t>
  </si>
  <si>
    <t>Caldera ciclón A3</t>
  </si>
  <si>
    <t>Caldera hogar</t>
  </si>
  <si>
    <t>Caldera instrumentación</t>
  </si>
  <si>
    <t>Caldera Mofle de Flotador de Agua</t>
  </si>
  <si>
    <t>Bomba de filtros No. 1</t>
  </si>
  <si>
    <t>Bomba de filtros No. 2</t>
  </si>
  <si>
    <t>Bomba agua suavizada No. 1</t>
  </si>
  <si>
    <t>Bomba agua suavizada No. 2</t>
  </si>
  <si>
    <t>Tablero eléctrico</t>
  </si>
  <si>
    <t>Planta de agua</t>
  </si>
  <si>
    <t>Flujómetro de efluente final</t>
  </si>
  <si>
    <r>
      <t xml:space="preserve">INDICADOR DE PARADAS CPO EL PAJUIL
</t>
    </r>
    <r>
      <rPr>
        <sz val="14"/>
        <color theme="1"/>
        <rFont val="Arial"/>
        <family val="2"/>
      </rPr>
      <t>Instructivo de la herramienta</t>
    </r>
  </si>
  <si>
    <r>
      <t xml:space="preserve">INDICADOR DE PARADAS CPO 
</t>
    </r>
    <r>
      <rPr>
        <sz val="14"/>
        <color theme="1"/>
        <rFont val="Arial"/>
        <family val="2"/>
      </rPr>
      <t>Resumen</t>
    </r>
    <r>
      <rPr>
        <b/>
        <sz val="14"/>
        <color theme="1"/>
        <rFont val="Arial"/>
        <family val="2"/>
      </rPr>
      <t xml:space="preserve"> </t>
    </r>
    <r>
      <rPr>
        <sz val="14"/>
        <color theme="1"/>
        <rFont val="Arial"/>
        <family val="2"/>
      </rPr>
      <t>general</t>
    </r>
  </si>
  <si>
    <t>Día</t>
  </si>
  <si>
    <t>ATASCAMIENTO EN LA PRENSA P15</t>
  </si>
  <si>
    <t>CAMBIO DE ENERGIA</t>
  </si>
  <si>
    <t>FALTA DE FRUTO ESTERILIZADO</t>
  </si>
  <si>
    <t>FALLA EN EL REDLER</t>
  </si>
  <si>
    <t>FALLA EN BANDA DE RAQUIS</t>
  </si>
  <si>
    <t>DAÑO DE RODAMIENTOS DE REDUCTOR DE LA PRENSA P15</t>
  </si>
  <si>
    <t>DAÑO DE RODAMIENTOS DE REDUCTOR DE LA PRENSA P16</t>
  </si>
  <si>
    <t>DAÑO DE RODAMIENTOS DE REDUCTOR DE LA PRENSA P17</t>
  </si>
  <si>
    <t>REVISION POLEAS MOTOR DE PRENSA</t>
  </si>
  <si>
    <t xml:space="preserve">REVISION DE MOTOREDUCTOR </t>
  </si>
  <si>
    <t>FALLA EN REDLER 4</t>
  </si>
  <si>
    <t xml:space="preserve">FALLA EN LA BOMBA ALIMENTADORA  AGUA A CALDERA </t>
  </si>
  <si>
    <t>ATASCAMIENTO EN ELEVADOR DE FRUTO</t>
  </si>
  <si>
    <t>CAPACITACION CON ARL</t>
  </si>
  <si>
    <t>DAÑO EN TOLVA DE FRUTO ESTERILIZADO</t>
  </si>
  <si>
    <t>ATASCAMIENTO EN PRENSA RAQUIS</t>
  </si>
  <si>
    <t>FALLA EN TURBINA</t>
  </si>
  <si>
    <t xml:space="preserve">RECUPERAR EL NIVEL DEL DIGESTOR Y DAR MASERACION </t>
  </si>
  <si>
    <t>FALLA EN REDLER #1</t>
  </si>
  <si>
    <t>FALLA EN MOTORES DE ARRANQUE DE LA PLANTA ELECTRICA Y BATERIAS</t>
  </si>
  <si>
    <t>FALLA EN VENTILADOR DE NUEZ ROTA</t>
  </si>
  <si>
    <t>FALLA EN GENERADOR ELECTRICO</t>
  </si>
  <si>
    <t>REPARACION DE CHUMACERA DEL SINIFIN TRANSPORTADOR DE SOLIDOS DEL TRICANTER</t>
  </si>
  <si>
    <t xml:space="preserve">FALLA EN LA CHUMACERA DEL ELEVADOR DE FRUTO </t>
  </si>
  <si>
    <t xml:space="preserve">LIMPIEZA DE LOS FILTROS DEL GENERADOR </t>
  </si>
  <si>
    <t>ATASCAMIENTO DUCTO DEL DIGESTOR</t>
  </si>
  <si>
    <t xml:space="preserve">FALLA EN SINFÍN BAJO DESFRUTADOR </t>
  </si>
  <si>
    <t xml:space="preserve">FALLA EN EL REDLER DE FRUTO ESTERILIZADO </t>
  </si>
  <si>
    <t>FALLA EN SINFÍN ALIMENTADOR DE CALDERA</t>
  </si>
  <si>
    <t>QUEDA EN VACIO EL PANTALON DE LA PRENSA P15</t>
  </si>
  <si>
    <t>EQUIPO</t>
  </si>
  <si>
    <t>HORAS</t>
  </si>
  <si>
    <t>SE REVENTO CADENA DEL ELEVADOR DE FRUTO</t>
  </si>
  <si>
    <t>REVISION PREVENTIVA</t>
  </si>
  <si>
    <t>FALLA EN LA APERTURA DE LA PUERTA SUPERIOR DEL ESTERILIZADOR</t>
  </si>
  <si>
    <t xml:space="preserve">ATASCAMIENTO DEL ELEVADOR DE FRUTO </t>
  </si>
  <si>
    <t>NIVEL BAJO DEL DIGESTOR</t>
  </si>
  <si>
    <t>FUGA ENN TANQUE DE LODOS, SE ROMPIO EL PISO</t>
  </si>
  <si>
    <t xml:space="preserve">FALLA ELEVADOR DE FRUTO </t>
  </si>
  <si>
    <t>DAÑO EN EL CABLE DEL SENSOR DEL ELEVADOR DE NUEZ</t>
  </si>
  <si>
    <t>ELEVADOR DE NUEZ</t>
  </si>
  <si>
    <t xml:space="preserve">MANTENIMIENTO PROGRAMADO EN LA PLANTA </t>
  </si>
  <si>
    <t>ATASCAMIENTO EN DUCTO QUE VA DE DIGESTRO A PRENSA P15</t>
  </si>
  <si>
    <t>SE ABRIO TAPA DEL ESTERILIZADOR</t>
  </si>
  <si>
    <t>SE QUEDA SIN VAPOR EL DIGESTOR</t>
  </si>
  <si>
    <t xml:space="preserve">SE ROMPIO EL SELLO MECANICO DE LA BOMBA DE LODOS DESARENADOS </t>
  </si>
  <si>
    <t>SE ROMPIERON LOS FUSIBLES DE LA PRENSA P15</t>
  </si>
  <si>
    <t>DESALINEACION DEL EJE EN EL ELEVADOR</t>
  </si>
  <si>
    <t xml:space="preserve">FALTA DE FRUTO EN RECEPCCION </t>
  </si>
  <si>
    <t xml:space="preserve">Tolva para recepción de fruto fresco  </t>
  </si>
  <si>
    <t>CORRECCION DE FUGA EN DUCTO DE REDLER A ESTERILIZADOR</t>
  </si>
  <si>
    <t>ATASCAMIENTO EN EL DUCTO DEL SINFÍN BAJO DESFRUTADOR</t>
  </si>
  <si>
    <t>CAMBIO DE BOMBA DE LODOS DESARENADOS</t>
  </si>
  <si>
    <t>SE ROMPIO EL EJE CORTO DE LA TRANSMISION DE LA PRENSA P15</t>
  </si>
  <si>
    <t xml:space="preserve">CAMBIO DE CADENA DEL ELEVADOR DE FRUTO </t>
  </si>
  <si>
    <t>DESOCUPAR EL PRECLARIFICADOR PARA REALIZAR BACHE DE SOAGROCOL</t>
  </si>
  <si>
    <t>ATASCAMIENTO EN TUBERIA DE ALIMENTACION AL TRICANTER</t>
  </si>
  <si>
    <t>FALLA MECANICA EN EL ELEVADOR DE FRUTO</t>
  </si>
  <si>
    <t>SE APAGO LA PLANTA ELECTRICA</t>
  </si>
  <si>
    <t>INTERVENCION DEL SENSOR DEL ANILLO DE LA PUERTA INFERIROR DEL ESTERILIZADOR</t>
  </si>
  <si>
    <t>ATASCAMIENTO EN PPRENSA RAQUIS</t>
  </si>
  <si>
    <t>FALLA EN EL ELEVADOR DE NUECES</t>
  </si>
  <si>
    <t xml:space="preserve">FALLA EN BOMBA ALIMENTADORA DE AGUA A CALDERA </t>
  </si>
  <si>
    <t xml:space="preserve">FALLA EN ELEVADOR DE NUECES </t>
  </si>
  <si>
    <t>Se encontro un pedazo de lamina metalica dentro del digestor.</t>
  </si>
  <si>
    <t xml:space="preserve">se presenta atascamienot en la prensa de raquis </t>
  </si>
  <si>
    <t>Se presenta falla en la conexión del sensor del elevador de nuez</t>
  </si>
  <si>
    <t>SE ROMPIO EL EJE LARGO DE LA TRANSMISION DE LA PRENSA P15</t>
  </si>
  <si>
    <t>AJUSTE DE PARAMETORS DE LA VALVULA DE ALIVIO</t>
  </si>
  <si>
    <t xml:space="preserve">SE ROMPIO EL BYPASS DE LA PRENSA DE RAQUIS </t>
  </si>
  <si>
    <t>SE ATAZCO LA ESCLUSA DEL VENTILADOR DE FIBRAS Y SE REVENTO LA CADENA DE TRASMISION.</t>
  </si>
  <si>
    <t>CAMBIO DE RODAMEINTO</t>
  </si>
  <si>
    <t xml:space="preserve">FALLA EN VARIADOR DEL ELEVADOR DE FRUTO </t>
  </si>
  <si>
    <t>FALLA EN CUÑA DEL RODAMIENTO DE LA TRASMISION DEL MOTORREDUCTOR Y SE PROCEDE A CAMBIARLA</t>
  </si>
  <si>
    <t>SE DESALINEO EL PIÑON DEL SISTEMA DE TRASMISION DEL ELEVADOR DE FRUTO</t>
  </si>
  <si>
    <t>SE ROMPIO EL EJE CORTO DE LA TRANSMISION DE LA PRENSA P16</t>
  </si>
  <si>
    <t>Atazcamiento de fruta esterilizada en la tolva</t>
  </si>
  <si>
    <t>FALLA EN SENSOR DEL REDLER #4</t>
  </si>
  <si>
    <t>FALLA EN EL SENSOR DEL ELEVADOR DE NUEZ</t>
  </si>
  <si>
    <t xml:space="preserve">ATASCAMIENTO EN BANDA RAQUIS </t>
  </si>
  <si>
    <t>FALLA EN MOTORREDUCTOR DE LA BANDA RAQUIS</t>
  </si>
  <si>
    <t>FALTA DE FRUTA FRESCA EN PLANTA</t>
  </si>
  <si>
    <t>FALLA EN SENSOR DE REDLER #4</t>
  </si>
  <si>
    <t>FRUTA PEGADA EN TOLVA DE FRUTO ESTERILIZADO</t>
  </si>
  <si>
    <t>ATASCAMIENTO EN LA PRENSA RAQUIS</t>
  </si>
  <si>
    <t xml:space="preserve">FALLA EN MOTOR DE DOSIFICADOR </t>
  </si>
  <si>
    <t>SE APAGARON LAS ESCLUSAS DE DESFIBRADO</t>
  </si>
  <si>
    <t>FALLA EN ARRANQUE DEL ELEVADOR DE NUECES</t>
  </si>
  <si>
    <t xml:space="preserve">CAMBIO DE MANGUITOS Y RODAMIENTOS DEL SISTEMA DE TRASMISION </t>
  </si>
  <si>
    <t>FUGA EN LA TAPA DE CEBADERO DE EFLUENTES</t>
  </si>
  <si>
    <t xml:space="preserve">ATASCAMIENTO EN RIPPLE MILL Y BANDA DE ELEVADOR EN MAL ESTADO  </t>
  </si>
  <si>
    <t xml:space="preserve">CORRECCION DE BARREDORA SUELTA EN UNO DE SUS EXTREMOS </t>
  </si>
  <si>
    <t>BAJO NIVEL DEL DIGESTOR</t>
  </si>
  <si>
    <t>ELEVADOR DE FRUTO PRESENTO FALLA ELECTRICA</t>
  </si>
  <si>
    <t>ATASCAMIENTO EN TOLVA DE FRUTO ESTERILIZADO</t>
  </si>
  <si>
    <t>FALLA EN REDLER #4</t>
  </si>
  <si>
    <t>CAMBIO DE BARREDORA DEL REDLER #4</t>
  </si>
  <si>
    <t xml:space="preserve">ATASCAMIENTO EN ELEVADOR DE FRUTO </t>
  </si>
  <si>
    <t xml:space="preserve">SE ENCUENTRA UNA PALETA EN EL PULIDOR </t>
  </si>
  <si>
    <t>FALLA EN LA UNIDAD HIDRAULICA DE LA CALDERA</t>
  </si>
  <si>
    <t>SE SOLDO BUJE DE  ALARGADERA DEL LA PRENSA P15</t>
  </si>
  <si>
    <t>FALLA EN REDLER #3</t>
  </si>
  <si>
    <t>MASERACION BAJO NIVEL DEL DIGESTOR</t>
  </si>
  <si>
    <t>FALTA DE CAPACIDAD EN LOS TANQUES DE ALMACENAMIENTO</t>
  </si>
  <si>
    <t>FALLA EN SENSOR DE CERRADO EN COMPUEERTA SUPERIOR DE ESTERILIZADOR</t>
  </si>
  <si>
    <t>DAÑO EN TAMIZ DE LA PRENSA P15 Y DESALINEACION DE CADENA DEL REDLER #1</t>
  </si>
  <si>
    <t xml:space="preserve">SE DOBLO Y SE DESPRENDIO  EL ALAVE DEL SINFÍN OBLICUO DEL ESTERILIZADOR </t>
  </si>
  <si>
    <t>FALLA ELECTRICA EN ELLEVADOR DE NUEZ</t>
  </si>
  <si>
    <t xml:space="preserve">FALLA EN ELEVADOR DE FRUTO </t>
  </si>
  <si>
    <t>SE TAPO EL DESARENADOR #1</t>
  </si>
  <si>
    <t>FALLA EN EL SENSOR DE LA ESCLUSA DE FIBRA</t>
  </si>
  <si>
    <t>ATASCAMIENTO EN DOSIFICADOR</t>
  </si>
  <si>
    <t xml:space="preserve">FALLA EN EL GENERADOR </t>
  </si>
  <si>
    <t>AJUSTE DE RIPPLE MILL</t>
  </si>
  <si>
    <t>SE ROMPIO ACOPLE DEL SINFÍN BAJO DESFRUTADOR</t>
  </si>
  <si>
    <t>total</t>
  </si>
  <si>
    <t xml:space="preserve">FALLA EN EL SENSOR DEL ELEVADOR DE NUECES </t>
  </si>
  <si>
    <t>SE ROMPIERON LOS TORNILLOS FUSIBLES DE LA PRENSA P15</t>
  </si>
  <si>
    <t>SE ROMPIO CADENA DE TRASMISION DEL ELEVADOR DE FRUTO</t>
  </si>
  <si>
    <t>SE ROMPIO CADENA DE CANGILONES DEL ELEVADOR DE FRUTO</t>
  </si>
  <si>
    <t>SE SAFO CADENA DE CANGILONES DEL ELEVADOR DE FRUTO</t>
  </si>
  <si>
    <t xml:space="preserve">SE ATASCO EL ELEVADOR DE FRUTO </t>
  </si>
  <si>
    <t>FALLA ELECTRICA EN CCM</t>
  </si>
  <si>
    <t>SE ROMPIO LA CADENA DEL ACOPLE TIPO PIÑON DEL SINFÍN BAJO DESFRUTAODR</t>
  </si>
  <si>
    <t>DAÑO EN ELCTROVALVULA DEL DESARENADOR #1</t>
  </si>
  <si>
    <t>SE LE REALIZO AJUSTE A LA MORDAZA DEL MOLINO RIPPLE MILL</t>
  </si>
  <si>
    <t>FALTA DE FRUTA ESTERILIZADA</t>
  </si>
  <si>
    <t>SE RECALENTO HIDRO FLOW DEL DESFRUTADOR</t>
  </si>
  <si>
    <t>FALLA EN EL SENSOR DEL REDLER #4</t>
  </si>
  <si>
    <t>SE ROMPÍO MANGUERA DE AIRE DEL DESARENADOR #1</t>
  </si>
  <si>
    <t>SE REBOSO FOSO DE PURGAS DE CLARIFICACION</t>
  </si>
  <si>
    <t>SE PARTIERON TORNILLOS FUSIBLES DEL ACOPLE GALLETA DE LA PRENSA P15</t>
  </si>
  <si>
    <t>SE ROMPIO CADENA DEL ACOPLE DEL SINFÍN ROMPETROTA</t>
  </si>
  <si>
    <t>SE CAMBIO TORNILLOS, CANASTA Y EJE CORTO DE LA PRENSA P15</t>
  </si>
  <si>
    <t xml:space="preserve">SATURACION DE LODOS EN TANQUE DE LODOS DESARENADOS </t>
  </si>
  <si>
    <t>SE ROMPIO EL RODAMEINTO DE LA BOMBA DE ALIMENTACION DE AGUA A CALDERA</t>
  </si>
  <si>
    <t>Mtto Programado</t>
  </si>
  <si>
    <t>Mto no programado</t>
  </si>
  <si>
    <t>SE DAÑO EL RODAMEINTO DE LA BOMBA MULTIETAPAS</t>
  </si>
  <si>
    <t xml:space="preserve">PASO DE FIBRA HUMEDA EN MOLINO RIPPLE MILL </t>
  </si>
  <si>
    <t>SE AJUSTO MORDAZA DEL MOLINO RIPPLE MILL</t>
  </si>
  <si>
    <t>FALLA EN EL PLC</t>
  </si>
  <si>
    <t>ATASCAMIENTO EN DUCTO DE DESCARGA DE LA PRENSA DE TUSAS</t>
  </si>
  <si>
    <t>FALLA EN SENSOR DEL ELEVADOR DE NUEZ</t>
  </si>
  <si>
    <t>FALLA EN EL SENSOR DEL REDLER #3</t>
  </si>
  <si>
    <t>DAÑO EN LA CADENA DE TRASMISION DEL ELEVADOR DE FRUTO</t>
  </si>
  <si>
    <t>SE CAMBIO LA BOMBA DEL TANQUE DE LODOS DEL PRECLARIFICADOR</t>
  </si>
  <si>
    <t>FALLA EN LA BOMBA DE LA UNIDAD HIDRAULICA DE TOLVA</t>
  </si>
  <si>
    <t>SE ROMPIO EL EJE LARGO DE LA PRENSA P15</t>
  </si>
  <si>
    <t>FALLA EN LOS CENSORES DE LA PUERTA SUPERIOR DEL ESTERILIZADOR</t>
  </si>
  <si>
    <t xml:space="preserve">SE ROMPIO EL  CANDADO DE LA CADENA DEL ELEVADOR DE FRUTO </t>
  </si>
  <si>
    <t>ATASCAMIENTO EN DUCTO DEL REDLER #2</t>
  </si>
  <si>
    <t xml:space="preserve">FALTA DE FRUTO ESTERILIZADO, SE ATRAZO LA ESTERILIZADA DE FRUTO POR LA FALLA EN LOS SENSORES DE LA PUERTA DEL ESTERILIZADOR </t>
  </si>
  <si>
    <t xml:space="preserve">HORAS TOTALES PROGRAMADAS </t>
  </si>
  <si>
    <t>HOROMETRO INICIAL</t>
  </si>
  <si>
    <t xml:space="preserve">HOROMETRO FINAL </t>
  </si>
  <si>
    <t>HORAS NO PROCESADAS</t>
  </si>
  <si>
    <t>FALLA ELECTRICA</t>
  </si>
  <si>
    <t>FALLA MECANICA</t>
  </si>
  <si>
    <t>ATASCAMIENTO</t>
  </si>
  <si>
    <t>MANTENIMIENTO PROGRAMADO</t>
  </si>
  <si>
    <t>TOTAL</t>
  </si>
  <si>
    <t>TIPO DE PARADA</t>
  </si>
  <si>
    <t>TIEMPO/ HORAS</t>
  </si>
  <si>
    <t>CANTIDAD DE FALLAS</t>
  </si>
  <si>
    <t>EFICIENCIA DE PLANTA</t>
  </si>
  <si>
    <t>TIEMPO TOTAL DE FUNCIONAMIENTO DE LA PLANNTA</t>
  </si>
  <si>
    <t>NUMERO DE FALLAS</t>
  </si>
  <si>
    <t>TIEMPO TOTAL DE HORAS PARADAS POR REPARACION</t>
  </si>
  <si>
    <r>
      <t>MTBF</t>
    </r>
    <r>
      <rPr>
        <sz val="12"/>
        <color theme="1"/>
        <rFont val="Calibri"/>
        <family val="2"/>
        <scheme val="minor"/>
      </rPr>
      <t xml:space="preserve"> (Tiempo Medio Entre Fallos)</t>
    </r>
  </si>
  <si>
    <r>
      <t>MTTR</t>
    </r>
    <r>
      <rPr>
        <sz val="12"/>
        <color theme="1"/>
        <rFont val="Calibri"/>
        <family val="2"/>
        <scheme val="minor"/>
      </rPr>
      <t xml:space="preserve"> (Tiempo Medio de Reparación)</t>
    </r>
  </si>
  <si>
    <t>TIPO DE FALLA</t>
  </si>
  <si>
    <t>ELECTRICA</t>
  </si>
  <si>
    <t>MECANICA</t>
  </si>
  <si>
    <t xml:space="preserve">PLAN DE ACCION </t>
  </si>
  <si>
    <t>SE ATASCO EL DUCTO DEL RIPPLE MILL</t>
  </si>
  <si>
    <t>AJUSTE EN EL VARIADOR DE LA PRENSA P15</t>
  </si>
  <si>
    <t>FALLA EN LOS CENSORES DE LA PUERTA INFERIOR DEL ESTERILIZADOR</t>
  </si>
  <si>
    <t>SE ROMPIO EL FILTRO CEPILLO</t>
  </si>
  <si>
    <t>APAGON DE TODOS LOS EQUIPOS DE LA PLANTA</t>
  </si>
  <si>
    <t xml:space="preserve">SE APAGO EL GENERADOR POR BAJO NIVEL DE REFRIGERANTE </t>
  </si>
  <si>
    <t>AJUSTE DE PARAMETROS DEL VARIADOR DE LA PRENSA P15</t>
  </si>
  <si>
    <t xml:space="preserve">SE ROMPIERON LOS RODAMEINTOS DE LA PRENSA RAQUIS </t>
  </si>
  <si>
    <t>SE ROMPIO EL EJE LARGO DE LA PRENSA P 15</t>
  </si>
  <si>
    <t>FALLA EN SINFÍN BAJO DESFRUTADOR, SE ATAZCO FIBRA Y LONA Y CABUYA EN EL PUENTE DEL SINFÍN</t>
  </si>
  <si>
    <t xml:space="preserve">ATASCAMIENTO EN LA BANDA DE RACIMOS VACIOS </t>
  </si>
  <si>
    <t>SE ROMPIO ALAVE DEL SINFÍN BAJJO DESFRUTADOR</t>
  </si>
  <si>
    <t>lunes</t>
  </si>
  <si>
    <t>domingo</t>
  </si>
  <si>
    <t>martes</t>
  </si>
  <si>
    <t>sábado</t>
  </si>
  <si>
    <t>viernes</t>
  </si>
  <si>
    <t>miércoles</t>
  </si>
  <si>
    <t>jueves</t>
  </si>
  <si>
    <t>Detalles para Suma de Tiempo paro (horas) - Mes: February, Fecha: 5/6/2026 (+)</t>
  </si>
  <si>
    <t>HORAS EFECTIVAS DE PROCESO</t>
  </si>
  <si>
    <t>HORAS EFECTIVAS DE LA PRENSA</t>
  </si>
  <si>
    <t xml:space="preserve">SE ROMPIERON LOS RODAMEINTOS DEL EJE MOTRIZ  DE LA PRENSA RAQUIS </t>
  </si>
  <si>
    <t>Se evidencio que estaban llegando sensores que no correspondian a los solicitados, ahora si llega la refencia correcta.</t>
  </si>
  <si>
    <t>Imprevisto electrico - N/A</t>
  </si>
  <si>
    <t>El nuevo radiador llega a finales del mes de julio 2026</t>
  </si>
  <si>
    <t>N/A</t>
  </si>
  <si>
    <t>Se cambio completo el eje motriz de la prensa raquis</t>
  </si>
  <si>
    <t xml:space="preserve">Ya se pidio el nuevo sistema de trasmision con cadena 100 paso doble </t>
  </si>
  <si>
    <t>A finales del mes de julio se va  a cambiar el sistema de sujeción entre tornillos y ejes de cuadrado a circular.</t>
  </si>
  <si>
    <t>SE ROMPIO ALAVE DEL SINFÍN BAJO DESFRUTADOR</t>
  </si>
  <si>
    <t xml:space="preserve">Se debe modificar el sinfín para fruto suelto, pasar de cinta a sinfín continuo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</si>
</sst>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_);_(* \(#,##0.00\);_(* &quot;-&quot;??_);_(@_)"/>
    <numFmt numFmtId="165" formatCode="_-* #,##0.00\ _€_-;\-* #,##0.00\ _€_-;_-* &quot;-&quot;??\ _€_-;_-@_-"/>
    <numFmt numFmtId="166" formatCode="_([$€-2]* #,##0.00_);_([$€-2]* \(#,##0.00\);_([$€-2]* &quot;-&quot;??_)"/>
    <numFmt numFmtId="167" formatCode="_-* #,##0.00\ &quot;Pts&quot;_-;\-* #,##0.00\ &quot;Pts&quot;_-;_-* &quot;-&quot;??\ &quot;Pts&quot;_-;_-@_-"/>
    <numFmt numFmtId="168" formatCode="0.0%"/>
    <numFmt numFmtId="169" formatCode="mmmm"/>
    <numFmt numFmtId="170" formatCode="yyyy"/>
    <numFmt numFmtId="171" formatCode="hh:mm"/>
    <numFmt numFmtId="172" formatCode="dd/mm/yyyy;@"/>
    <numFmt numFmtId="173" formatCode="[$-F400]h:mm:ss\ AM/PM"/>
    <numFmt numFmtId="174" formatCode="0.0"/>
  </numFmts>
  <fonts count="67">
    <font>
      <sz val="11"/>
      <color theme="1"/>
      <name val="Calibri"/>
      <family val="2"/>
      <scheme val="minor"/>
    </font>
    <font>
      <sz val="11"/>
      <color theme="1"/>
      <name val="Calibri"/>
      <family val="2"/>
      <scheme val="minor"/>
    </font>
    <font>
      <sz val="11"/>
      <color indexed="8"/>
      <name val="Calibri"/>
      <family val="2"/>
    </font>
    <font>
      <sz val="10"/>
      <name val="Arial"/>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u/>
      <sz val="11"/>
      <color theme="10"/>
      <name val="Calibri"/>
      <family val="2"/>
      <scheme val="minor"/>
    </font>
    <font>
      <u/>
      <sz val="11"/>
      <color theme="11"/>
      <name val="Calibri"/>
      <family val="2"/>
      <scheme val="minor"/>
    </font>
    <font>
      <b/>
      <sz val="10"/>
      <color theme="1"/>
      <name val="Calibri Light"/>
      <family val="2"/>
    </font>
    <font>
      <sz val="9"/>
      <color theme="1"/>
      <name val="Calibri Light"/>
      <family val="2"/>
    </font>
    <font>
      <b/>
      <sz val="9"/>
      <color theme="1"/>
      <name val="Calibri Light"/>
      <family val="2"/>
    </font>
    <font>
      <b/>
      <sz val="12"/>
      <color theme="1"/>
      <name val="Arial Narrow"/>
      <family val="2"/>
    </font>
    <font>
      <sz val="12"/>
      <color theme="1"/>
      <name val="Arial Narrow"/>
      <family val="2"/>
    </font>
    <font>
      <b/>
      <sz val="16"/>
      <color theme="3"/>
      <name val="Arial Narrow"/>
      <family val="2"/>
    </font>
    <font>
      <sz val="10"/>
      <color theme="1"/>
      <name val="Arial Narrow"/>
      <family val="2"/>
    </font>
    <font>
      <sz val="12"/>
      <color theme="1"/>
      <name val="Tahoma"/>
      <family val="2"/>
    </font>
    <font>
      <sz val="11"/>
      <color rgb="FF000000"/>
      <name val="Arial Narrow"/>
      <family val="2"/>
    </font>
    <font>
      <sz val="11"/>
      <color theme="1"/>
      <name val="Arial Narrow"/>
      <family val="2"/>
    </font>
    <font>
      <b/>
      <sz val="11"/>
      <color theme="1"/>
      <name val="Arial Narrow"/>
      <family val="2"/>
    </font>
    <font>
      <b/>
      <sz val="11"/>
      <color theme="1"/>
      <name val="Calibri"/>
      <family val="2"/>
      <scheme val="minor"/>
    </font>
    <font>
      <b/>
      <i/>
      <sz val="16"/>
      <color theme="1"/>
      <name val="Calibri"/>
      <family val="2"/>
      <scheme val="minor"/>
    </font>
    <font>
      <sz val="8"/>
      <name val="Calibri"/>
      <family val="2"/>
      <scheme val="minor"/>
    </font>
    <font>
      <b/>
      <sz val="14"/>
      <color theme="1"/>
      <name val="Arial"/>
      <family val="2"/>
    </font>
    <font>
      <sz val="14"/>
      <color theme="1"/>
      <name val="Arial"/>
      <family val="2"/>
    </font>
    <font>
      <b/>
      <sz val="12"/>
      <color theme="1"/>
      <name val="Arial"/>
      <family val="2"/>
    </font>
    <font>
      <sz val="10"/>
      <color indexed="81"/>
      <name val="Arial"/>
      <family val="2"/>
    </font>
    <font>
      <sz val="12"/>
      <color theme="1"/>
      <name val="Arial"/>
      <family val="2"/>
    </font>
    <font>
      <b/>
      <sz val="14"/>
      <color theme="3"/>
      <name val="Arial"/>
      <family val="2"/>
    </font>
    <font>
      <b/>
      <sz val="11"/>
      <color theme="1"/>
      <name val="Arial"/>
      <family val="2"/>
    </font>
    <font>
      <sz val="11"/>
      <color theme="1"/>
      <name val="Arial"/>
      <family val="2"/>
    </font>
    <font>
      <b/>
      <sz val="11"/>
      <color rgb="FFFF0000"/>
      <name val="Arial"/>
      <family val="2"/>
    </font>
    <font>
      <sz val="11"/>
      <color indexed="81"/>
      <name val="Arial"/>
      <family val="2"/>
    </font>
    <font>
      <sz val="12"/>
      <name val="Arial"/>
      <family val="2"/>
    </font>
    <font>
      <b/>
      <sz val="12"/>
      <name val="Arial"/>
      <family val="2"/>
    </font>
    <font>
      <sz val="12"/>
      <color theme="1"/>
      <name val="Century Gothic"/>
      <family val="1"/>
    </font>
    <font>
      <b/>
      <sz val="12"/>
      <color theme="1"/>
      <name val="Century Gothic"/>
      <family val="2"/>
    </font>
    <font>
      <b/>
      <sz val="12"/>
      <color theme="0"/>
      <name val="Arial"/>
      <family val="2"/>
    </font>
    <font>
      <b/>
      <sz val="9"/>
      <color indexed="10"/>
      <name val="Tahoma"/>
      <family val="2"/>
    </font>
    <font>
      <sz val="12"/>
      <color rgb="FF000000"/>
      <name val="Century Gothic"/>
      <family val="1"/>
    </font>
    <font>
      <sz val="12"/>
      <name val="Arial"/>
    </font>
    <font>
      <b/>
      <sz val="12"/>
      <name val="Arial"/>
    </font>
    <font>
      <i/>
      <sz val="12"/>
      <color theme="1"/>
      <name val="Century Gothic"/>
      <family val="2"/>
    </font>
    <font>
      <i/>
      <sz val="12"/>
      <color theme="1"/>
      <name val="Arial"/>
      <family val="2"/>
    </font>
    <font>
      <sz val="9"/>
      <color indexed="81"/>
      <name val="Tahoma"/>
      <charset val="1"/>
    </font>
    <font>
      <b/>
      <sz val="9"/>
      <color indexed="81"/>
      <name val="Tahoma"/>
      <charset val="1"/>
    </font>
    <font>
      <sz val="9"/>
      <color indexed="81"/>
      <name val="Tahoma"/>
      <family val="2"/>
    </font>
    <font>
      <sz val="12"/>
      <color theme="1"/>
      <name val="Arial"/>
      <family val="2"/>
    </font>
    <font>
      <sz val="12"/>
      <color theme="1"/>
      <name val="Calibri"/>
      <family val="2"/>
      <scheme val="minor"/>
    </font>
    <font>
      <b/>
      <sz val="12"/>
      <color theme="1"/>
      <name val="Century Gothic"/>
      <family val="1"/>
    </font>
    <font>
      <sz val="12"/>
      <color theme="1"/>
      <name val="Century Gothic"/>
      <family val="2"/>
    </font>
    <font>
      <b/>
      <sz val="20"/>
      <color theme="1"/>
      <name val="Calibri"/>
      <family val="2"/>
      <scheme val="minor"/>
    </font>
    <font>
      <sz val="12"/>
      <color theme="1"/>
      <name val="Aptos"/>
      <family val="2"/>
    </font>
    <font>
      <sz val="72"/>
      <color theme="1"/>
      <name val="Calibri"/>
      <family val="2"/>
      <scheme val="minor"/>
    </font>
  </fonts>
  <fills count="3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theme="9" tint="0.79998168889431442"/>
        <bgColor indexed="64"/>
      </patternFill>
    </fill>
    <fill>
      <patternFill patternType="solid">
        <fgColor rgb="FF92D050"/>
        <bgColor indexed="64"/>
      </patternFill>
    </fill>
    <fill>
      <patternFill patternType="solid">
        <fgColor theme="0"/>
        <bgColor indexed="64"/>
      </patternFill>
    </fill>
    <fill>
      <patternFill patternType="solid">
        <fgColor theme="0" tint="-4.9989318521683403E-2"/>
        <bgColor indexed="64"/>
      </patternFill>
    </fill>
    <fill>
      <patternFill patternType="solid">
        <fgColor rgb="FFE7FEC6"/>
        <bgColor indexed="64"/>
      </patternFill>
    </fill>
    <fill>
      <patternFill patternType="solid">
        <fgColor rgb="FFE9FBF2"/>
        <bgColor indexed="64"/>
      </patternFill>
    </fill>
    <fill>
      <patternFill patternType="solid">
        <fgColor theme="0" tint="-0.14999847407452621"/>
        <bgColor indexed="64"/>
      </patternFill>
    </fill>
    <fill>
      <patternFill patternType="solid">
        <fgColor theme="6" tint="-0.249977111117893"/>
        <bgColor theme="6" tint="-0.249977111117893"/>
      </patternFill>
    </fill>
    <fill>
      <patternFill patternType="solid">
        <fgColor theme="6" tint="0.39997558519241921"/>
        <bgColor theme="6" tint="0.39997558519241921"/>
      </patternFill>
    </fill>
    <fill>
      <patternFill patternType="solid">
        <fgColor rgb="FFFFFF00"/>
        <bgColor indexed="64"/>
      </patternFill>
    </fill>
    <fill>
      <patternFill patternType="solid">
        <fgColor rgb="FFEBF1DE"/>
        <bgColor rgb="FFEBF1DE"/>
      </patternFill>
    </fill>
    <fill>
      <patternFill patternType="solid">
        <fgColor rgb="FFFFFFFF"/>
        <bgColor indexed="64"/>
      </patternFill>
    </fill>
    <fill>
      <patternFill patternType="solid">
        <fgColor theme="3" tint="0.79998168889431442"/>
        <bgColor indexed="64"/>
      </patternFill>
    </fill>
    <fill>
      <patternFill patternType="solid">
        <fgColor rgb="FF00B0F0"/>
        <bgColor indexed="64"/>
      </patternFill>
    </fill>
    <fill>
      <patternFill patternType="solid">
        <fgColor theme="9"/>
        <bgColor indexed="64"/>
      </patternFill>
    </fill>
  </fills>
  <borders count="3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6" tint="-0.24994659260841701"/>
      </left>
      <right style="thin">
        <color theme="6" tint="-0.24994659260841701"/>
      </right>
      <top style="thin">
        <color theme="6" tint="-0.24994659260841701"/>
      </top>
      <bottom style="thin">
        <color theme="6" tint="-0.24994659260841701"/>
      </bottom>
      <diagonal/>
    </border>
    <border>
      <left style="thin">
        <color theme="6" tint="-0.24994659260841701"/>
      </left>
      <right/>
      <top style="thin">
        <color theme="6" tint="-0.24994659260841701"/>
      </top>
      <bottom/>
      <diagonal/>
    </border>
    <border>
      <left/>
      <right style="thin">
        <color theme="6" tint="-0.24994659260841701"/>
      </right>
      <top style="thin">
        <color theme="6" tint="-0.24994659260841701"/>
      </top>
      <bottom/>
      <diagonal/>
    </border>
    <border>
      <left style="thin">
        <color theme="6" tint="-0.24994659260841701"/>
      </left>
      <right/>
      <top/>
      <bottom/>
      <diagonal/>
    </border>
    <border>
      <left/>
      <right style="thin">
        <color theme="6" tint="-0.24994659260841701"/>
      </right>
      <top/>
      <bottom/>
      <diagonal/>
    </border>
    <border>
      <left style="thin">
        <color theme="6" tint="-0.24994659260841701"/>
      </left>
      <right/>
      <top/>
      <bottom style="thin">
        <color theme="6" tint="-0.24994659260841701"/>
      </bottom>
      <diagonal/>
    </border>
    <border>
      <left/>
      <right style="thin">
        <color theme="6" tint="-0.24994659260841701"/>
      </right>
      <top/>
      <bottom style="thin">
        <color theme="6" tint="-0.24994659260841701"/>
      </bottom>
      <diagonal/>
    </border>
    <border>
      <left/>
      <right/>
      <top style="thin">
        <color theme="6" tint="-0.24994659260841701"/>
      </top>
      <bottom/>
      <diagonal/>
    </border>
    <border>
      <left/>
      <right/>
      <top/>
      <bottom style="thin">
        <color theme="6" tint="-0.24994659260841701"/>
      </bottom>
      <diagonal/>
    </border>
    <border>
      <left style="thin">
        <color rgb="FF009A46"/>
      </left>
      <right style="thin">
        <color rgb="FF009A46"/>
      </right>
      <top style="thin">
        <color rgb="FF009A46"/>
      </top>
      <bottom style="thin">
        <color rgb="FF009A46"/>
      </bottom>
      <diagonal/>
    </border>
    <border>
      <left style="thin">
        <color rgb="FF009A46"/>
      </left>
      <right/>
      <top style="thin">
        <color rgb="FF009A46"/>
      </top>
      <bottom style="thin">
        <color rgb="FF009A46"/>
      </bottom>
      <diagonal/>
    </border>
    <border>
      <left/>
      <right style="thin">
        <color rgb="FF009A46"/>
      </right>
      <top style="thin">
        <color rgb="FF009A46"/>
      </top>
      <bottom style="thin">
        <color rgb="FF009A46"/>
      </bottom>
      <diagonal/>
    </border>
    <border>
      <left/>
      <right/>
      <top style="thin">
        <color rgb="FF009A46"/>
      </top>
      <bottom style="thin">
        <color rgb="FF009A46"/>
      </bottom>
      <diagonal/>
    </border>
    <border>
      <left style="thin">
        <color rgb="FF9BBB59"/>
      </left>
      <right style="thin">
        <color rgb="FF9BBB59"/>
      </right>
      <top style="thin">
        <color rgb="FF9BBB59"/>
      </top>
      <bottom style="thin">
        <color rgb="FF9BBB59"/>
      </bottom>
      <diagonal/>
    </border>
    <border>
      <left style="thin">
        <color theme="6"/>
      </left>
      <right style="thin">
        <color theme="6"/>
      </right>
      <top style="thin">
        <color theme="6"/>
      </top>
      <bottom style="thin">
        <color theme="6"/>
      </bottom>
      <diagonal/>
    </border>
    <border>
      <left style="thin">
        <color theme="6" tint="-0.24994659260841701"/>
      </left>
      <right style="thin">
        <color theme="6" tint="-0.24994659260841701"/>
      </right>
      <top style="thin">
        <color theme="6" tint="-0.24994659260841701"/>
      </top>
      <bottom/>
      <diagonal/>
    </border>
    <border>
      <left style="thin">
        <color theme="6" tint="-0.24994659260841701"/>
      </left>
      <right style="thin">
        <color theme="6" tint="-0.24994659260841701"/>
      </right>
      <top/>
      <bottom/>
      <diagonal/>
    </border>
    <border>
      <left style="thin">
        <color theme="6" tint="-0.24994659260841701"/>
      </left>
      <right style="thin">
        <color theme="6" tint="-0.24994659260841701"/>
      </right>
      <top/>
      <bottom style="thin">
        <color theme="6" tint="-0.24994659260841701"/>
      </bottom>
      <diagonal/>
    </border>
    <border>
      <left/>
      <right style="thin">
        <color auto="1"/>
      </right>
      <top/>
      <bottom style="thin">
        <color auto="1"/>
      </bottom>
      <diagonal/>
    </border>
    <border>
      <left style="thin">
        <color auto="1"/>
      </left>
      <right/>
      <top/>
      <bottom style="thin">
        <color auto="1"/>
      </bottom>
      <diagonal/>
    </border>
    <border>
      <left style="thin">
        <color rgb="FF009A46"/>
      </left>
      <right style="thin">
        <color rgb="FF009A46"/>
      </right>
      <top style="thin">
        <color rgb="FF009A46"/>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512">
    <xf numFmtId="0" fontId="0" fillId="0" borderId="0"/>
    <xf numFmtId="9" fontId="2" fillId="0" borderId="0" applyFont="0" applyFill="0" applyBorder="0" applyAlignment="0" applyProtection="0"/>
    <xf numFmtId="0" fontId="3" fillId="0" borderId="0"/>
    <xf numFmtId="166" fontId="1" fillId="0" borderId="0"/>
    <xf numFmtId="166"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2" fillId="0" borderId="0"/>
    <xf numFmtId="166" fontId="1" fillId="0" borderId="0"/>
    <xf numFmtId="166" fontId="2" fillId="0" borderId="0"/>
    <xf numFmtId="166" fontId="2" fillId="0" borderId="0"/>
    <xf numFmtId="166" fontId="1" fillId="0" borderId="0"/>
    <xf numFmtId="166" fontId="2" fillId="0" borderId="0"/>
    <xf numFmtId="166" fontId="1" fillId="0" borderId="0"/>
    <xf numFmtId="166" fontId="2" fillId="0" borderId="0"/>
    <xf numFmtId="166" fontId="2" fillId="0" borderId="0"/>
    <xf numFmtId="166" fontId="1" fillId="0" borderId="0"/>
    <xf numFmtId="166" fontId="1" fillId="0" borderId="0"/>
    <xf numFmtId="166" fontId="1" fillId="0" borderId="0"/>
    <xf numFmtId="166" fontId="1" fillId="0" borderId="0"/>
    <xf numFmtId="0" fontId="3" fillId="0" borderId="0" applyFont="0" applyFill="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5" fillId="4" borderId="0" applyNumberFormat="0" applyBorder="0" applyAlignment="0" applyProtection="0"/>
    <xf numFmtId="0" fontId="6" fillId="16" borderId="1" applyNumberFormat="0" applyAlignment="0" applyProtection="0"/>
    <xf numFmtId="0" fontId="7" fillId="17" borderId="2" applyNumberFormat="0" applyAlignment="0" applyProtection="0"/>
    <xf numFmtId="0" fontId="8" fillId="0" borderId="3" applyNumberFormat="0" applyFill="0" applyAlignment="0" applyProtection="0"/>
    <xf numFmtId="0" fontId="9" fillId="0" borderId="0" applyNumberFormat="0" applyFill="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21" borderId="0" applyNumberFormat="0" applyBorder="0" applyAlignment="0" applyProtection="0"/>
    <xf numFmtId="0" fontId="10" fillId="7" borderId="1" applyNumberFormat="0" applyAlignment="0" applyProtection="0"/>
    <xf numFmtId="0" fontId="11" fillId="3" borderId="0" applyNumberFormat="0" applyBorder="0" applyAlignment="0" applyProtection="0"/>
    <xf numFmtId="164" fontId="1"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0" fontId="12" fillId="22" borderId="0" applyNumberFormat="0" applyBorder="0" applyAlignment="0" applyProtection="0"/>
    <xf numFmtId="0" fontId="2" fillId="23" borderId="4" applyNumberFormat="0" applyFont="0" applyAlignment="0" applyProtection="0"/>
    <xf numFmtId="9" fontId="1"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3" fillId="16" borderId="5" applyNumberForma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6" applyNumberFormat="0" applyFill="0" applyAlignment="0" applyProtection="0"/>
    <xf numFmtId="0" fontId="17" fillId="0" borderId="7" applyNumberFormat="0" applyFill="0" applyAlignment="0" applyProtection="0"/>
    <xf numFmtId="0" fontId="9" fillId="0" borderId="8" applyNumberFormat="0" applyFill="0" applyAlignment="0" applyProtection="0"/>
    <xf numFmtId="0" fontId="18" fillId="0" borderId="0" applyNumberFormat="0" applyFill="0" applyBorder="0" applyAlignment="0" applyProtection="0"/>
    <xf numFmtId="0" fontId="19" fillId="0" borderId="9" applyNumberFormat="0" applyFill="0" applyAlignment="0" applyProtection="0"/>
    <xf numFmtId="0" fontId="3" fillId="0" borderId="0" applyFont="0" applyFill="0" applyBorder="0" applyAlignment="0" applyProtection="0"/>
    <xf numFmtId="0" fontId="3" fillId="0" borderId="0"/>
    <xf numFmtId="0" fontId="3" fillId="0" borderId="0"/>
    <xf numFmtId="0" fontId="3" fillId="0" borderId="0" applyFont="0" applyFill="0" applyBorder="0" applyAlignment="0" applyProtection="0"/>
    <xf numFmtId="0" fontId="3" fillId="0" borderId="0"/>
    <xf numFmtId="0" fontId="3" fillId="0" borderId="0" applyFont="0" applyFill="0" applyBorder="0" applyAlignment="0" applyProtection="0"/>
    <xf numFmtId="0" fontId="3" fillId="0" borderId="0"/>
    <xf numFmtId="0" fontId="3" fillId="0" borderId="0" applyFon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9" fontId="1" fillId="0" borderId="0" applyFont="0" applyFill="0" applyBorder="0" applyAlignment="0" applyProtection="0"/>
    <xf numFmtId="165" fontId="1" fillId="0" borderId="0" applyFont="0" applyFill="0" applyBorder="0" applyAlignment="0" applyProtection="0"/>
  </cellStyleXfs>
  <cellXfs count="185">
    <xf numFmtId="0" fontId="0" fillId="0" borderId="0" xfId="0"/>
    <xf numFmtId="2" fontId="23" fillId="0" borderId="0" xfId="0" applyNumberFormat="1" applyFont="1" applyAlignment="1">
      <alignment horizontal="center" vertical="center"/>
    </xf>
    <xf numFmtId="10" fontId="23" fillId="0" borderId="0" xfId="0" applyNumberFormat="1" applyFont="1" applyAlignment="1">
      <alignment horizontal="center" vertical="center"/>
    </xf>
    <xf numFmtId="10" fontId="24" fillId="0" borderId="0" xfId="0" applyNumberFormat="1" applyFont="1" applyAlignment="1">
      <alignment horizontal="center" vertical="center"/>
    </xf>
    <xf numFmtId="0" fontId="23" fillId="0" borderId="0" xfId="0" applyFont="1" applyAlignment="1">
      <alignment horizontal="center" vertical="center"/>
    </xf>
    <xf numFmtId="0" fontId="24" fillId="0" borderId="0" xfId="0" applyFont="1" applyAlignment="1">
      <alignment horizontal="center" vertical="center"/>
    </xf>
    <xf numFmtId="1" fontId="23" fillId="0" borderId="0" xfId="0" applyNumberFormat="1" applyFont="1" applyAlignment="1">
      <alignment horizontal="center" vertical="center"/>
    </xf>
    <xf numFmtId="10" fontId="24" fillId="26" borderId="0" xfId="0" applyNumberFormat="1" applyFont="1" applyFill="1" applyAlignment="1">
      <alignment horizontal="center" vertical="center"/>
    </xf>
    <xf numFmtId="0" fontId="23" fillId="26" borderId="0" xfId="0" applyFont="1" applyFill="1" applyAlignment="1">
      <alignment horizontal="center" vertical="center"/>
    </xf>
    <xf numFmtId="0" fontId="23" fillId="26" borderId="0" xfId="0" applyFont="1" applyFill="1" applyAlignment="1">
      <alignment horizontal="center" vertical="center" wrapText="1"/>
    </xf>
    <xf numFmtId="17" fontId="24" fillId="0" borderId="0" xfId="0" applyNumberFormat="1" applyFont="1" applyAlignment="1">
      <alignment horizontal="center" vertical="center"/>
    </xf>
    <xf numFmtId="0" fontId="22" fillId="26" borderId="0" xfId="0" applyFont="1" applyFill="1" applyAlignment="1">
      <alignment horizontal="left" vertical="center" wrapText="1"/>
    </xf>
    <xf numFmtId="0" fontId="23" fillId="0" borderId="0" xfId="0" applyFont="1" applyAlignment="1">
      <alignment horizontal="left" vertical="center"/>
    </xf>
    <xf numFmtId="10" fontId="23" fillId="26" borderId="0" xfId="0" applyNumberFormat="1" applyFont="1" applyFill="1" applyAlignment="1">
      <alignment horizontal="center" vertical="center"/>
    </xf>
    <xf numFmtId="9" fontId="0" fillId="0" borderId="0" xfId="510" applyFont="1"/>
    <xf numFmtId="0" fontId="26" fillId="0" borderId="0" xfId="0" applyFont="1" applyAlignment="1">
      <alignment vertical="center"/>
    </xf>
    <xf numFmtId="0" fontId="25" fillId="0" borderId="0" xfId="0" applyFont="1" applyAlignment="1">
      <alignment horizontal="center" vertical="center"/>
    </xf>
    <xf numFmtId="0" fontId="26" fillId="0" borderId="0" xfId="0" applyFont="1" applyAlignment="1">
      <alignment horizontal="center" vertical="center"/>
    </xf>
    <xf numFmtId="0" fontId="26" fillId="0" borderId="0" xfId="0" applyFont="1" applyAlignment="1">
      <alignment horizontal="left" vertical="center"/>
    </xf>
    <xf numFmtId="2" fontId="26" fillId="0" borderId="0" xfId="0" applyNumberFormat="1" applyFont="1" applyAlignment="1">
      <alignment horizontal="center" vertical="center"/>
    </xf>
    <xf numFmtId="0" fontId="30" fillId="0" borderId="0" xfId="0" applyFont="1" applyAlignment="1">
      <alignment horizontal="left" vertical="center"/>
    </xf>
    <xf numFmtId="0" fontId="26" fillId="26" borderId="0" xfId="0" applyFont="1" applyFill="1" applyAlignment="1">
      <alignment vertical="center"/>
    </xf>
    <xf numFmtId="0" fontId="26" fillId="25" borderId="0" xfId="0" applyFont="1" applyFill="1" applyAlignment="1">
      <alignment vertical="center"/>
    </xf>
    <xf numFmtId="9" fontId="0" fillId="0" borderId="0" xfId="0" applyNumberFormat="1"/>
    <xf numFmtId="0" fontId="26" fillId="0" borderId="0" xfId="0" applyFont="1" applyAlignment="1">
      <alignment vertical="center" wrapText="1"/>
    </xf>
    <xf numFmtId="0" fontId="31" fillId="0" borderId="0" xfId="0" applyFont="1"/>
    <xf numFmtId="2" fontId="31" fillId="0" borderId="0" xfId="0" applyNumberFormat="1" applyFont="1"/>
    <xf numFmtId="0" fontId="32" fillId="0" borderId="0" xfId="0" applyFont="1" applyAlignment="1">
      <alignment horizontal="center"/>
    </xf>
    <xf numFmtId="2" fontId="32" fillId="0" borderId="0" xfId="0" applyNumberFormat="1" applyFont="1"/>
    <xf numFmtId="168" fontId="31" fillId="0" borderId="0" xfId="510" applyNumberFormat="1" applyFont="1"/>
    <xf numFmtId="10" fontId="31" fillId="0" borderId="0" xfId="510" applyNumberFormat="1" applyFont="1"/>
    <xf numFmtId="168" fontId="31" fillId="0" borderId="0" xfId="0" applyNumberFormat="1" applyFont="1"/>
    <xf numFmtId="10" fontId="31" fillId="0" borderId="0" xfId="0" applyNumberFormat="1" applyFont="1"/>
    <xf numFmtId="0" fontId="31" fillId="0" borderId="0" xfId="0" applyFont="1" applyAlignment="1">
      <alignment horizontal="left" vertical="center"/>
    </xf>
    <xf numFmtId="0" fontId="32" fillId="0" borderId="0" xfId="0" applyFont="1" applyAlignment="1">
      <alignment horizontal="center" vertical="center"/>
    </xf>
    <xf numFmtId="2" fontId="25" fillId="24" borderId="0" xfId="0" applyNumberFormat="1" applyFont="1" applyFill="1" applyAlignment="1">
      <alignment horizontal="center" vertical="center"/>
    </xf>
    <xf numFmtId="2" fontId="0" fillId="0" borderId="0" xfId="510" applyNumberFormat="1" applyFont="1"/>
    <xf numFmtId="168" fontId="0" fillId="0" borderId="0" xfId="510" applyNumberFormat="1" applyFont="1"/>
    <xf numFmtId="0" fontId="23" fillId="0" borderId="0" xfId="0" pivotButton="1" applyFont="1" applyAlignment="1">
      <alignment horizontal="center" vertical="center"/>
    </xf>
    <xf numFmtId="0" fontId="34" fillId="0" borderId="11" xfId="0" applyFont="1" applyBorder="1" applyAlignment="1">
      <alignment horizontal="center" vertical="center"/>
    </xf>
    <xf numFmtId="0" fontId="33" fillId="0" borderId="11" xfId="0" applyFont="1" applyBorder="1" applyAlignment="1">
      <alignment horizontal="center" vertical="center" wrapText="1"/>
    </xf>
    <xf numFmtId="0" fontId="38" fillId="0" borderId="0" xfId="0" applyFont="1" applyAlignment="1">
      <alignment vertical="center"/>
    </xf>
    <xf numFmtId="0" fontId="37" fillId="0" borderId="0" xfId="0" applyFont="1" applyAlignment="1">
      <alignment vertical="center"/>
    </xf>
    <xf numFmtId="0" fontId="41" fillId="0" borderId="0" xfId="0" applyFont="1" applyAlignment="1">
      <alignment vertical="center"/>
    </xf>
    <xf numFmtId="0" fontId="40" fillId="0" borderId="0" xfId="0" applyFont="1" applyAlignment="1">
      <alignment vertical="center"/>
    </xf>
    <xf numFmtId="0" fontId="29" fillId="0" borderId="0" xfId="0" applyFont="1" applyAlignment="1">
      <alignment vertical="center"/>
    </xf>
    <xf numFmtId="0" fontId="28" fillId="0" borderId="0" xfId="0" applyFont="1" applyAlignment="1">
      <alignment vertical="center" wrapText="1"/>
    </xf>
    <xf numFmtId="0" fontId="27" fillId="0" borderId="0" xfId="0" applyFont="1" applyAlignment="1">
      <alignment vertical="center"/>
    </xf>
    <xf numFmtId="0" fontId="42" fillId="0" borderId="0" xfId="0" applyFont="1" applyAlignment="1">
      <alignment vertical="center"/>
    </xf>
    <xf numFmtId="0" fontId="43" fillId="0" borderId="0" xfId="0" applyFont="1" applyAlignment="1">
      <alignment vertical="center"/>
    </xf>
    <xf numFmtId="0" fontId="36" fillId="0" borderId="0" xfId="0" applyFont="1" applyAlignment="1">
      <alignment vertical="center" wrapText="1"/>
    </xf>
    <xf numFmtId="0" fontId="26" fillId="28" borderId="0" xfId="0" applyFont="1" applyFill="1" applyAlignment="1">
      <alignment vertical="center"/>
    </xf>
    <xf numFmtId="0" fontId="25" fillId="26" borderId="0" xfId="0" applyFont="1" applyFill="1" applyAlignment="1">
      <alignment horizontal="center" vertical="center"/>
    </xf>
    <xf numFmtId="0" fontId="26" fillId="26" borderId="0" xfId="0" applyFont="1" applyFill="1" applyAlignment="1">
      <alignment horizontal="left" vertical="center" wrapText="1"/>
    </xf>
    <xf numFmtId="0" fontId="26" fillId="29" borderId="0" xfId="0" applyFont="1" applyFill="1" applyAlignment="1">
      <alignment vertical="center"/>
    </xf>
    <xf numFmtId="0" fontId="26" fillId="30" borderId="0" xfId="0" applyFont="1" applyFill="1" applyAlignment="1">
      <alignment vertical="center"/>
    </xf>
    <xf numFmtId="14" fontId="48" fillId="0" borderId="0" xfId="0" applyNumberFormat="1" applyFont="1" applyAlignment="1">
      <alignment horizontal="center" vertical="center" wrapText="1"/>
    </xf>
    <xf numFmtId="0" fontId="48" fillId="0" borderId="0" xfId="0" applyFont="1" applyAlignment="1">
      <alignment horizontal="center" vertical="center" wrapText="1"/>
    </xf>
    <xf numFmtId="20" fontId="48" fillId="0" borderId="0" xfId="0" applyNumberFormat="1" applyFont="1" applyAlignment="1">
      <alignment horizontal="center" vertical="center" wrapText="1"/>
    </xf>
    <xf numFmtId="0" fontId="48" fillId="0" borderId="0" xfId="0" applyFont="1" applyAlignment="1">
      <alignment vertical="center" wrapText="1"/>
    </xf>
    <xf numFmtId="20" fontId="48" fillId="0" borderId="0" xfId="0" applyNumberFormat="1" applyFont="1" applyAlignment="1">
      <alignment horizontal="center" vertical="center"/>
    </xf>
    <xf numFmtId="0" fontId="38" fillId="0" borderId="13" xfId="0" applyFont="1" applyBorder="1" applyAlignment="1">
      <alignment horizontal="left" vertical="center"/>
    </xf>
    <xf numFmtId="0" fontId="40" fillId="0" borderId="0" xfId="0" applyFont="1"/>
    <xf numFmtId="0" fontId="40" fillId="0" borderId="0" xfId="0" applyFont="1" applyAlignment="1">
      <alignment vertical="center" wrapText="1"/>
    </xf>
    <xf numFmtId="0" fontId="38" fillId="0" borderId="0" xfId="0" applyFont="1" applyAlignment="1">
      <alignment horizontal="center" vertical="center" wrapText="1"/>
    </xf>
    <xf numFmtId="0" fontId="40" fillId="27" borderId="22" xfId="0" applyFont="1" applyFill="1" applyBorder="1" applyAlignment="1">
      <alignment horizontal="center" vertical="center" wrapText="1"/>
    </xf>
    <xf numFmtId="0" fontId="38" fillId="0" borderId="22" xfId="0" applyFont="1" applyBorder="1" applyAlignment="1">
      <alignment vertical="center"/>
    </xf>
    <xf numFmtId="0" fontId="36" fillId="0" borderId="16" xfId="0" applyFont="1" applyBorder="1" applyAlignment="1">
      <alignment vertical="center" wrapText="1"/>
    </xf>
    <xf numFmtId="0" fontId="47" fillId="32" borderId="22" xfId="0" applyFont="1" applyFill="1" applyBorder="1" applyAlignment="1">
      <alignment horizontal="center"/>
    </xf>
    <xf numFmtId="10" fontId="47" fillId="32" borderId="22" xfId="0" applyNumberFormat="1" applyFont="1" applyFill="1" applyBorder="1" applyAlignment="1">
      <alignment horizontal="center"/>
    </xf>
    <xf numFmtId="0" fontId="50" fillId="31" borderId="22" xfId="0" applyFont="1" applyFill="1" applyBorder="1" applyAlignment="1">
      <alignment horizontal="center" vertical="center" wrapText="1"/>
    </xf>
    <xf numFmtId="2" fontId="49" fillId="0" borderId="0" xfId="0" applyNumberFormat="1" applyFont="1" applyAlignment="1">
      <alignment horizontal="center" vertical="center"/>
    </xf>
    <xf numFmtId="14" fontId="48" fillId="0" borderId="0" xfId="0" applyNumberFormat="1" applyFont="1" applyAlignment="1">
      <alignment horizontal="center" vertical="center"/>
    </xf>
    <xf numFmtId="170" fontId="49" fillId="0" borderId="0" xfId="0" applyNumberFormat="1" applyFont="1" applyAlignment="1">
      <alignment horizontal="center" vertical="center"/>
    </xf>
    <xf numFmtId="169" fontId="49" fillId="0" borderId="0" xfId="0" applyNumberFormat="1" applyFont="1" applyAlignment="1">
      <alignment horizontal="center" vertical="center"/>
    </xf>
    <xf numFmtId="171" fontId="48" fillId="0" borderId="0" xfId="0" applyNumberFormat="1" applyFont="1" applyAlignment="1">
      <alignment horizontal="center" vertical="center"/>
    </xf>
    <xf numFmtId="0" fontId="48" fillId="0" borderId="0" xfId="0" applyFont="1" applyAlignment="1">
      <alignment vertical="center"/>
    </xf>
    <xf numFmtId="171" fontId="48" fillId="0" borderId="0" xfId="0" applyNumberFormat="1" applyFont="1" applyAlignment="1">
      <alignment horizontal="center" vertical="center" wrapText="1"/>
    </xf>
    <xf numFmtId="20" fontId="48" fillId="0" borderId="0" xfId="0" applyNumberFormat="1" applyFont="1" applyAlignment="1">
      <alignment vertical="center"/>
    </xf>
    <xf numFmtId="14" fontId="48" fillId="0" borderId="0" xfId="0" applyNumberFormat="1" applyFont="1" applyAlignment="1">
      <alignment vertical="center"/>
    </xf>
    <xf numFmtId="14" fontId="48" fillId="26" borderId="0" xfId="0" applyNumberFormat="1" applyFont="1" applyFill="1" applyAlignment="1">
      <alignment horizontal="center" vertical="center"/>
    </xf>
    <xf numFmtId="0" fontId="48" fillId="26" borderId="0" xfId="0" applyFont="1" applyFill="1" applyAlignment="1">
      <alignment vertical="center"/>
    </xf>
    <xf numFmtId="2" fontId="47" fillId="32" borderId="22" xfId="0" applyNumberFormat="1" applyFont="1" applyFill="1" applyBorder="1" applyAlignment="1">
      <alignment horizontal="center"/>
    </xf>
    <xf numFmtId="0" fontId="38" fillId="0" borderId="13" xfId="0" applyFont="1" applyBorder="1" applyAlignment="1">
      <alignment horizontal="left" vertical="center" wrapText="1"/>
    </xf>
    <xf numFmtId="0" fontId="48" fillId="33" borderId="0" xfId="0" applyFont="1" applyFill="1" applyAlignment="1">
      <alignment vertical="center"/>
    </xf>
    <xf numFmtId="4" fontId="40" fillId="26" borderId="22" xfId="0" applyNumberFormat="1" applyFont="1" applyFill="1" applyBorder="1" applyAlignment="1">
      <alignment horizontal="center"/>
    </xf>
    <xf numFmtId="10" fontId="40" fillId="26" borderId="22" xfId="0" applyNumberFormat="1" applyFont="1" applyFill="1" applyBorder="1" applyAlignment="1">
      <alignment horizontal="center"/>
    </xf>
    <xf numFmtId="172" fontId="49" fillId="0" borderId="0" xfId="0" applyNumberFormat="1" applyFont="1" applyAlignment="1">
      <alignment horizontal="center" vertical="center"/>
    </xf>
    <xf numFmtId="20" fontId="52" fillId="34" borderId="26" xfId="0" applyNumberFormat="1" applyFont="1" applyFill="1" applyBorder="1" applyAlignment="1">
      <alignment horizontal="center" vertical="center"/>
    </xf>
    <xf numFmtId="20" fontId="52" fillId="0" borderId="26" xfId="0" applyNumberFormat="1" applyFont="1" applyBorder="1" applyAlignment="1">
      <alignment horizontal="center" vertical="center"/>
    </xf>
    <xf numFmtId="0" fontId="52" fillId="0" borderId="26" xfId="0" applyFont="1" applyBorder="1" applyAlignment="1">
      <alignment horizontal="center" vertical="center" wrapText="1"/>
    </xf>
    <xf numFmtId="171" fontId="52" fillId="0" borderId="26" xfId="0" applyNumberFormat="1" applyFont="1" applyBorder="1" applyAlignment="1">
      <alignment horizontal="center" vertical="center"/>
    </xf>
    <xf numFmtId="20" fontId="52" fillId="34" borderId="0" xfId="0" applyNumberFormat="1" applyFont="1" applyFill="1" applyAlignment="1">
      <alignment horizontal="center" vertical="center"/>
    </xf>
    <xf numFmtId="171" fontId="52" fillId="0" borderId="0" xfId="0" applyNumberFormat="1" applyFont="1" applyAlignment="1">
      <alignment horizontal="center" vertical="center"/>
    </xf>
    <xf numFmtId="171" fontId="52" fillId="34" borderId="0" xfId="0" applyNumberFormat="1" applyFont="1" applyFill="1" applyAlignment="1">
      <alignment horizontal="center" vertical="center"/>
    </xf>
    <xf numFmtId="171" fontId="52" fillId="35" borderId="0" xfId="0" applyNumberFormat="1" applyFont="1" applyFill="1" applyAlignment="1">
      <alignment horizontal="center" vertical="center"/>
    </xf>
    <xf numFmtId="20" fontId="55" fillId="0" borderId="27" xfId="0" applyNumberFormat="1" applyFont="1" applyBorder="1" applyAlignment="1">
      <alignment horizontal="left" vertical="center"/>
    </xf>
    <xf numFmtId="4" fontId="56" fillId="26" borderId="22" xfId="0" applyNumberFormat="1" applyFont="1" applyFill="1" applyBorder="1" applyAlignment="1">
      <alignment horizontal="center"/>
    </xf>
    <xf numFmtId="4" fontId="0" fillId="0" borderId="0" xfId="0" applyNumberFormat="1"/>
    <xf numFmtId="10" fontId="38" fillId="26" borderId="22" xfId="0" applyNumberFormat="1" applyFont="1" applyFill="1" applyBorder="1" applyAlignment="1">
      <alignment horizontal="center"/>
    </xf>
    <xf numFmtId="10" fontId="0" fillId="0" borderId="0" xfId="0" applyNumberFormat="1"/>
    <xf numFmtId="0" fontId="33" fillId="0" borderId="0" xfId="0" applyFont="1"/>
    <xf numFmtId="173" fontId="48" fillId="0" borderId="0" xfId="0" applyNumberFormat="1" applyFont="1" applyAlignment="1">
      <alignment horizontal="center" vertical="center"/>
    </xf>
    <xf numFmtId="14" fontId="49" fillId="0" borderId="0" xfId="0" applyNumberFormat="1" applyFont="1" applyAlignment="1">
      <alignment horizontal="center" vertical="center"/>
    </xf>
    <xf numFmtId="14" fontId="48" fillId="26" borderId="0" xfId="0" applyNumberFormat="1" applyFont="1" applyFill="1" applyAlignment="1">
      <alignment horizontal="center" vertical="center" wrapText="1"/>
    </xf>
    <xf numFmtId="20" fontId="48" fillId="26" borderId="0" xfId="0" applyNumberFormat="1" applyFont="1" applyFill="1" applyAlignment="1">
      <alignment horizontal="center" vertical="center"/>
    </xf>
    <xf numFmtId="46" fontId="48" fillId="0" borderId="0" xfId="0" applyNumberFormat="1" applyFont="1" applyAlignment="1">
      <alignment horizontal="center" vertical="center"/>
    </xf>
    <xf numFmtId="0" fontId="53" fillId="0" borderId="31" xfId="0" applyFont="1" applyBorder="1" applyAlignment="1">
      <alignment horizontal="left"/>
    </xf>
    <xf numFmtId="0" fontId="0" fillId="0" borderId="32" xfId="0" applyBorder="1"/>
    <xf numFmtId="0" fontId="53" fillId="0" borderId="22" xfId="0" applyFont="1" applyBorder="1" applyAlignment="1">
      <alignment horizontal="left"/>
    </xf>
    <xf numFmtId="2" fontId="53" fillId="0" borderId="22" xfId="0" applyNumberFormat="1" applyFont="1" applyBorder="1" applyAlignment="1">
      <alignment horizontal="center"/>
    </xf>
    <xf numFmtId="0" fontId="53" fillId="0" borderId="33" xfId="0" applyFont="1" applyBorder="1" applyAlignment="1">
      <alignment horizontal="left"/>
    </xf>
    <xf numFmtId="2" fontId="53" fillId="0" borderId="33" xfId="0" applyNumberFormat="1" applyFont="1" applyBorder="1" applyAlignment="1">
      <alignment horizontal="center"/>
    </xf>
    <xf numFmtId="0" fontId="53" fillId="0" borderId="22" xfId="0" applyFont="1" applyBorder="1" applyAlignment="1">
      <alignment horizontal="center"/>
    </xf>
    <xf numFmtId="0" fontId="0" fillId="0" borderId="11" xfId="0" applyBorder="1"/>
    <xf numFmtId="0" fontId="0" fillId="0" borderId="11" xfId="0" applyBorder="1" applyAlignment="1">
      <alignment wrapText="1"/>
    </xf>
    <xf numFmtId="0" fontId="0" fillId="0" borderId="11" xfId="0" applyBorder="1" applyAlignment="1">
      <alignment vertical="center"/>
    </xf>
    <xf numFmtId="0" fontId="0" fillId="36" borderId="11" xfId="0" applyFill="1" applyBorder="1"/>
    <xf numFmtId="10" fontId="0" fillId="0" borderId="11" xfId="510" applyNumberFormat="1" applyFont="1" applyBorder="1"/>
    <xf numFmtId="0" fontId="61" fillId="0" borderId="11" xfId="0" applyFont="1" applyBorder="1" applyAlignment="1">
      <alignment horizontal="center" vertical="center"/>
    </xf>
    <xf numFmtId="0" fontId="0" fillId="25" borderId="11" xfId="0" applyFill="1" applyBorder="1" applyAlignment="1">
      <alignment wrapText="1"/>
    </xf>
    <xf numFmtId="0" fontId="0" fillId="25" borderId="11" xfId="0" applyFill="1" applyBorder="1"/>
    <xf numFmtId="20" fontId="62" fillId="0" borderId="11" xfId="0" applyNumberFormat="1" applyFont="1" applyBorder="1" applyAlignment="1">
      <alignment horizontal="center" vertical="center" wrapText="1"/>
    </xf>
    <xf numFmtId="0" fontId="62" fillId="0" borderId="11" xfId="0" applyFont="1" applyBorder="1" applyAlignment="1">
      <alignment horizontal="center" vertical="center" wrapText="1"/>
    </xf>
    <xf numFmtId="20" fontId="48" fillId="0" borderId="11" xfId="0" applyNumberFormat="1" applyFont="1" applyBorder="1" applyAlignment="1">
      <alignment horizontal="center" vertical="center" wrapText="1"/>
    </xf>
    <xf numFmtId="2" fontId="63" fillId="0" borderId="11" xfId="0" applyNumberFormat="1" applyFont="1" applyBorder="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0" fontId="61" fillId="0" borderId="11" xfId="0" applyFont="1" applyBorder="1" applyAlignment="1">
      <alignment wrapText="1"/>
    </xf>
    <xf numFmtId="0" fontId="61" fillId="0" borderId="11" xfId="0" applyFont="1" applyBorder="1" applyAlignment="1">
      <alignment horizontal="center" vertical="center" wrapText="1"/>
    </xf>
    <xf numFmtId="0" fontId="65" fillId="0" borderId="11" xfId="0" applyFont="1" applyBorder="1" applyAlignment="1">
      <alignment vertical="center"/>
    </xf>
    <xf numFmtId="0" fontId="65" fillId="0" borderId="11" xfId="0" applyFont="1" applyBorder="1" applyAlignment="1">
      <alignment vertical="center" wrapText="1"/>
    </xf>
    <xf numFmtId="171" fontId="62" fillId="0" borderId="0" xfId="0" applyNumberFormat="1" applyFont="1" applyAlignment="1">
      <alignment horizontal="center" vertical="center"/>
    </xf>
    <xf numFmtId="0" fontId="26" fillId="0" borderId="13" xfId="0" applyFont="1" applyBorder="1" applyAlignment="1">
      <alignment horizontal="center" vertical="center"/>
    </xf>
    <xf numFmtId="0" fontId="36" fillId="0" borderId="13" xfId="0" applyFont="1" applyBorder="1" applyAlignment="1">
      <alignment horizontal="center" vertical="center" wrapText="1"/>
    </xf>
    <xf numFmtId="0" fontId="29" fillId="0" borderId="0" xfId="0" applyFont="1" applyAlignment="1">
      <alignment horizontal="right" vertical="top"/>
    </xf>
    <xf numFmtId="0" fontId="26" fillId="0" borderId="0" xfId="0" applyFont="1" applyAlignment="1">
      <alignment horizontal="right" vertical="top"/>
    </xf>
    <xf numFmtId="0" fontId="36" fillId="0" borderId="10" xfId="0" applyFont="1" applyBorder="1" applyAlignment="1">
      <alignment horizontal="center" vertical="center"/>
    </xf>
    <xf numFmtId="0" fontId="26" fillId="0" borderId="12" xfId="0" applyFont="1" applyBorder="1" applyAlignment="1">
      <alignment horizontal="center" vertical="center"/>
    </xf>
    <xf numFmtId="0" fontId="38" fillId="0" borderId="12" xfId="0" applyFont="1" applyBorder="1" applyAlignment="1">
      <alignment horizontal="left" vertical="center"/>
    </xf>
    <xf numFmtId="0" fontId="36" fillId="0" borderId="12" xfId="0" applyFont="1" applyBorder="1" applyAlignment="1">
      <alignment horizontal="center" vertical="center" wrapText="1"/>
    </xf>
    <xf numFmtId="0" fontId="26" fillId="0" borderId="14" xfId="0" applyFont="1" applyBorder="1" applyAlignment="1">
      <alignment horizontal="center" vertical="center"/>
    </xf>
    <xf numFmtId="0" fontId="26" fillId="0" borderId="16" xfId="0" applyFont="1" applyBorder="1" applyAlignment="1">
      <alignment horizontal="center" vertical="center"/>
    </xf>
    <xf numFmtId="0" fontId="26" fillId="0" borderId="18" xfId="0" applyFont="1" applyBorder="1" applyAlignment="1">
      <alignment horizontal="center" vertical="center"/>
    </xf>
    <xf numFmtId="0" fontId="36" fillId="0" borderId="14" xfId="0" applyFont="1" applyBorder="1" applyAlignment="1">
      <alignment horizontal="center" vertical="center" wrapText="1"/>
    </xf>
    <xf numFmtId="0" fontId="36" fillId="0" borderId="20" xfId="0" applyFont="1" applyBorder="1" applyAlignment="1">
      <alignment horizontal="center" vertical="center" wrapText="1"/>
    </xf>
    <xf numFmtId="0" fontId="36" fillId="0" borderId="15" xfId="0" applyFont="1" applyBorder="1" applyAlignment="1">
      <alignment horizontal="center" vertical="center" wrapText="1"/>
    </xf>
    <xf numFmtId="0" fontId="36" fillId="0" borderId="16" xfId="0" applyFont="1" applyBorder="1" applyAlignment="1">
      <alignment horizontal="center" vertical="center" wrapText="1"/>
    </xf>
    <xf numFmtId="0" fontId="36" fillId="0" borderId="0" xfId="0" applyFont="1" applyAlignment="1">
      <alignment horizontal="center" vertical="center" wrapText="1"/>
    </xf>
    <xf numFmtId="0" fontId="36" fillId="0" borderId="17" xfId="0" applyFont="1" applyBorder="1" applyAlignment="1">
      <alignment horizontal="center" vertical="center" wrapText="1"/>
    </xf>
    <xf numFmtId="0" fontId="36" fillId="0" borderId="18" xfId="0" applyFont="1" applyBorder="1" applyAlignment="1">
      <alignment horizontal="center" vertical="center" wrapText="1"/>
    </xf>
    <xf numFmtId="0" fontId="36" fillId="0" borderId="21" xfId="0" applyFont="1" applyBorder="1" applyAlignment="1">
      <alignment horizontal="center" vertical="center" wrapText="1"/>
    </xf>
    <xf numFmtId="0" fontId="36" fillId="0" borderId="19" xfId="0" applyFont="1" applyBorder="1" applyAlignment="1">
      <alignment horizontal="center" vertical="center" wrapText="1"/>
    </xf>
    <xf numFmtId="0" fontId="46" fillId="32" borderId="23" xfId="0" applyFont="1" applyFill="1" applyBorder="1" applyAlignment="1">
      <alignment horizontal="center"/>
    </xf>
    <xf numFmtId="0" fontId="46" fillId="32" borderId="25" xfId="0" applyFont="1" applyFill="1" applyBorder="1" applyAlignment="1">
      <alignment horizontal="center"/>
    </xf>
    <xf numFmtId="0" fontId="46" fillId="32" borderId="24" xfId="0" applyFont="1" applyFill="1" applyBorder="1" applyAlignment="1">
      <alignment horizontal="center"/>
    </xf>
    <xf numFmtId="0" fontId="0" fillId="0" borderId="0" xfId="0"/>
    <xf numFmtId="0" fontId="50" fillId="31" borderId="23" xfId="0" applyFont="1" applyFill="1" applyBorder="1" applyAlignment="1">
      <alignment horizontal="center"/>
    </xf>
    <xf numFmtId="0" fontId="50" fillId="31" borderId="25" xfId="0" applyFont="1" applyFill="1" applyBorder="1" applyAlignment="1">
      <alignment horizontal="center"/>
    </xf>
    <xf numFmtId="0" fontId="50" fillId="31" borderId="24" xfId="0" applyFont="1" applyFill="1" applyBorder="1" applyAlignment="1">
      <alignment horizontal="center"/>
    </xf>
    <xf numFmtId="0" fontId="60" fillId="0" borderId="11" xfId="0" applyFont="1" applyBorder="1" applyAlignment="1">
      <alignment horizontal="center" vertical="center"/>
    </xf>
    <xf numFmtId="0" fontId="0" fillId="0" borderId="10" xfId="0" applyBorder="1" applyAlignment="1">
      <alignment horizontal="center"/>
    </xf>
    <xf numFmtId="0" fontId="0" fillId="33" borderId="35" xfId="0" applyFill="1" applyBorder="1" applyAlignment="1">
      <alignment horizontal="center"/>
    </xf>
    <xf numFmtId="0" fontId="0" fillId="33" borderId="34" xfId="0" applyFill="1" applyBorder="1" applyAlignment="1">
      <alignment horizontal="center"/>
    </xf>
    <xf numFmtId="0" fontId="64" fillId="0" borderId="11" xfId="0" applyFont="1" applyBorder="1" applyAlignment="1">
      <alignment horizontal="center" vertical="center"/>
    </xf>
    <xf numFmtId="0" fontId="60" fillId="0" borderId="11" xfId="0" applyFont="1" applyBorder="1" applyAlignment="1">
      <alignment horizontal="center" vertical="center" wrapText="1"/>
    </xf>
    <xf numFmtId="174" fontId="61" fillId="25" borderId="11" xfId="0" applyNumberFormat="1" applyFont="1" applyFill="1" applyBorder="1" applyAlignment="1">
      <alignment horizontal="center" vertical="center"/>
    </xf>
    <xf numFmtId="0" fontId="36" fillId="0" borderId="28" xfId="0" applyFont="1" applyBorder="1" applyAlignment="1">
      <alignment horizontal="center" vertical="center" wrapText="1"/>
    </xf>
    <xf numFmtId="0" fontId="36" fillId="0" borderId="29" xfId="0" applyFont="1" applyBorder="1" applyAlignment="1">
      <alignment horizontal="center" vertical="center" wrapText="1"/>
    </xf>
    <xf numFmtId="0" fontId="36" fillId="0" borderId="30" xfId="0" applyFont="1" applyBorder="1" applyAlignment="1">
      <alignment horizontal="center" vertical="center" wrapText="1"/>
    </xf>
    <xf numFmtId="0" fontId="53" fillId="0" borderId="22" xfId="0" applyFont="1" applyFill="1" applyBorder="1"/>
    <xf numFmtId="169" fontId="53" fillId="0" borderId="22" xfId="0" applyNumberFormat="1" applyFont="1" applyFill="1" applyBorder="1"/>
    <xf numFmtId="0" fontId="53" fillId="0" borderId="22" xfId="0" applyFont="1" applyFill="1" applyBorder="1" applyAlignment="1">
      <alignment horizontal="center"/>
    </xf>
    <xf numFmtId="0" fontId="53" fillId="0" borderId="22" xfId="0" applyFont="1" applyFill="1" applyBorder="1" applyAlignment="1">
      <alignment horizontal="left"/>
    </xf>
    <xf numFmtId="0" fontId="53" fillId="0" borderId="22" xfId="0" applyNumberFormat="1" applyFont="1" applyFill="1" applyBorder="1" applyAlignment="1">
      <alignment horizontal="center"/>
    </xf>
    <xf numFmtId="0" fontId="53" fillId="0" borderId="22" xfId="0" applyFont="1" applyFill="1" applyBorder="1" applyAlignment="1">
      <alignment horizontal="left" vertical="center"/>
    </xf>
    <xf numFmtId="0" fontId="54" fillId="0" borderId="22" xfId="0" applyFont="1" applyFill="1" applyBorder="1" applyAlignment="1">
      <alignment horizontal="center"/>
    </xf>
    <xf numFmtId="14" fontId="0" fillId="0" borderId="0" xfId="0" applyNumberFormat="1"/>
    <xf numFmtId="19" fontId="0" fillId="0" borderId="0" xfId="0" applyNumberFormat="1"/>
    <xf numFmtId="2" fontId="53" fillId="0" borderId="22" xfId="0" applyNumberFormat="1" applyFont="1" applyFill="1" applyBorder="1" applyAlignment="1">
      <alignment horizontal="center" vertical="center"/>
    </xf>
    <xf numFmtId="49" fontId="48" fillId="0" borderId="11" xfId="0" applyNumberFormat="1" applyFont="1" applyBorder="1" applyAlignment="1">
      <alignment horizontal="center" vertical="center"/>
    </xf>
    <xf numFmtId="49" fontId="0" fillId="37" borderId="11" xfId="0" applyNumberFormat="1" applyFill="1" applyBorder="1" applyAlignment="1">
      <alignment horizontal="center" vertical="center"/>
    </xf>
    <xf numFmtId="49" fontId="0" fillId="38" borderId="11" xfId="0" applyNumberFormat="1" applyFill="1" applyBorder="1" applyAlignment="1">
      <alignment horizontal="center" vertical="center" wrapText="1"/>
    </xf>
    <xf numFmtId="174" fontId="66" fillId="25" borderId="11" xfId="0" applyNumberFormat="1" applyFont="1" applyFill="1" applyBorder="1" applyAlignment="1">
      <alignment horizontal="center" vertical="center"/>
    </xf>
  </cellXfs>
  <cellStyles count="512">
    <cellStyle name="20% - Énfasis1 2" xfId="49" xr:uid="{00000000-0005-0000-0000-000000000000}"/>
    <cellStyle name="20% - Énfasis2 2" xfId="50" xr:uid="{00000000-0005-0000-0000-000001000000}"/>
    <cellStyle name="20% - Énfasis3 2" xfId="51" xr:uid="{00000000-0005-0000-0000-000002000000}"/>
    <cellStyle name="20% - Énfasis4 2" xfId="52" xr:uid="{00000000-0005-0000-0000-000003000000}"/>
    <cellStyle name="20% - Énfasis5 2" xfId="53" xr:uid="{00000000-0005-0000-0000-000004000000}"/>
    <cellStyle name="20% - Énfasis6 2" xfId="54" xr:uid="{00000000-0005-0000-0000-000005000000}"/>
    <cellStyle name="40% - Énfasis1 2" xfId="55" xr:uid="{00000000-0005-0000-0000-000006000000}"/>
    <cellStyle name="40% - Énfasis2 2" xfId="56" xr:uid="{00000000-0005-0000-0000-000007000000}"/>
    <cellStyle name="40% - Énfasis3 2" xfId="57" xr:uid="{00000000-0005-0000-0000-000008000000}"/>
    <cellStyle name="40% - Énfasis4 2" xfId="58" xr:uid="{00000000-0005-0000-0000-000009000000}"/>
    <cellStyle name="40% - Énfasis5 2" xfId="59" xr:uid="{00000000-0005-0000-0000-00000A000000}"/>
    <cellStyle name="40% - Énfasis6 2" xfId="60" xr:uid="{00000000-0005-0000-0000-00000B000000}"/>
    <cellStyle name="60% - Énfasis1 2" xfId="61" xr:uid="{00000000-0005-0000-0000-00000C000000}"/>
    <cellStyle name="60% - Énfasis2 2" xfId="62" xr:uid="{00000000-0005-0000-0000-00000D000000}"/>
    <cellStyle name="60% - Énfasis3 2" xfId="63" xr:uid="{00000000-0005-0000-0000-00000E000000}"/>
    <cellStyle name="60% - Énfasis4 2" xfId="64" xr:uid="{00000000-0005-0000-0000-00000F000000}"/>
    <cellStyle name="60% - Énfasis5 2" xfId="65" xr:uid="{00000000-0005-0000-0000-000010000000}"/>
    <cellStyle name="60% - Énfasis6 2" xfId="66" xr:uid="{00000000-0005-0000-0000-000011000000}"/>
    <cellStyle name="Buena 2" xfId="67" xr:uid="{00000000-0005-0000-0000-000012000000}"/>
    <cellStyle name="Cálculo 2" xfId="68" xr:uid="{00000000-0005-0000-0000-000013000000}"/>
    <cellStyle name="Celda de comprobación 2" xfId="69" xr:uid="{00000000-0005-0000-0000-000014000000}"/>
    <cellStyle name="Celda vinculada 2" xfId="70" xr:uid="{00000000-0005-0000-0000-000015000000}"/>
    <cellStyle name="Encabezado 4 2" xfId="71" xr:uid="{00000000-0005-0000-0000-000016000000}"/>
    <cellStyle name="Énfasis1 2" xfId="72" xr:uid="{00000000-0005-0000-0000-000017000000}"/>
    <cellStyle name="Énfasis2 2" xfId="73" xr:uid="{00000000-0005-0000-0000-000018000000}"/>
    <cellStyle name="Énfasis3 2" xfId="74" xr:uid="{00000000-0005-0000-0000-000019000000}"/>
    <cellStyle name="Énfasis4 2" xfId="75" xr:uid="{00000000-0005-0000-0000-00001A000000}"/>
    <cellStyle name="Énfasis5 2" xfId="76" xr:uid="{00000000-0005-0000-0000-00001B000000}"/>
    <cellStyle name="Énfasis6 2" xfId="77" xr:uid="{00000000-0005-0000-0000-00001C000000}"/>
    <cellStyle name="Entrada 2" xfId="78" xr:uid="{00000000-0005-0000-0000-00001D000000}"/>
    <cellStyle name="Euro" xfId="5" xr:uid="{00000000-0005-0000-0000-00001E000000}"/>
    <cellStyle name="Euro 2" xfId="6" xr:uid="{00000000-0005-0000-0000-00001F000000}"/>
    <cellStyle name="Euro 2 2" xfId="7" xr:uid="{00000000-0005-0000-0000-000020000000}"/>
    <cellStyle name="Euro 2 2 2" xfId="8" xr:uid="{00000000-0005-0000-0000-000021000000}"/>
    <cellStyle name="Euro 2 2_Julio" xfId="9" xr:uid="{00000000-0005-0000-0000-000022000000}"/>
    <cellStyle name="Euro 2 3" xfId="10" xr:uid="{00000000-0005-0000-0000-000023000000}"/>
    <cellStyle name="Euro 2_Julio" xfId="11" xr:uid="{00000000-0005-0000-0000-000024000000}"/>
    <cellStyle name="Euro 3" xfId="12" xr:uid="{00000000-0005-0000-0000-000025000000}"/>
    <cellStyle name="Euro 3 2" xfId="13" xr:uid="{00000000-0005-0000-0000-000026000000}"/>
    <cellStyle name="Euro 3_Julio" xfId="14" xr:uid="{00000000-0005-0000-0000-000027000000}"/>
    <cellStyle name="Euro 4" xfId="15" xr:uid="{00000000-0005-0000-0000-000028000000}"/>
    <cellStyle name="Euro 4 2" xfId="16" xr:uid="{00000000-0005-0000-0000-000029000000}"/>
    <cellStyle name="Euro 4_Julio" xfId="17" xr:uid="{00000000-0005-0000-0000-00002A000000}"/>
    <cellStyle name="Euro 5" xfId="18" xr:uid="{00000000-0005-0000-0000-00002B000000}"/>
    <cellStyle name="Euro 6" xfId="96" xr:uid="{00000000-0005-0000-0000-00002C000000}"/>
    <cellStyle name="Euro 7" xfId="99" xr:uid="{00000000-0005-0000-0000-00002D000000}"/>
    <cellStyle name="Euro 8" xfId="101" xr:uid="{00000000-0005-0000-0000-00002E000000}"/>
    <cellStyle name="Euro 9" xfId="103" xr:uid="{00000000-0005-0000-0000-00002F000000}"/>
    <cellStyle name="Euro_Julio" xfId="19" xr:uid="{00000000-0005-0000-0000-000030000000}"/>
    <cellStyle name="Hipervínculo" xfId="134" builtinId="8" hidden="1"/>
    <cellStyle name="Hipervínculo" xfId="436" builtinId="8" hidden="1"/>
    <cellStyle name="Hipervínculo" xfId="176" builtinId="8" hidden="1"/>
    <cellStyle name="Hipervínculo" xfId="482" builtinId="8" hidden="1"/>
    <cellStyle name="Hipervínculo" xfId="504" builtinId="8" hidden="1"/>
    <cellStyle name="Hipervínculo" xfId="192" builtinId="8" hidden="1"/>
    <cellStyle name="Hipervínculo" xfId="460" builtinId="8" hidden="1"/>
    <cellStyle name="Hipervínculo" xfId="338" builtinId="8" hidden="1"/>
    <cellStyle name="Hipervínculo" xfId="390" builtinId="8" hidden="1"/>
    <cellStyle name="Hipervínculo" xfId="496" builtinId="8" hidden="1"/>
    <cellStyle name="Hipervínculo" xfId="498" builtinId="8" hidden="1"/>
    <cellStyle name="Hipervínculo" xfId="342" builtinId="8" hidden="1"/>
    <cellStyle name="Hipervínculo" xfId="330" builtinId="8" hidden="1"/>
    <cellStyle name="Hipervínculo" xfId="116" builtinId="8" hidden="1"/>
    <cellStyle name="Hipervínculo" xfId="444" builtinId="8" hidden="1"/>
    <cellStyle name="Hipervínculo" xfId="166" builtinId="8" hidden="1"/>
    <cellStyle name="Hipervínculo" xfId="456" builtinId="8" hidden="1"/>
    <cellStyle name="Hipervínculo" xfId="466" builtinId="8" hidden="1"/>
    <cellStyle name="Hipervínculo" xfId="500" builtinId="8" hidden="1"/>
    <cellStyle name="Hipervínculo" xfId="264" builtinId="8" hidden="1"/>
    <cellStyle name="Hipervínculo" xfId="106" builtinId="8" hidden="1"/>
    <cellStyle name="Hipervínculo" xfId="182" builtinId="8" hidden="1"/>
    <cellStyle name="Hipervínculo" xfId="470" builtinId="8" hidden="1"/>
    <cellStyle name="Hipervínculo" xfId="210" builtinId="8" hidden="1"/>
    <cellStyle name="Hipervínculo" xfId="178" builtinId="8" hidden="1"/>
    <cellStyle name="Hipervínculo" xfId="486" builtinId="8" hidden="1"/>
    <cellStyle name="Hipervínculo" xfId="350" builtinId="8" hidden="1"/>
    <cellStyle name="Hipervínculo" xfId="480" builtinId="8" hidden="1"/>
    <cellStyle name="Hipervínculo" xfId="336" builtinId="8" hidden="1"/>
    <cellStyle name="Hipervínculo" xfId="454" builtinId="8" hidden="1"/>
    <cellStyle name="Hipervínculo" xfId="230" builtinId="8" hidden="1"/>
    <cellStyle name="Hipervínculo" xfId="276" builtinId="8" hidden="1"/>
    <cellStyle name="Hipervínculo" xfId="332" builtinId="8" hidden="1"/>
    <cellStyle name="Hipervínculo" xfId="414" builtinId="8" hidden="1"/>
    <cellStyle name="Hipervínculo" xfId="248" builtinId="8" hidden="1"/>
    <cellStyle name="Hipervínculo" xfId="282" builtinId="8" hidden="1"/>
    <cellStyle name="Hipervínculo" xfId="400" builtinId="8" hidden="1"/>
    <cellStyle name="Hipervínculo" xfId="418" builtinId="8" hidden="1"/>
    <cellStyle name="Hipervínculo" xfId="422" builtinId="8" hidden="1"/>
    <cellStyle name="Hipervínculo" xfId="226" builtinId="8" hidden="1"/>
    <cellStyle name="Hipervínculo" xfId="316" builtinId="8" hidden="1"/>
    <cellStyle name="Hipervínculo" xfId="238" builtinId="8" hidden="1"/>
    <cellStyle name="Hipervínculo" xfId="344" builtinId="8" hidden="1"/>
    <cellStyle name="Hipervínculo" xfId="358" builtinId="8" hidden="1"/>
    <cellStyle name="Hipervínculo" xfId="120" builtinId="8" hidden="1"/>
    <cellStyle name="Hipervínculo" xfId="140" builtinId="8" hidden="1"/>
    <cellStyle name="Hipervínculo" xfId="376" builtinId="8" hidden="1"/>
    <cellStyle name="Hipervínculo" xfId="258" builtinId="8" hidden="1"/>
    <cellStyle name="Hipervínculo" xfId="378" builtinId="8" hidden="1"/>
    <cellStyle name="Hipervínculo" xfId="188" builtinId="8" hidden="1"/>
    <cellStyle name="Hipervínculo" xfId="320" builtinId="8" hidden="1"/>
    <cellStyle name="Hipervínculo" xfId="208" builtinId="8" hidden="1"/>
    <cellStyle name="Hipervínculo" xfId="434" builtinId="8" hidden="1"/>
    <cellStyle name="Hipervínculo" xfId="334" builtinId="8" hidden="1"/>
    <cellStyle name="Hipervínculo" xfId="388" builtinId="8" hidden="1"/>
    <cellStyle name="Hipervínculo" xfId="382" builtinId="8" hidden="1"/>
    <cellStyle name="Hipervínculo" xfId="420" builtinId="8" hidden="1"/>
    <cellStyle name="Hipervínculo" xfId="194" builtinId="8" hidden="1"/>
    <cellStyle name="Hipervínculo" xfId="394" builtinId="8" hidden="1"/>
    <cellStyle name="Hipervínculo" xfId="144" builtinId="8" hidden="1"/>
    <cellStyle name="Hipervínculo" xfId="398" builtinId="8" hidden="1"/>
    <cellStyle name="Hipervínculo" xfId="118" builtinId="8" hidden="1"/>
    <cellStyle name="Hipervínculo" xfId="150" builtinId="8" hidden="1"/>
    <cellStyle name="Hipervínculo" xfId="146" builtinId="8" hidden="1"/>
    <cellStyle name="Hipervínculo" xfId="384" builtinId="8" hidden="1"/>
    <cellStyle name="Hipervínculo" xfId="184" builtinId="8" hidden="1"/>
    <cellStyle name="Hipervínculo" xfId="216" builtinId="8" hidden="1"/>
    <cellStyle name="Hipervínculo" xfId="396" builtinId="8" hidden="1"/>
    <cellStyle name="Hipervínculo" xfId="412" builtinId="8" hidden="1"/>
    <cellStyle name="Hipervínculo" xfId="432" builtinId="8" hidden="1"/>
    <cellStyle name="Hipervínculo" xfId="318" builtinId="8" hidden="1"/>
    <cellStyle name="Hipervínculo" xfId="452" builtinId="8" hidden="1"/>
    <cellStyle name="Hipervínculo" xfId="268" builtinId="8" hidden="1"/>
    <cellStyle name="Hipervínculo" xfId="148" builtinId="8" hidden="1"/>
    <cellStyle name="Hipervínculo" xfId="186" builtinId="8" hidden="1"/>
    <cellStyle name="Hipervínculo" xfId="288" builtinId="8" hidden="1"/>
    <cellStyle name="Hipervínculo" xfId="200" builtinId="8" hidden="1"/>
    <cellStyle name="Hipervínculo" xfId="440" builtinId="8" hidden="1"/>
    <cellStyle name="Hipervínculo" xfId="424" builtinId="8" hidden="1"/>
    <cellStyle name="Hipervínculo" xfId="488" builtinId="8" hidden="1"/>
    <cellStyle name="Hipervínculo" xfId="508" builtinId="8" hidden="1"/>
    <cellStyle name="Hipervínculo" xfId="312" builtinId="8" hidden="1"/>
    <cellStyle name="Hipervínculo" xfId="328" builtinId="8" hidden="1"/>
    <cellStyle name="Hipervínculo" xfId="110" builtinId="8" hidden="1"/>
    <cellStyle name="Hipervínculo" xfId="234" builtinId="8" hidden="1"/>
    <cellStyle name="Hipervínculo" xfId="236" builtinId="8" hidden="1"/>
    <cellStyle name="Hipervínculo" xfId="426" builtinId="8" hidden="1"/>
    <cellStyle name="Hipervínculo" xfId="326" builtinId="8" hidden="1"/>
    <cellStyle name="Hipervínculo" xfId="156" builtinId="8" hidden="1"/>
    <cellStyle name="Hipervínculo" xfId="478" builtinId="8" hidden="1"/>
    <cellStyle name="Hipervínculo" xfId="112" builtinId="8" hidden="1"/>
    <cellStyle name="Hipervínculo" xfId="322" builtinId="8" hidden="1"/>
    <cellStyle name="Hipervínculo" xfId="458" builtinId="8" hidden="1"/>
    <cellStyle name="Hipervínculo" xfId="346" builtinId="8" hidden="1"/>
    <cellStyle name="Hipervínculo" xfId="132" builtinId="8" hidden="1"/>
    <cellStyle name="Hipervínculo" xfId="464" builtinId="8" hidden="1"/>
    <cellStyle name="Hipervínculo" xfId="164" builtinId="8" hidden="1"/>
    <cellStyle name="Hipervínculo" xfId="404" builtinId="8" hidden="1"/>
    <cellStyle name="Hipervínculo" xfId="214" builtinId="8" hidden="1"/>
    <cellStyle name="Hipervínculo" xfId="314" builtinId="8" hidden="1"/>
    <cellStyle name="Hipervínculo" xfId="122" builtinId="8" hidden="1"/>
    <cellStyle name="Hipervínculo" xfId="410" builtinId="8" hidden="1"/>
    <cellStyle name="Hipervínculo" xfId="124" builtinId="8" hidden="1"/>
    <cellStyle name="Hipervínculo" xfId="310" builtinId="8" hidden="1"/>
    <cellStyle name="Hipervínculo" xfId="168" builtinId="8" hidden="1"/>
    <cellStyle name="Hipervínculo" xfId="308" builtinId="8" hidden="1"/>
    <cellStyle name="Hipervínculo" xfId="270" builtinId="8" hidden="1"/>
    <cellStyle name="Hipervínculo" xfId="240" builtinId="8" hidden="1"/>
    <cellStyle name="Hipervínculo" xfId="292" builtinId="8" hidden="1"/>
    <cellStyle name="Hipervínculo" xfId="304" builtinId="8" hidden="1"/>
    <cellStyle name="Hipervínculo" xfId="202" builtinId="8" hidden="1"/>
    <cellStyle name="Hipervínculo" xfId="302" builtinId="8" hidden="1"/>
    <cellStyle name="Hipervínculo" xfId="406" builtinId="8" hidden="1"/>
    <cellStyle name="Hipervínculo" xfId="502" builtinId="8" hidden="1"/>
    <cellStyle name="Hipervínculo" xfId="126" builtinId="8" hidden="1"/>
    <cellStyle name="Hipervínculo" xfId="232" builtinId="8" hidden="1"/>
    <cellStyle name="Hipervínculo" xfId="138" builtinId="8" hidden="1"/>
    <cellStyle name="Hipervínculo" xfId="402" builtinId="8" hidden="1"/>
    <cellStyle name="Hipervínculo" xfId="108" builtinId="8" hidden="1"/>
    <cellStyle name="Hipervínculo" xfId="136" builtinId="8" hidden="1"/>
    <cellStyle name="Hipervínculo" xfId="416" builtinId="8" hidden="1"/>
    <cellStyle name="Hipervínculo" xfId="324" builtinId="8" hidden="1"/>
    <cellStyle name="Hipervínculo" xfId="272" builtinId="8" hidden="1"/>
    <cellStyle name="Hipervínculo" xfId="174" builtinId="8" hidden="1"/>
    <cellStyle name="Hipervínculo" xfId="438" builtinId="8" hidden="1"/>
    <cellStyle name="Hipervínculo" xfId="128" builtinId="8" hidden="1"/>
    <cellStyle name="Hipervínculo" xfId="142" builtinId="8" hidden="1"/>
    <cellStyle name="Hipervínculo" xfId="286" builtinId="8" hidden="1"/>
    <cellStyle name="Hipervínculo" xfId="494" builtinId="8" hidden="1"/>
    <cellStyle name="Hipervínculo" xfId="284" builtinId="8" hidden="1"/>
    <cellStyle name="Hipervínculo" xfId="430" builtinId="8" hidden="1"/>
    <cellStyle name="Hipervínculo" xfId="152" builtinId="8" hidden="1"/>
    <cellStyle name="Hipervínculo" xfId="130" builtinId="8" hidden="1"/>
    <cellStyle name="Hipervínculo" xfId="386" builtinId="8" hidden="1"/>
    <cellStyle name="Hipervínculo" xfId="180" builtinId="8" hidden="1"/>
    <cellStyle name="Hipervínculo" xfId="278" builtinId="8" hidden="1"/>
    <cellStyle name="Hipervínculo" xfId="154" builtinId="8" hidden="1"/>
    <cellStyle name="Hipervínculo" xfId="262" builtinId="8" hidden="1"/>
    <cellStyle name="Hipervínculo" xfId="160" builtinId="8" hidden="1"/>
    <cellStyle name="Hipervínculo" xfId="472" builtinId="8" hidden="1"/>
    <cellStyle name="Hipervínculo" xfId="162" builtinId="8" hidden="1"/>
    <cellStyle name="Hipervínculo" xfId="476" builtinId="8" hidden="1"/>
    <cellStyle name="Hipervínculo" xfId="484" builtinId="8" hidden="1"/>
    <cellStyle name="Hipervínculo" xfId="280" builtinId="8" hidden="1"/>
    <cellStyle name="Hipervínculo" xfId="392" builtinId="8" hidden="1"/>
    <cellStyle name="Hipervínculo" xfId="274" builtinId="8" hidden="1"/>
    <cellStyle name="Hipervínculo" xfId="266" builtinId="8" hidden="1"/>
    <cellStyle name="Hipervínculo" xfId="306" builtinId="8" hidden="1"/>
    <cellStyle name="Hipervínculo" xfId="246" builtinId="8" hidden="1"/>
    <cellStyle name="Hipervínculo" xfId="104" builtinId="8" hidden="1"/>
    <cellStyle name="Hipervínculo" xfId="448" builtinId="8" hidden="1"/>
    <cellStyle name="Hipervínculo" xfId="114" builtinId="8" hidden="1"/>
    <cellStyle name="Hipervínculo" xfId="380" builtinId="8" hidden="1"/>
    <cellStyle name="Hipervínculo" xfId="260" builtinId="8" hidden="1"/>
    <cellStyle name="Hipervínculo" xfId="228" builtinId="8" hidden="1"/>
    <cellStyle name="Hipervínculo" xfId="218" builtinId="8" hidden="1"/>
    <cellStyle name="Hipervínculo" xfId="252" builtinId="8" hidden="1"/>
    <cellStyle name="Hipervínculo" xfId="474" builtinId="8" hidden="1"/>
    <cellStyle name="Hipervínculo" xfId="256" builtinId="8" hidden="1"/>
    <cellStyle name="Hipervínculo" xfId="354" builtinId="8" hidden="1"/>
    <cellStyle name="Hipervínculo" xfId="492" builtinId="8" hidden="1"/>
    <cellStyle name="Hipervínculo" xfId="446" builtinId="8" hidden="1"/>
    <cellStyle name="Hipervínculo" xfId="298" builtinId="8" hidden="1"/>
    <cellStyle name="Hipervínculo" xfId="356" builtinId="8" hidden="1"/>
    <cellStyle name="Hipervínculo" xfId="468" builtinId="8" hidden="1"/>
    <cellStyle name="Hipervínculo" xfId="408" builtinId="8" hidden="1"/>
    <cellStyle name="Hipervínculo" xfId="172" builtinId="8" hidden="1"/>
    <cellStyle name="Hipervínculo" xfId="170" builtinId="8" hidden="1"/>
    <cellStyle name="Hipervínculo" xfId="190" builtinId="8" hidden="1"/>
    <cellStyle name="Hipervínculo" xfId="294" builtinId="8" hidden="1"/>
    <cellStyle name="Hipervínculo" xfId="300" builtinId="8" hidden="1"/>
    <cellStyle name="Hipervínculo" xfId="250" builtinId="8" hidden="1"/>
    <cellStyle name="Hipervínculo" xfId="340" builtinId="8" hidden="1"/>
    <cellStyle name="Hipervínculo" xfId="244" builtinId="8" hidden="1"/>
    <cellStyle name="Hipervínculo" xfId="196" builtinId="8" hidden="1"/>
    <cellStyle name="Hipervínculo" xfId="222" builtinId="8" hidden="1"/>
    <cellStyle name="Hipervínculo" xfId="428" builtinId="8" hidden="1"/>
    <cellStyle name="Hipervínculo" xfId="506" builtinId="8" hidden="1"/>
    <cellStyle name="Hipervínculo" xfId="198" builtinId="8" hidden="1"/>
    <cellStyle name="Hipervínculo" xfId="442" builtinId="8" hidden="1"/>
    <cellStyle name="Hipervínculo" xfId="450" builtinId="8" hidden="1"/>
    <cellStyle name="Hipervínculo" xfId="206" builtinId="8" hidden="1"/>
    <cellStyle name="Hipervínculo" xfId="290" builtinId="8" hidden="1"/>
    <cellStyle name="Hipervínculo" xfId="352" builtinId="8" hidden="1"/>
    <cellStyle name="Hipervínculo" xfId="490" builtinId="8" hidden="1"/>
    <cellStyle name="Hipervínculo" xfId="374" builtinId="8" hidden="1"/>
    <cellStyle name="Hipervínculo" xfId="242" builtinId="8" hidden="1"/>
    <cellStyle name="Hipervínculo" xfId="296" builtinId="8" hidden="1"/>
    <cellStyle name="Hipervínculo" xfId="158" builtinId="8" hidden="1"/>
    <cellStyle name="Hipervínculo" xfId="224" builtinId="8" hidden="1"/>
    <cellStyle name="Hipervínculo" xfId="212" builtinId="8" hidden="1"/>
    <cellStyle name="Hipervínculo" xfId="348" builtinId="8" hidden="1"/>
    <cellStyle name="Hipervínculo" xfId="204" builtinId="8" hidden="1"/>
    <cellStyle name="Hipervínculo" xfId="220" builtinId="8" hidden="1"/>
    <cellStyle name="Hipervínculo" xfId="254" builtinId="8" hidden="1"/>
    <cellStyle name="Hipervínculo" xfId="462" builtinId="8" hidden="1"/>
    <cellStyle name="Hipervínculo visitado" xfId="403" builtinId="9" hidden="1"/>
    <cellStyle name="Hipervínculo visitado" xfId="465" builtinId="9" hidden="1"/>
    <cellStyle name="Hipervínculo visitado" xfId="323" builtinId="9" hidden="1"/>
    <cellStyle name="Hipervínculo visitado" xfId="339" builtinId="9" hidden="1"/>
    <cellStyle name="Hipervínculo visitado" xfId="309" builtinId="9" hidden="1"/>
    <cellStyle name="Hipervínculo visitado" xfId="289" builtinId="9" hidden="1"/>
    <cellStyle name="Hipervínculo visitado" xfId="253" builtinId="9" hidden="1"/>
    <cellStyle name="Hipervínculo visitado" xfId="203" builtinId="9" hidden="1"/>
    <cellStyle name="Hipervínculo visitado" xfId="389" builtinId="9" hidden="1"/>
    <cellStyle name="Hipervínculo visitado" xfId="493" builtinId="9" hidden="1"/>
    <cellStyle name="Hipervínculo visitado" xfId="115" builtinId="9" hidden="1"/>
    <cellStyle name="Hipervínculo visitado" xfId="169" builtinId="9" hidden="1"/>
    <cellStyle name="Hipervínculo visitado" xfId="481" builtinId="9" hidden="1"/>
    <cellStyle name="Hipervínculo visitado" xfId="435" builtinId="9" hidden="1"/>
    <cellStyle name="Hipervínculo visitado" xfId="187" builtinId="9" hidden="1"/>
    <cellStyle name="Hipervínculo visitado" xfId="295" builtinId="9" hidden="1"/>
    <cellStyle name="Hipervínculo visitado" xfId="215" builtinId="9" hidden="1"/>
    <cellStyle name="Hipervínculo visitado" xfId="227" builtinId="9" hidden="1"/>
    <cellStyle name="Hipervínculo visitado" xfId="479" builtinId="9" hidden="1"/>
    <cellStyle name="Hipervínculo visitado" xfId="195" builtinId="9" hidden="1"/>
    <cellStyle name="Hipervínculo visitado" xfId="217" builtinId="9" hidden="1"/>
    <cellStyle name="Hipervínculo visitado" xfId="139" builtinId="9" hidden="1"/>
    <cellStyle name="Hipervínculo visitado" xfId="441" builtinId="9" hidden="1"/>
    <cellStyle name="Hipervínculo visitado" xfId="107" builtinId="9" hidden="1"/>
    <cellStyle name="Hipervínculo visitado" xfId="179" builtinId="9" hidden="1"/>
    <cellStyle name="Hipervínculo visitado" xfId="117" builtinId="9" hidden="1"/>
    <cellStyle name="Hipervínculo visitado" xfId="211" builtinId="9" hidden="1"/>
    <cellStyle name="Hipervínculo visitado" xfId="437" builtinId="9" hidden="1"/>
    <cellStyle name="Hipervínculo visitado" xfId="241" builtinId="9" hidden="1"/>
    <cellStyle name="Hipervínculo visitado" xfId="401" builtinId="9" hidden="1"/>
    <cellStyle name="Hipervínculo visitado" xfId="359" builtinId="9" hidden="1"/>
    <cellStyle name="Hipervínculo visitado" xfId="197" builtinId="9" hidden="1"/>
    <cellStyle name="Hipervínculo visitado" xfId="347" builtinId="9" hidden="1"/>
    <cellStyle name="Hipervínculo visitado" xfId="231" builtinId="9" hidden="1"/>
    <cellStyle name="Hipervínculo visitado" xfId="463" builtinId="9" hidden="1"/>
    <cellStyle name="Hipervínculo visitado" xfId="207" builtinId="9" hidden="1"/>
    <cellStyle name="Hipervínculo visitado" xfId="237" builtinId="9" hidden="1"/>
    <cellStyle name="Hipervínculo visitado" xfId="372" builtinId="9" hidden="1"/>
    <cellStyle name="Hipervínculo visitado" xfId="297" builtinId="9" hidden="1"/>
    <cellStyle name="Hipervínculo visitado" xfId="261" builtinId="9" hidden="1"/>
    <cellStyle name="Hipervínculo visitado" xfId="235" builtinId="9" hidden="1"/>
    <cellStyle name="Hipervínculo visitado" xfId="137" builtinId="9" hidden="1"/>
    <cellStyle name="Hipervínculo visitado" xfId="307" builtinId="9" hidden="1"/>
    <cellStyle name="Hipervínculo visitado" xfId="183" builtinId="9" hidden="1"/>
    <cellStyle name="Hipervínculo visitado" xfId="349" builtinId="9" hidden="1"/>
    <cellStyle name="Hipervínculo visitado" xfId="461" builtinId="9" hidden="1"/>
    <cellStyle name="Hipervínculo visitado" xfId="239" builtinId="9" hidden="1"/>
    <cellStyle name="Hipervínculo visitado" xfId="419" builtinId="9" hidden="1"/>
    <cellStyle name="Hipervínculo visitado" xfId="413" builtinId="9" hidden="1"/>
    <cellStyle name="Hipervínculo visitado" xfId="487" builtinId="9" hidden="1"/>
    <cellStyle name="Hipervínculo visitado" xfId="287" builtinId="9" hidden="1"/>
    <cellStyle name="Hipervínculo visitado" xfId="343" builtinId="9" hidden="1"/>
    <cellStyle name="Hipervínculo visitado" xfId="361" builtinId="9" hidden="1"/>
    <cellStyle name="Hipervínculo visitado" xfId="167" builtinId="9" hidden="1"/>
    <cellStyle name="Hipervínculo visitado" xfId="495" builtinId="9" hidden="1"/>
    <cellStyle name="Hipervínculo visitado" xfId="409" builtinId="9" hidden="1"/>
    <cellStyle name="Hipervínculo visitado" xfId="433" builtinId="9" hidden="1"/>
    <cellStyle name="Hipervínculo visitado" xfId="427" builtinId="9" hidden="1"/>
    <cellStyle name="Hipervínculo visitado" xfId="265" builtinId="9" hidden="1"/>
    <cellStyle name="Hipervínculo visitado" xfId="391" builtinId="9" hidden="1"/>
    <cellStyle name="Hipervínculo visitado" xfId="151" builtinId="9" hidden="1"/>
    <cellStyle name="Hipervínculo visitado" xfId="267" builtinId="9" hidden="1"/>
    <cellStyle name="Hipervínculo visitado" xfId="370" builtinId="9" hidden="1"/>
    <cellStyle name="Hipervínculo visitado" xfId="279" builtinId="9" hidden="1"/>
    <cellStyle name="Hipervínculo visitado" xfId="161" builtinId="9" hidden="1"/>
    <cellStyle name="Hipervínculo visitado" xfId="337" builtinId="9" hidden="1"/>
    <cellStyle name="Hipervínculo visitado" xfId="181" builtinId="9" hidden="1"/>
    <cellStyle name="Hipervínculo visitado" xfId="447" builtinId="9" hidden="1"/>
    <cellStyle name="Hipervínculo visitado" xfId="153" builtinId="9" hidden="1"/>
    <cellStyle name="Hipervínculo visitado" xfId="131" builtinId="9" hidden="1"/>
    <cellStyle name="Hipervínculo visitado" xfId="381" builtinId="9" hidden="1"/>
    <cellStyle name="Hipervínculo visitado" xfId="159" builtinId="9" hidden="1"/>
    <cellStyle name="Hipervínculo visitado" xfId="315" builtinId="9" hidden="1"/>
    <cellStyle name="Hipervínculo visitado" xfId="505" builtinId="9" hidden="1"/>
    <cellStyle name="Hipervínculo visitado" xfId="273" builtinId="9" hidden="1"/>
    <cellStyle name="Hipervínculo visitado" xfId="121" builtinId="9" hidden="1"/>
    <cellStyle name="Hipervínculo visitado" xfId="243" builtinId="9" hidden="1"/>
    <cellStyle name="Hipervínculo visitado" xfId="393" builtinId="9" hidden="1"/>
    <cellStyle name="Hipervínculo visitado" xfId="368" builtinId="9" hidden="1"/>
    <cellStyle name="Hipervínculo visitado" xfId="503" builtinId="9" hidden="1"/>
    <cellStyle name="Hipervínculo visitado" xfId="165" builtinId="9" hidden="1"/>
    <cellStyle name="Hipervínculo visitado" xfId="317" builtinId="9" hidden="1"/>
    <cellStyle name="Hipervínculo visitado" xfId="501" builtinId="9" hidden="1"/>
    <cellStyle name="Hipervínculo visitado" xfId="509" builtinId="9" hidden="1"/>
    <cellStyle name="Hipervínculo visitado" xfId="189" builtinId="9" hidden="1"/>
    <cellStyle name="Hipervínculo visitado" xfId="329" builtinId="9" hidden="1"/>
    <cellStyle name="Hipervínculo visitado" xfId="133" builtinId="9" hidden="1"/>
    <cellStyle name="Hipervínculo visitado" xfId="383" builtinId="9" hidden="1"/>
    <cellStyle name="Hipervínculo visitado" xfId="357" builtinId="9" hidden="1"/>
    <cellStyle name="Hipervínculo visitado" xfId="301" builtinId="9" hidden="1"/>
    <cellStyle name="Hipervínculo visitado" xfId="415" builtinId="9" hidden="1"/>
    <cellStyle name="Hipervínculo visitado" xfId="221" builtinId="9" hidden="1"/>
    <cellStyle name="Hipervínculo visitado" xfId="271" builtinId="9" hidden="1"/>
    <cellStyle name="Hipervínculo visitado" xfId="467" builtinId="9" hidden="1"/>
    <cellStyle name="Hipervínculo visitado" xfId="175" builtinId="9" hidden="1"/>
    <cellStyle name="Hipervínculo visitado" xfId="355" builtinId="9" hidden="1"/>
    <cellStyle name="Hipervínculo visitado" xfId="291" builtinId="9" hidden="1"/>
    <cellStyle name="Hipervínculo visitado" xfId="319" builtinId="9" hidden="1"/>
    <cellStyle name="Hipervínculo visitado" xfId="397" builtinId="9" hidden="1"/>
    <cellStyle name="Hipervínculo visitado" xfId="477" builtinId="9" hidden="1"/>
    <cellStyle name="Hipervínculo visitado" xfId="473" builtinId="9" hidden="1"/>
    <cellStyle name="Hipervínculo visitado" xfId="147" builtinId="9" hidden="1"/>
    <cellStyle name="Hipervínculo visitado" xfId="407" builtinId="9" hidden="1"/>
    <cellStyle name="Hipervínculo visitado" xfId="255" builtinId="9" hidden="1"/>
    <cellStyle name="Hipervínculo visitado" xfId="123" builtinId="9" hidden="1"/>
    <cellStyle name="Hipervínculo visitado" xfId="251" builtinId="9" hidden="1"/>
    <cellStyle name="Hipervínculo visitado" xfId="303" builtinId="9" hidden="1"/>
    <cellStyle name="Hipervínculo visitado" xfId="367" builtinId="9" hidden="1"/>
    <cellStyle name="Hipervínculo visitado" xfId="129" builtinId="9" hidden="1"/>
    <cellStyle name="Hipervínculo visitado" xfId="363" builtinId="9" hidden="1"/>
    <cellStyle name="Hipervínculo visitado" xfId="143" builtinId="9" hidden="1"/>
    <cellStyle name="Hipervínculo visitado" xfId="385" builtinId="9" hidden="1"/>
    <cellStyle name="Hipervínculo visitado" xfId="453" builtinId="9" hidden="1"/>
    <cellStyle name="Hipervínculo visitado" xfId="163" builtinId="9" hidden="1"/>
    <cellStyle name="Hipervínculo visitado" xfId="423" builtinId="9" hidden="1"/>
    <cellStyle name="Hipervínculo visitado" xfId="439" builtinId="9" hidden="1"/>
    <cellStyle name="Hipervínculo visitado" xfId="127" builtinId="9" hidden="1"/>
    <cellStyle name="Hipervínculo visitado" xfId="249" builtinId="9" hidden="1"/>
    <cellStyle name="Hipervínculo visitado" xfId="395" builtinId="9" hidden="1"/>
    <cellStyle name="Hipervínculo visitado" xfId="425" builtinId="9" hidden="1"/>
    <cellStyle name="Hipervínculo visitado" xfId="335" builtinId="9" hidden="1"/>
    <cellStyle name="Hipervínculo visitado" xfId="341" builtinId="9" hidden="1"/>
    <cellStyle name="Hipervínculo visitado" xfId="149" builtinId="9" hidden="1"/>
    <cellStyle name="Hipervínculo visitado" xfId="293" builtinId="9" hidden="1"/>
    <cellStyle name="Hipervínculo visitado" xfId="375" builtinId="9" hidden="1"/>
    <cellStyle name="Hipervínculo visitado" xfId="213" builtinId="9" hidden="1"/>
    <cellStyle name="Hipervínculo visitado" xfId="305" builtinId="9" hidden="1"/>
    <cellStyle name="Hipervínculo visitado" xfId="417" builtinId="9" hidden="1"/>
    <cellStyle name="Hipervínculo visitado" xfId="145" builtinId="9" hidden="1"/>
    <cellStyle name="Hipervínculo visitado" xfId="321" builtinId="9" hidden="1"/>
    <cellStyle name="Hipervínculo visitado" xfId="457" builtinId="9" hidden="1"/>
    <cellStyle name="Hipervínculo visitado" xfId="269" builtinId="9" hidden="1"/>
    <cellStyle name="Hipervínculo visitado" xfId="205" builtinId="9" hidden="1"/>
    <cellStyle name="Hipervínculo visitado" xfId="223" builtinId="9" hidden="1"/>
    <cellStyle name="Hipervínculo visitado" xfId="399" builtinId="9" hidden="1"/>
    <cellStyle name="Hipervínculo visitado" xfId="191" builtinId="9" hidden="1"/>
    <cellStyle name="Hipervínculo visitado" xfId="443" builtinId="9" hidden="1"/>
    <cellStyle name="Hipervínculo visitado" xfId="421" builtinId="9" hidden="1"/>
    <cellStyle name="Hipervínculo visitado" xfId="173" builtinId="9" hidden="1"/>
    <cellStyle name="Hipervínculo visitado" xfId="411" builtinId="9" hidden="1"/>
    <cellStyle name="Hipervínculo visitado" xfId="451" builtinId="9" hidden="1"/>
    <cellStyle name="Hipervínculo visitado" xfId="471" builtinId="9" hidden="1"/>
    <cellStyle name="Hipervínculo visitado" xfId="233" builtinId="9" hidden="1"/>
    <cellStyle name="Hipervínculo visitado" xfId="445" builtinId="9" hidden="1"/>
    <cellStyle name="Hipervínculo visitado" xfId="483" builtinId="9" hidden="1"/>
    <cellStyle name="Hipervínculo visitado" xfId="313" builtinId="9" hidden="1"/>
    <cellStyle name="Hipervínculo visitado" xfId="449" builtinId="9" hidden="1"/>
    <cellStyle name="Hipervínculo visitado" xfId="333" builtinId="9" hidden="1"/>
    <cellStyle name="Hipervínculo visitado" xfId="405" builtinId="9" hidden="1"/>
    <cellStyle name="Hipervínculo visitado" xfId="475" builtinId="9" hidden="1"/>
    <cellStyle name="Hipervínculo visitado" xfId="379" builtinId="9" hidden="1"/>
    <cellStyle name="Hipervínculo visitado" xfId="193" builtinId="9" hidden="1"/>
    <cellStyle name="Hipervínculo visitado" xfId="171" builtinId="9" hidden="1"/>
    <cellStyle name="Hipervínculo visitado" xfId="275" builtinId="9" hidden="1"/>
    <cellStyle name="Hipervínculo visitado" xfId="455" builtinId="9" hidden="1"/>
    <cellStyle name="Hipervínculo visitado" xfId="283" builtinId="9" hidden="1"/>
    <cellStyle name="Hipervínculo visitado" xfId="281" builtinId="9" hidden="1"/>
    <cellStyle name="Hipervínculo visitado" xfId="345" builtinId="9" hidden="1"/>
    <cellStyle name="Hipervínculo visitado" xfId="135" builtinId="9" hidden="1"/>
    <cellStyle name="Hipervínculo visitado" xfId="485" builtinId="9" hidden="1"/>
    <cellStyle name="Hipervínculo visitado" xfId="185" builtinId="9" hidden="1"/>
    <cellStyle name="Hipervínculo visitado" xfId="155" builtinId="9" hidden="1"/>
    <cellStyle name="Hipervínculo visitado" xfId="209" builtinId="9" hidden="1"/>
    <cellStyle name="Hipervínculo visitado" xfId="366" builtinId="9" hidden="1"/>
    <cellStyle name="Hipervínculo visitado" xfId="113" builtinId="9" hidden="1"/>
    <cellStyle name="Hipervínculo visitado" xfId="125" builtinId="9" hidden="1"/>
    <cellStyle name="Hipervínculo visitado" xfId="277" builtinId="9" hidden="1"/>
    <cellStyle name="Hipervínculo visitado" xfId="141" builtinId="9" hidden="1"/>
    <cellStyle name="Hipervínculo visitado" xfId="219" builtinId="9" hidden="1"/>
    <cellStyle name="Hipervínculo visitado" xfId="263" builtinId="9" hidden="1"/>
    <cellStyle name="Hipervínculo visitado" xfId="489" builtinId="9" hidden="1"/>
    <cellStyle name="Hipervínculo visitado" xfId="257" builtinId="9" hidden="1"/>
    <cellStyle name="Hipervínculo visitado" xfId="351" builtinId="9" hidden="1"/>
    <cellStyle name="Hipervínculo visitado" xfId="365" builtinId="9" hidden="1"/>
    <cellStyle name="Hipervínculo visitado" xfId="491" builtinId="9" hidden="1"/>
    <cellStyle name="Hipervínculo visitado" xfId="229" builtinId="9" hidden="1"/>
    <cellStyle name="Hipervínculo visitado" xfId="507" builtinId="9" hidden="1"/>
    <cellStyle name="Hipervínculo visitado" xfId="469" builtinId="9" hidden="1"/>
    <cellStyle name="Hipervínculo visitado" xfId="362" builtinId="9" hidden="1"/>
    <cellStyle name="Hipervínculo visitado" xfId="299" builtinId="9" hidden="1"/>
    <cellStyle name="Hipervínculo visitado" xfId="377" builtinId="9" hidden="1"/>
    <cellStyle name="Hipervínculo visitado" xfId="199" builtinId="9" hidden="1"/>
    <cellStyle name="Hipervínculo visitado" xfId="157" builtinId="9" hidden="1"/>
    <cellStyle name="Hipervínculo visitado" xfId="353" builtinId="9" hidden="1"/>
    <cellStyle name="Hipervínculo visitado" xfId="325" builtinId="9" hidden="1"/>
    <cellStyle name="Hipervínculo visitado" xfId="371" builtinId="9" hidden="1"/>
    <cellStyle name="Hipervínculo visitado" xfId="245" builtinId="9" hidden="1"/>
    <cellStyle name="Hipervínculo visitado" xfId="360" builtinId="9" hidden="1"/>
    <cellStyle name="Hipervínculo visitado" xfId="373" builtinId="9" hidden="1"/>
    <cellStyle name="Hipervínculo visitado" xfId="177" builtinId="9" hidden="1"/>
    <cellStyle name="Hipervínculo visitado" xfId="111" builtinId="9" hidden="1"/>
    <cellStyle name="Hipervínculo visitado" xfId="499" builtinId="9" hidden="1"/>
    <cellStyle name="Hipervínculo visitado" xfId="311" builtinId="9" hidden="1"/>
    <cellStyle name="Hipervínculo visitado" xfId="497" builtinId="9" hidden="1"/>
    <cellStyle name="Hipervínculo visitado" xfId="459" builtinId="9" hidden="1"/>
    <cellStyle name="Hipervínculo visitado" xfId="259" builtinId="9" hidden="1"/>
    <cellStyle name="Hipervínculo visitado" xfId="225" builtinId="9" hidden="1"/>
    <cellStyle name="Hipervínculo visitado" xfId="431" builtinId="9" hidden="1"/>
    <cellStyle name="Hipervínculo visitado" xfId="109" builtinId="9" hidden="1"/>
    <cellStyle name="Hipervínculo visitado" xfId="364" builtinId="9" hidden="1"/>
    <cellStyle name="Hipervínculo visitado" xfId="369" builtinId="9" hidden="1"/>
    <cellStyle name="Hipervínculo visitado" xfId="285" builtinId="9" hidden="1"/>
    <cellStyle name="Hipervínculo visitado" xfId="119" builtinId="9" hidden="1"/>
    <cellStyle name="Hipervínculo visitado" xfId="105" builtinId="9" hidden="1"/>
    <cellStyle name="Hipervínculo visitado" xfId="387" builtinId="9" hidden="1"/>
    <cellStyle name="Hipervínculo visitado" xfId="429" builtinId="9" hidden="1"/>
    <cellStyle name="Hipervínculo visitado" xfId="331" builtinId="9" hidden="1"/>
    <cellStyle name="Hipervínculo visitado" xfId="327" builtinId="9" hidden="1"/>
    <cellStyle name="Hipervínculo visitado" xfId="247" builtinId="9" hidden="1"/>
    <cellStyle name="Hipervínculo visitado" xfId="201" builtinId="9" hidden="1"/>
    <cellStyle name="Incorrecto 2" xfId="79" xr:uid="{00000000-0005-0000-0000-0000C7010000}"/>
    <cellStyle name="Millares 2" xfId="80" xr:uid="{00000000-0005-0000-0000-0000C9010000}"/>
    <cellStyle name="Millares 2 2" xfId="511" xr:uid="{00000000-0005-0000-0000-0000CA010000}"/>
    <cellStyle name="Millares 3" xfId="48" xr:uid="{00000000-0005-0000-0000-0000CB010000}"/>
    <cellStyle name="Moneda 2" xfId="81" xr:uid="{00000000-0005-0000-0000-0000CC010000}"/>
    <cellStyle name="Moneda 3" xfId="82" xr:uid="{00000000-0005-0000-0000-0000CD010000}"/>
    <cellStyle name="Neutral 2" xfId="83" xr:uid="{00000000-0005-0000-0000-0000CE010000}"/>
    <cellStyle name="Normal" xfId="0" builtinId="0"/>
    <cellStyle name="Normal 2" xfId="3" xr:uid="{00000000-0005-0000-0000-0000D0010000}"/>
    <cellStyle name="Normal 2 2" xfId="20" xr:uid="{00000000-0005-0000-0000-0000D1010000}"/>
    <cellStyle name="Normal 2 2 2" xfId="21" xr:uid="{00000000-0005-0000-0000-0000D2010000}"/>
    <cellStyle name="Normal 2 2 2 2" xfId="22" xr:uid="{00000000-0005-0000-0000-0000D3010000}"/>
    <cellStyle name="Normal 2 2 2_Julio" xfId="23" xr:uid="{00000000-0005-0000-0000-0000D4010000}"/>
    <cellStyle name="Normal 2 2 3" xfId="24" xr:uid="{00000000-0005-0000-0000-0000D5010000}"/>
    <cellStyle name="Normal 2 2_Julio" xfId="25" xr:uid="{00000000-0005-0000-0000-0000D6010000}"/>
    <cellStyle name="Normal 2 3" xfId="26" xr:uid="{00000000-0005-0000-0000-0000D7010000}"/>
    <cellStyle name="Normal 2 3 2" xfId="27" xr:uid="{00000000-0005-0000-0000-0000D8010000}"/>
    <cellStyle name="Normal 2 3_Julio" xfId="28" xr:uid="{00000000-0005-0000-0000-0000D9010000}"/>
    <cellStyle name="Normal 2 4" xfId="29" xr:uid="{00000000-0005-0000-0000-0000DA010000}"/>
    <cellStyle name="Normal 2 5" xfId="97" xr:uid="{00000000-0005-0000-0000-0000DB010000}"/>
    <cellStyle name="Normal 2 6" xfId="98" xr:uid="{00000000-0005-0000-0000-0000DC010000}"/>
    <cellStyle name="Normal 2 7" xfId="100" xr:uid="{00000000-0005-0000-0000-0000DD010000}"/>
    <cellStyle name="Normal 2 8" xfId="102" xr:uid="{00000000-0005-0000-0000-0000DE010000}"/>
    <cellStyle name="Normal 2_Julio" xfId="30" xr:uid="{00000000-0005-0000-0000-0000DF010000}"/>
    <cellStyle name="Normal 3" xfId="2" xr:uid="{00000000-0005-0000-0000-0000E0010000}"/>
    <cellStyle name="Normal 3 2" xfId="4" xr:uid="{00000000-0005-0000-0000-0000E1010000}"/>
    <cellStyle name="Normal 3 2 2" xfId="31" xr:uid="{00000000-0005-0000-0000-0000E2010000}"/>
    <cellStyle name="Normal 3 2_Julio" xfId="32" xr:uid="{00000000-0005-0000-0000-0000E3010000}"/>
    <cellStyle name="Normal 3 3" xfId="33" xr:uid="{00000000-0005-0000-0000-0000E4010000}"/>
    <cellStyle name="Normal 3_Julio" xfId="34" xr:uid="{00000000-0005-0000-0000-0000E5010000}"/>
    <cellStyle name="Normal 4" xfId="35" xr:uid="{00000000-0005-0000-0000-0000E6010000}"/>
    <cellStyle name="Normal 4 2" xfId="36" xr:uid="{00000000-0005-0000-0000-0000E7010000}"/>
    <cellStyle name="Normal 4 3" xfId="37" xr:uid="{00000000-0005-0000-0000-0000E8010000}"/>
    <cellStyle name="Normal 4 4" xfId="38" xr:uid="{00000000-0005-0000-0000-0000E9010000}"/>
    <cellStyle name="Normal 4_Julio" xfId="39" xr:uid="{00000000-0005-0000-0000-0000EA010000}"/>
    <cellStyle name="Normal 5" xfId="40" xr:uid="{00000000-0005-0000-0000-0000EB010000}"/>
    <cellStyle name="Normal 5 2" xfId="41" xr:uid="{00000000-0005-0000-0000-0000EC010000}"/>
    <cellStyle name="Normal 5 3" xfId="42" xr:uid="{00000000-0005-0000-0000-0000ED010000}"/>
    <cellStyle name="Normal 5 4" xfId="43" xr:uid="{00000000-0005-0000-0000-0000EE010000}"/>
    <cellStyle name="Normal 5_Julio" xfId="44" xr:uid="{00000000-0005-0000-0000-0000EF010000}"/>
    <cellStyle name="Normal 6" xfId="45" xr:uid="{00000000-0005-0000-0000-0000F0010000}"/>
    <cellStyle name="Normal 7" xfId="46" xr:uid="{00000000-0005-0000-0000-0000F1010000}"/>
    <cellStyle name="Normal 8" xfId="47" xr:uid="{00000000-0005-0000-0000-0000F2010000}"/>
    <cellStyle name="Notas 2" xfId="84" xr:uid="{00000000-0005-0000-0000-0000F3010000}"/>
    <cellStyle name="Porcentaje" xfId="510" builtinId="5"/>
    <cellStyle name="Porcentaje 3" xfId="85" xr:uid="{00000000-0005-0000-0000-0000F5010000}"/>
    <cellStyle name="Porcentual 2" xfId="1" xr:uid="{00000000-0005-0000-0000-0000F6010000}"/>
    <cellStyle name="Porcentual 2 2" xfId="86" xr:uid="{00000000-0005-0000-0000-0000F7010000}"/>
    <cellStyle name="Porcentual 3" xfId="87" xr:uid="{00000000-0005-0000-0000-0000F8010000}"/>
    <cellStyle name="Salida 2" xfId="88" xr:uid="{00000000-0005-0000-0000-0000F9010000}"/>
    <cellStyle name="Texto de advertencia 2" xfId="89" xr:uid="{00000000-0005-0000-0000-0000FA010000}"/>
    <cellStyle name="Texto explicativo 2" xfId="90" xr:uid="{00000000-0005-0000-0000-0000FB010000}"/>
    <cellStyle name="Título 1 2" xfId="91" xr:uid="{00000000-0005-0000-0000-0000FC010000}"/>
    <cellStyle name="Título 2 2" xfId="92" xr:uid="{00000000-0005-0000-0000-0000FD010000}"/>
    <cellStyle name="Título 3 2" xfId="93" xr:uid="{00000000-0005-0000-0000-0000FE010000}"/>
    <cellStyle name="Título 4" xfId="94" xr:uid="{00000000-0005-0000-0000-0000FF010000}"/>
    <cellStyle name="Total 2" xfId="95" xr:uid="{00000000-0005-0000-0000-000000020000}"/>
  </cellStyles>
  <dxfs count="189">
    <dxf>
      <numFmt numFmtId="2" formatCode="0.00"/>
    </dxf>
    <dxf>
      <numFmt numFmtId="24" formatCode="h:mm:ss\ AM/PM"/>
    </dxf>
    <dxf>
      <numFmt numFmtId="24" formatCode="h:mm:ss\ AM/PM"/>
    </dxf>
    <dxf>
      <numFmt numFmtId="19" formatCode="d/mm/yyyy"/>
    </dxf>
    <dxf>
      <font>
        <b val="0"/>
        <i val="0"/>
        <strike val="0"/>
        <condense val="0"/>
        <extend val="0"/>
        <outline val="0"/>
        <shadow val="0"/>
        <u val="none"/>
        <vertAlign val="baseline"/>
        <sz val="12"/>
        <color auto="1"/>
        <name val="Arial"/>
        <scheme val="none"/>
      </font>
      <numFmt numFmtId="2" formatCode="0.00"/>
      <alignment horizontal="center" vertical="bottom" textRotation="0" wrapText="0" indent="0" justifyLastLine="0" shrinkToFit="0" readingOrder="0"/>
      <border diagonalUp="0" diagonalDown="0" outline="0">
        <left style="thin">
          <color rgb="FF009A46"/>
        </left>
        <right style="thin">
          <color rgb="FF009A46"/>
        </right>
        <top style="thin">
          <color rgb="FF009A46"/>
        </top>
        <bottom/>
      </border>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border diagonalUp="0" diagonalDown="0" outline="0">
        <left style="thin">
          <color rgb="FF009A46"/>
        </left>
        <right style="thin">
          <color rgb="FF009A46"/>
        </right>
        <top style="thin">
          <color rgb="FF009A46"/>
        </top>
        <bottom/>
      </border>
    </dxf>
    <dxf>
      <font>
        <b val="0"/>
        <i val="0"/>
        <strike val="0"/>
        <condense val="0"/>
        <extend val="0"/>
        <outline val="0"/>
        <shadow val="0"/>
        <u val="none"/>
        <vertAlign val="baseline"/>
        <sz val="12"/>
        <color auto="1"/>
        <name val="Arial"/>
        <scheme val="none"/>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rgb="FF009A46"/>
        </left>
        <right style="thin">
          <color rgb="FF009A46"/>
        </right>
        <top style="thin">
          <color rgb="FF009A46"/>
        </top>
        <bottom style="thin">
          <color rgb="FF009A46"/>
        </bottom>
      </border>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border diagonalUp="0" diagonalDown="0" outline="0">
        <left style="thin">
          <color rgb="FF009A46"/>
        </left>
        <right style="thin">
          <color rgb="FF009A46"/>
        </right>
        <top style="thin">
          <color rgb="FF009A46"/>
        </top>
        <bottom style="thin">
          <color rgb="FF009A46"/>
        </bottom>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border diagonalUp="0" diagonalDown="0" outline="0">
        <left style="thin">
          <color auto="1"/>
        </left>
        <right style="thin">
          <color auto="1"/>
        </right>
        <top/>
        <bottom/>
      </border>
    </dxf>
    <dxf>
      <alignment vertical="center"/>
    </dxf>
    <dxf>
      <alignment vertical="center"/>
    </dxf>
    <dxf>
      <alignment vertical="bottom" indent="0"/>
    </dxf>
    <dxf>
      <alignment vertical="bottom" indent="0"/>
    </dxf>
    <dxf>
      <font>
        <b/>
      </font>
    </dxf>
    <dxf>
      <alignment horizontal="center"/>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horizontal="center"/>
    </dxf>
    <dxf>
      <alignment horizontal="left" relativeIndent="1"/>
    </dxf>
    <dxf>
      <font>
        <color theme="0"/>
      </font>
    </dxf>
    <dxf>
      <alignment horizontal="left" relativeIndent="1"/>
    </dxf>
    <dxf>
      <font>
        <color theme="0"/>
      </font>
    </dxf>
    <dxf>
      <font>
        <sz val="12"/>
      </font>
    </dxf>
    <dxf>
      <font>
        <sz val="12"/>
      </font>
    </dxf>
    <dxf>
      <font>
        <sz val="12"/>
      </font>
    </dxf>
    <dxf>
      <font>
        <sz val="12"/>
      </font>
    </dxf>
    <dxf>
      <font>
        <sz val="12"/>
      </font>
    </dxf>
    <dxf>
      <border>
        <left style="thin">
          <color rgb="FF009A46"/>
        </left>
        <right style="thin">
          <color rgb="FF009A46"/>
        </right>
        <top style="thin">
          <color rgb="FF009A46"/>
        </top>
        <bottom style="thin">
          <color rgb="FF009A46"/>
        </bottom>
        <vertical style="thin">
          <color rgb="FF009A46"/>
        </vertical>
        <horizontal style="thin">
          <color rgb="FF009A46"/>
        </horizontal>
      </border>
    </dxf>
    <dxf>
      <border>
        <left style="thin">
          <color rgb="FF009A46"/>
        </left>
        <right style="thin">
          <color rgb="FF009A46"/>
        </right>
        <top style="thin">
          <color rgb="FF009A46"/>
        </top>
        <bottom style="thin">
          <color rgb="FF009A46"/>
        </bottom>
        <vertical style="thin">
          <color rgb="FF009A46"/>
        </vertical>
        <horizontal style="thin">
          <color rgb="FF009A46"/>
        </horizontal>
      </border>
    </dxf>
    <dxf>
      <border>
        <left style="thin">
          <color rgb="FF009A46"/>
        </left>
        <right style="thin">
          <color rgb="FF009A46"/>
        </right>
        <top style="thin">
          <color rgb="FF009A46"/>
        </top>
        <bottom style="thin">
          <color rgb="FF009A46"/>
        </bottom>
        <vertical style="thin">
          <color rgb="FF009A46"/>
        </vertical>
        <horizontal style="thin">
          <color rgb="FF009A46"/>
        </horizontal>
      </border>
    </dxf>
    <dxf>
      <border>
        <left style="thin">
          <color rgb="FF009A46"/>
        </left>
        <right style="thin">
          <color rgb="FF009A46"/>
        </right>
        <top style="thin">
          <color rgb="FF009A46"/>
        </top>
        <bottom style="thin">
          <color rgb="FF009A46"/>
        </bottom>
        <vertical style="thin">
          <color rgb="FF009A46"/>
        </vertical>
        <horizontal style="thin">
          <color rgb="FF009A46"/>
        </horizontal>
      </border>
    </dxf>
    <dxf>
      <border>
        <left style="thin">
          <color rgb="FF009A46"/>
        </left>
        <right style="thin">
          <color rgb="FF009A46"/>
        </right>
        <top style="thin">
          <color rgb="FF009A46"/>
        </top>
        <bottom style="thin">
          <color rgb="FF009A46"/>
        </bottom>
        <vertical style="thin">
          <color rgb="FF009A46"/>
        </vertical>
        <horizontal style="thin">
          <color rgb="FF009A46"/>
        </horizontal>
      </border>
    </dxf>
    <dxf>
      <fill>
        <patternFill>
          <bgColor rgb="FF009A46"/>
        </patternFill>
      </fill>
    </dxf>
    <dxf>
      <fill>
        <patternFill>
          <bgColor rgb="FF009A46"/>
        </patternFill>
      </fill>
    </dxf>
    <dxf>
      <font>
        <color theme="0"/>
      </font>
    </dxf>
    <dxf>
      <font>
        <color theme="0"/>
      </font>
    </dxf>
    <dxf>
      <fill>
        <patternFill>
          <bgColor rgb="FF009A46"/>
        </patternFill>
      </fill>
    </dxf>
    <dxf>
      <fill>
        <patternFill>
          <bgColor rgb="FF009A46"/>
        </patternFill>
      </fill>
    </dxf>
    <dxf>
      <fill>
        <patternFill patternType="solid">
          <bgColor rgb="FF00B050"/>
        </patternFill>
      </fill>
    </dxf>
    <dxf>
      <fill>
        <patternFill patternType="solid">
          <bgColor rgb="FF00B050"/>
        </patternFill>
      </fill>
    </dxf>
    <dxf>
      <font>
        <color theme="0"/>
      </font>
    </dxf>
    <dxf>
      <font>
        <color theme="0"/>
      </font>
    </dxf>
    <dxf>
      <fill>
        <patternFill patternType="solid">
          <bgColor rgb="FF00B050"/>
        </patternFill>
      </fill>
    </dxf>
    <dxf>
      <fill>
        <patternFill patternType="solid">
          <bgColor rgb="FF00B050"/>
        </patternFill>
      </fill>
    </dxf>
    <dxf>
      <font>
        <name val="Arial"/>
        <scheme val="none"/>
      </font>
    </dxf>
    <dxf>
      <font>
        <name val="Arial"/>
        <scheme val="none"/>
      </font>
    </dxf>
    <dxf>
      <font>
        <name val="Arial"/>
        <scheme val="none"/>
      </font>
    </dxf>
    <dxf>
      <font>
        <name val="Arial"/>
        <scheme val="none"/>
      </font>
    </dxf>
    <dxf>
      <font>
        <name val="Arial"/>
        <scheme val="none"/>
      </font>
    </dxf>
    <dxf>
      <alignment horizontal="left" readingOrder="0"/>
    </dxf>
    <dxf>
      <alignment horizontal="left" readingOrder="0"/>
    </dxf>
    <dxf>
      <alignment vertical="top"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general" indent="0" readingOrder="0"/>
    </dxf>
    <dxf>
      <alignment horizontal="general" indent="0" readingOrder="0"/>
    </dxf>
    <dxf>
      <alignment horizontal="general" indent="0" readingOrder="0"/>
    </dxf>
    <dxf>
      <alignment horizontal="general" indent="0" readingOrder="0"/>
    </dxf>
    <dxf>
      <alignment horizontal="general" indent="0" readingOrder="0"/>
    </dxf>
    <dxf>
      <font>
        <sz val="9"/>
      </font>
    </dxf>
    <dxf>
      <font>
        <sz val="9"/>
      </font>
    </dxf>
    <dxf>
      <font>
        <sz val="9"/>
      </font>
    </dxf>
    <dxf>
      <font>
        <sz val="9"/>
      </font>
    </dxf>
    <dxf>
      <font>
        <sz val="9"/>
      </font>
    </dxf>
    <dxf>
      <font>
        <name val="Calibri Light"/>
        <scheme val="none"/>
      </font>
    </dxf>
    <dxf>
      <font>
        <name val="Calibri Light"/>
        <scheme val="none"/>
      </font>
    </dxf>
    <dxf>
      <font>
        <name val="Calibri Light"/>
        <scheme val="none"/>
      </font>
    </dxf>
    <dxf>
      <font>
        <name val="Calibri Light"/>
        <scheme val="none"/>
      </font>
    </dxf>
    <dxf>
      <font>
        <name val="Calibri Light"/>
        <scheme val="none"/>
      </font>
    </dxf>
    <dxf>
      <alignment horizontal="center"/>
    </dxf>
    <dxf>
      <numFmt numFmtId="2" formatCode="0.00"/>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alignment horizontal="center"/>
    </dxf>
    <dxf>
      <alignment horizontal="center" readingOrder="0"/>
    </dxf>
    <dxf>
      <numFmt numFmtId="2" formatCode="0.00"/>
    </dxf>
    <dxf>
      <font>
        <b val="0"/>
        <i val="0"/>
        <strike val="0"/>
        <condense val="0"/>
        <extend val="0"/>
        <outline val="0"/>
        <shadow val="0"/>
        <u val="none"/>
        <vertAlign val="baseline"/>
        <sz val="12"/>
        <color theme="1"/>
        <name val="Century Gothic"/>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Century Gothic"/>
        <family val="1"/>
        <scheme val="none"/>
      </font>
      <numFmt numFmtId="171" formatCode="hh:mm"/>
      <alignment horizontal="center" vertical="center" textRotation="0" wrapText="0" indent="0" justifyLastLine="0" shrinkToFit="0" readingOrder="0"/>
    </dxf>
    <dxf>
      <font>
        <b val="0"/>
        <i val="0"/>
        <strike val="0"/>
        <condense val="0"/>
        <extend val="0"/>
        <outline val="0"/>
        <shadow val="0"/>
        <u val="none"/>
        <vertAlign val="baseline"/>
        <sz val="12"/>
        <color theme="1"/>
        <name val="Century Gothic"/>
        <family val="1"/>
        <scheme val="none"/>
      </font>
      <alignment horizontal="center" vertical="bottom" textRotation="0" wrapText="0" indent="0" justifyLastLine="0" shrinkToFit="0" readingOrder="0"/>
    </dxf>
    <dxf>
      <font>
        <strike val="0"/>
        <outline val="0"/>
        <shadow val="0"/>
        <u val="none"/>
        <vertAlign val="baseline"/>
        <sz val="12"/>
        <name val="Century Gothic"/>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entury Gothic"/>
        <family val="1"/>
        <scheme val="none"/>
      </font>
      <numFmt numFmtId="25" formatCode="h:mm"/>
      <alignment horizontal="general" vertical="center" textRotation="0" wrapText="0" indent="0" justifyLastLine="0" shrinkToFit="0" readingOrder="0"/>
    </dxf>
    <dxf>
      <font>
        <b val="0"/>
        <i val="0"/>
        <strike val="0"/>
        <condense val="0"/>
        <extend val="0"/>
        <outline val="0"/>
        <shadow val="0"/>
        <u val="none"/>
        <vertAlign val="baseline"/>
        <sz val="12"/>
        <color theme="1"/>
        <name val="Century Gothic"/>
        <family val="1"/>
        <scheme val="none"/>
      </font>
      <numFmt numFmtId="25" formatCode="h:mm"/>
      <alignment horizontal="center" vertical="center" textRotation="0" wrapText="0" indent="0" justifyLastLine="0" shrinkToFit="0" readingOrder="0"/>
    </dxf>
    <dxf>
      <font>
        <b val="0"/>
        <i val="0"/>
        <strike val="0"/>
        <condense val="0"/>
        <extend val="0"/>
        <outline val="0"/>
        <shadow val="0"/>
        <u val="none"/>
        <vertAlign val="baseline"/>
        <sz val="12"/>
        <color theme="1"/>
        <name val="Century Gothic"/>
        <family val="1"/>
        <scheme val="none"/>
      </font>
      <numFmt numFmtId="25" formatCode="h:mm"/>
      <alignment horizontal="general" vertical="center" textRotation="0" wrapText="0" indent="0" justifyLastLine="0" shrinkToFit="0" readingOrder="0"/>
    </dxf>
    <dxf>
      <font>
        <b val="0"/>
        <i val="0"/>
        <strike val="0"/>
        <condense val="0"/>
        <extend val="0"/>
        <outline val="0"/>
        <shadow val="0"/>
        <u val="none"/>
        <vertAlign val="baseline"/>
        <sz val="12"/>
        <color theme="1"/>
        <name val="Century Gothic"/>
        <family val="1"/>
        <scheme val="none"/>
      </font>
      <numFmt numFmtId="25" formatCode="h:mm"/>
      <alignment horizontal="center" vertical="center" textRotation="0" wrapText="0" indent="0" justifyLastLine="0" shrinkToFit="0" readingOrder="0"/>
    </dxf>
    <dxf>
      <font>
        <b val="0"/>
        <i val="0"/>
        <strike val="0"/>
        <condense val="0"/>
        <extend val="0"/>
        <outline val="0"/>
        <shadow val="0"/>
        <u val="none"/>
        <vertAlign val="baseline"/>
        <sz val="12"/>
        <color theme="1"/>
        <name val="Century Gothic"/>
        <family val="1"/>
        <scheme val="none"/>
      </font>
      <numFmt numFmtId="25" formatCode="h:mm"/>
      <alignment horizontal="general" vertical="center" textRotation="0" wrapText="0" indent="0" justifyLastLine="0" shrinkToFit="0" readingOrder="0"/>
    </dxf>
    <dxf>
      <font>
        <b val="0"/>
        <i val="0"/>
        <strike val="0"/>
        <condense val="0"/>
        <extend val="0"/>
        <outline val="0"/>
        <shadow val="0"/>
        <u val="none"/>
        <vertAlign val="baseline"/>
        <sz val="12"/>
        <color theme="1"/>
        <name val="Century Gothic"/>
        <family val="1"/>
        <scheme val="none"/>
      </font>
      <numFmt numFmtId="25" formatCode="h:mm"/>
      <alignment horizontal="center" vertical="center" textRotation="0" wrapText="0" indent="0" justifyLastLine="0" shrinkToFit="0" readingOrder="0"/>
    </dxf>
    <dxf>
      <font>
        <b val="0"/>
        <i val="0"/>
        <strike val="0"/>
        <condense val="0"/>
        <extend val="0"/>
        <outline val="0"/>
        <shadow val="0"/>
        <u val="none"/>
        <vertAlign val="baseline"/>
        <sz val="12"/>
        <color theme="1"/>
        <name val="Century Gothic"/>
        <family val="1"/>
        <scheme val="none"/>
      </font>
      <numFmt numFmtId="25" formatCode="h:mm"/>
      <alignment horizontal="general" vertical="center" textRotation="0" wrapText="0" indent="0" justifyLastLine="0" shrinkToFit="0" readingOrder="0"/>
    </dxf>
    <dxf>
      <font>
        <b val="0"/>
        <i val="0"/>
        <strike val="0"/>
        <condense val="0"/>
        <extend val="0"/>
        <outline val="0"/>
        <shadow val="0"/>
        <u val="none"/>
        <vertAlign val="baseline"/>
        <sz val="12"/>
        <color theme="1"/>
        <name val="Century Gothic"/>
        <family val="1"/>
        <scheme val="none"/>
      </font>
      <numFmt numFmtId="25" formatCode="h:mm"/>
      <alignment horizontal="center" vertical="center" textRotation="0" wrapText="0" indent="0" justifyLastLine="0" shrinkToFit="0" readingOrder="0"/>
      <protection locked="1" hidden="0"/>
    </dxf>
    <dxf>
      <font>
        <b/>
        <i val="0"/>
        <strike val="0"/>
        <condense val="0"/>
        <extend val="0"/>
        <outline val="0"/>
        <shadow val="0"/>
        <u val="none"/>
        <vertAlign val="baseline"/>
        <sz val="12"/>
        <color theme="1"/>
        <name val="Century Gothic"/>
        <family val="2"/>
        <scheme val="none"/>
      </font>
      <numFmt numFmtId="2" formatCode="0.00"/>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theme="1"/>
        <name val="Century Gothic"/>
        <family val="1"/>
        <scheme val="none"/>
      </font>
      <numFmt numFmtId="171" formatCode="hh:mm"/>
      <alignment horizontal="center" vertical="bottom" textRotation="0" wrapText="0" indent="0" justifyLastLine="0" shrinkToFit="0" readingOrder="0"/>
    </dxf>
    <dxf>
      <font>
        <strike val="0"/>
        <outline val="0"/>
        <shadow val="0"/>
        <u val="none"/>
        <vertAlign val="baseline"/>
        <sz val="12"/>
        <name val="Century Gothic"/>
        <family val="1"/>
        <scheme val="none"/>
      </font>
      <numFmt numFmtId="171" formatCode="hh:mm"/>
      <alignment horizontal="center" vertical="center" textRotation="0" wrapText="0" indent="0" justifyLastLine="0" shrinkToFit="0" readingOrder="0"/>
    </dxf>
    <dxf>
      <font>
        <b val="0"/>
        <i val="0"/>
        <strike val="0"/>
        <condense val="0"/>
        <extend val="0"/>
        <outline val="0"/>
        <shadow val="0"/>
        <u val="none"/>
        <vertAlign val="baseline"/>
        <sz val="12"/>
        <color theme="1"/>
        <name val="Century Gothic"/>
        <family val="1"/>
        <scheme val="none"/>
      </font>
      <numFmt numFmtId="171" formatCode="hh:mm"/>
      <alignment horizontal="center" vertical="bottom" textRotation="0" wrapText="0" indent="0" justifyLastLine="0" shrinkToFit="0" readingOrder="0"/>
    </dxf>
    <dxf>
      <font>
        <strike val="0"/>
        <outline val="0"/>
        <shadow val="0"/>
        <u val="none"/>
        <vertAlign val="baseline"/>
        <sz val="12"/>
        <name val="Century Gothic"/>
        <family val="1"/>
        <scheme val="none"/>
      </font>
      <numFmt numFmtId="171" formatCode="hh:mm"/>
      <alignment horizontal="center" vertical="center" textRotation="0" wrapText="0" indent="0" justifyLastLine="0" shrinkToFit="0" readingOrder="0"/>
    </dxf>
    <dxf>
      <font>
        <b val="0"/>
        <i val="0"/>
        <strike val="0"/>
        <condense val="0"/>
        <extend val="0"/>
        <outline val="0"/>
        <shadow val="0"/>
        <u val="none"/>
        <vertAlign val="baseline"/>
        <sz val="12"/>
        <color theme="1"/>
        <name val="Century Gothic"/>
        <family val="1"/>
        <scheme val="none"/>
      </font>
      <numFmt numFmtId="175" formatCode="dd/mm/yyyy"/>
      <alignment horizontal="center" vertical="bottom" textRotation="0" wrapText="0" indent="0" justifyLastLine="0" shrinkToFit="0" readingOrder="0"/>
    </dxf>
    <dxf>
      <font>
        <b/>
        <i val="0"/>
        <strike val="0"/>
        <condense val="0"/>
        <extend val="0"/>
        <outline val="0"/>
        <shadow val="0"/>
        <u val="none"/>
        <vertAlign val="baseline"/>
        <sz val="12"/>
        <color theme="1"/>
        <name val="Century Gothic"/>
        <family val="2"/>
        <scheme val="none"/>
      </font>
      <numFmt numFmtId="169" formatCode="mmmm"/>
      <alignment horizontal="center" vertical="center" textRotation="0" wrapText="0" indent="0" justifyLastLine="0" shrinkToFit="0" readingOrder="0"/>
    </dxf>
    <dxf>
      <font>
        <b val="0"/>
        <i val="0"/>
        <strike val="0"/>
        <condense val="0"/>
        <extend val="0"/>
        <outline val="0"/>
        <shadow val="0"/>
        <u val="none"/>
        <vertAlign val="baseline"/>
        <sz val="12"/>
        <color theme="1"/>
        <name val="Century Gothic"/>
        <family val="1"/>
        <scheme val="none"/>
      </font>
      <numFmt numFmtId="175" formatCode="dd/mm/yyyy"/>
      <alignment horizontal="center" vertical="bottom" textRotation="0" wrapText="0" indent="0" justifyLastLine="0" shrinkToFit="0" readingOrder="0"/>
    </dxf>
    <dxf>
      <font>
        <b/>
        <strike val="0"/>
        <outline val="0"/>
        <shadow val="0"/>
        <u val="none"/>
        <vertAlign val="baseline"/>
        <sz val="12"/>
        <name val="Century Gothic"/>
        <family val="2"/>
        <scheme val="none"/>
      </font>
      <numFmt numFmtId="172"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name val="Century Gothic"/>
        <family val="1"/>
        <scheme val="none"/>
      </font>
      <numFmt numFmtId="19" formatCode="d/mm/yyyy"/>
      <alignment horizontal="center" vertical="bottom" textRotation="0" wrapText="0" indent="0" justifyLastLine="0" shrinkToFit="0" readingOrder="0"/>
    </dxf>
    <dxf>
      <font>
        <strike val="0"/>
        <outline val="0"/>
        <shadow val="0"/>
        <u val="none"/>
        <vertAlign val="baseline"/>
        <sz val="12"/>
        <name val="Century Gothic"/>
        <family val="1"/>
        <scheme val="none"/>
      </font>
      <numFmt numFmtId="19" formatCode="d/mm/yyyy"/>
      <alignment horizontal="center" vertical="center" textRotation="0" wrapText="0" indent="0" justifyLastLine="0" shrinkToFit="0" readingOrder="0"/>
    </dxf>
    <dxf>
      <font>
        <strike val="0"/>
        <outline val="0"/>
        <shadow val="0"/>
        <u val="none"/>
        <vertAlign val="baseline"/>
        <sz val="12"/>
        <name val="Century Gothic"/>
        <family val="1"/>
        <scheme val="none"/>
      </font>
      <numFmt numFmtId="171" formatCode="hh:mm"/>
      <alignment horizontal="center" vertical="center" textRotation="0" wrapText="0" indent="0" justifyLastLine="0" shrinkToFit="0" readingOrder="0"/>
    </dxf>
    <dxf>
      <font>
        <strike val="0"/>
        <outline val="0"/>
        <shadow val="0"/>
        <u val="none"/>
        <vertAlign val="baseline"/>
        <sz val="12"/>
        <name val="Century Gothic"/>
        <family val="1"/>
        <scheme val="none"/>
      </font>
      <numFmt numFmtId="171" formatCode="hh:mm"/>
      <alignment horizontal="center" vertical="center" textRotation="0" wrapText="1" indent="0" justifyLastLine="0" shrinkToFit="0" readingOrder="0"/>
    </dxf>
  </dxfs>
  <tableStyles count="0" defaultTableStyle="TableStyleMedium2" defaultPivotStyle="PivotStyleLight16"/>
  <colors>
    <mruColors>
      <color rgb="FF009A46"/>
      <color rgb="FF666633"/>
      <color rgb="FFCCFF66"/>
      <color rgb="FFE9FBF2"/>
      <color rgb="FFE7FEC6"/>
      <color rgb="FFC5FFDF"/>
      <color rgb="FFE1F0FF"/>
      <color rgb="FFFFFFFF"/>
      <color rgb="FFCCFFFF"/>
      <color rgb="FFD1E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17/06/relationships/rdRichValueStructure" Target="richData/rdrichvaluestructure.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17/06/relationships/rdRichValue" Target="richData/rdrichvalue.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%PARADAS MENSUAL </a:t>
            </a:r>
          </a:p>
        </c:rich>
      </c:tx>
      <c:layout>
        <c:manualLayout>
          <c:xMode val="edge"/>
          <c:yMode val="edge"/>
          <c:x val="0.35423654104305702"/>
          <c:y val="2.6272582525906498E-2"/>
        </c:manualLayout>
      </c:layout>
      <c:overlay val="0"/>
    </c:title>
    <c:autoTitleDeleted val="0"/>
    <c:plotArea>
      <c:layout>
        <c:manualLayout>
          <c:layoutTarget val="inner"/>
          <c:xMode val="edge"/>
          <c:yMode val="edge"/>
          <c:x val="0.13755914540118724"/>
          <c:y val="0.19411211334171888"/>
          <c:w val="0.85139148797924302"/>
          <c:h val="0.68675317848622597"/>
        </c:manualLayout>
      </c:layout>
      <c:barChart>
        <c:barDir val="col"/>
        <c:grouping val="clustered"/>
        <c:varyColors val="0"/>
        <c:ser>
          <c:idx val="0"/>
          <c:order val="0"/>
          <c:tx>
            <c:strRef>
              <c:f>'Resumen mensual y Gráficas'!$B$7</c:f>
              <c:strCache>
                <c:ptCount val="1"/>
                <c:pt idx="0">
                  <c:v>%Paradas externas</c:v>
                </c:pt>
              </c:strCache>
            </c:strRef>
          </c:tx>
          <c:invertIfNegative val="0"/>
          <c:dLbls>
            <c:dLbl>
              <c:idx val="0"/>
              <c:layout>
                <c:manualLayout>
                  <c:x val="0"/>
                  <c:y val="2.18938187715882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E95-4363-B25C-23A0AF2F1D2F}"/>
                </c:ext>
              </c:extLst>
            </c:dLbl>
            <c:dLbl>
              <c:idx val="1"/>
              <c:layout>
                <c:manualLayout>
                  <c:x val="-5.3085582039517423E-3"/>
                  <c:y val="-1.75150550172703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95-4363-B25C-23A0AF2F1D2F}"/>
                </c:ext>
              </c:extLst>
            </c:dLbl>
            <c:dLbl>
              <c:idx val="2"/>
              <c:layout>
                <c:manualLayout>
                  <c:x val="-8.8564125866504497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E95-4363-B25C-23A0AF2F1D2F}"/>
                </c:ext>
              </c:extLst>
            </c:dLbl>
            <c:dLbl>
              <c:idx val="3"/>
              <c:layout>
                <c:manualLayout>
                  <c:x val="-1.415198085248129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95-4363-B25C-23A0AF2F1D2F}"/>
                </c:ext>
              </c:extLst>
            </c:dLbl>
            <c:dLbl>
              <c:idx val="4"/>
              <c:layout>
                <c:manualLayout>
                  <c:x val="-8.227911329807982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E95-4363-B25C-23A0AF2F1D2F}"/>
                </c:ext>
              </c:extLst>
            </c:dLbl>
            <c:dLbl>
              <c:idx val="5"/>
              <c:layout>
                <c:manualLayout>
                  <c:x val="-4.5505058787449855E-3"/>
                  <c:y val="-2.06342545800022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95-4363-B25C-23A0AF2F1D2F}"/>
                </c:ext>
              </c:extLst>
            </c:dLbl>
            <c:dLbl>
              <c:idx val="6"/>
              <c:layout>
                <c:manualLayout>
                  <c:x val="-4.3907783513192E-3"/>
                  <c:y val="-9.510598576106527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E95-4363-B25C-23A0AF2F1D2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'Resumen mensual y Gráficas'!$G$5:$Z$5</c:f>
              <c:strCache>
                <c:ptCount val="20"/>
                <c:pt idx="0">
                  <c:v>dic-14</c:v>
                </c:pt>
                <c:pt idx="1">
                  <c:v>ene-15</c:v>
                </c:pt>
                <c:pt idx="2">
                  <c:v>feb-15</c:v>
                </c:pt>
                <c:pt idx="3">
                  <c:v>mar-15</c:v>
                </c:pt>
                <c:pt idx="4">
                  <c:v>abr-15</c:v>
                </c:pt>
                <c:pt idx="5">
                  <c:v>may-15</c:v>
                </c:pt>
                <c:pt idx="6">
                  <c:v>jun-15</c:v>
                </c:pt>
                <c:pt idx="7">
                  <c:v>jul-15</c:v>
                </c:pt>
                <c:pt idx="8">
                  <c:v>ago-15</c:v>
                </c:pt>
                <c:pt idx="9">
                  <c:v>sep-15</c:v>
                </c:pt>
                <c:pt idx="10">
                  <c:v>oct-15</c:v>
                </c:pt>
                <c:pt idx="11">
                  <c:v>nov-15</c:v>
                </c:pt>
                <c:pt idx="12">
                  <c:v>dic-15</c:v>
                </c:pt>
                <c:pt idx="13">
                  <c:v>ene</c:v>
                </c:pt>
                <c:pt idx="14">
                  <c:v>feb</c:v>
                </c:pt>
                <c:pt idx="15">
                  <c:v>mar</c:v>
                </c:pt>
                <c:pt idx="16">
                  <c:v>abr</c:v>
                </c:pt>
                <c:pt idx="17">
                  <c:v>may</c:v>
                </c:pt>
                <c:pt idx="18">
                  <c:v>junio</c:v>
                </c:pt>
                <c:pt idx="19">
                  <c:v>julio</c:v>
                </c:pt>
              </c:strCache>
            </c:strRef>
          </c:cat>
          <c:val>
            <c:numRef>
              <c:f>'Resumen mensual y Gráficas'!$G$7:$Z$7</c:f>
              <c:numCache>
                <c:formatCode>0.00%</c:formatCode>
                <c:ptCount val="20"/>
                <c:pt idx="0">
                  <c:v>8.1699999999999995E-2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7-CE95-4363-B25C-23A0AF2F1D2F}"/>
            </c:ext>
          </c:extLst>
        </c:ser>
        <c:ser>
          <c:idx val="1"/>
          <c:order val="1"/>
          <c:tx>
            <c:strRef>
              <c:f>'Resumen mensual y Gráficas'!$B$8</c:f>
              <c:strCache>
                <c:ptCount val="1"/>
                <c:pt idx="0">
                  <c:v>%Paradas por mantenimiento</c:v>
                </c:pt>
              </c:strCache>
            </c:strRef>
          </c:tx>
          <c:invertIfNegative val="0"/>
          <c:dLbls>
            <c:dLbl>
              <c:idx val="4"/>
              <c:layout>
                <c:manualLayout>
                  <c:x val="2.2741428621962452E-3"/>
                  <c:y val="8.757661003829802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E95-4363-B25C-23A0AF2F1D2F}"/>
                </c:ext>
              </c:extLst>
            </c:dLbl>
            <c:dLbl>
              <c:idx val="5"/>
              <c:layout>
                <c:manualLayout>
                  <c:x val="2.0453664876021811E-3"/>
                  <c:y val="1.317308790721232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E95-4363-B25C-23A0AF2F1D2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'Resumen mensual y Gráficas'!$G$5:$Z$5</c:f>
              <c:strCache>
                <c:ptCount val="20"/>
                <c:pt idx="0">
                  <c:v>dic-14</c:v>
                </c:pt>
                <c:pt idx="1">
                  <c:v>ene-15</c:v>
                </c:pt>
                <c:pt idx="2">
                  <c:v>feb-15</c:v>
                </c:pt>
                <c:pt idx="3">
                  <c:v>mar-15</c:v>
                </c:pt>
                <c:pt idx="4">
                  <c:v>abr-15</c:v>
                </c:pt>
                <c:pt idx="5">
                  <c:v>may-15</c:v>
                </c:pt>
                <c:pt idx="6">
                  <c:v>jun-15</c:v>
                </c:pt>
                <c:pt idx="7">
                  <c:v>jul-15</c:v>
                </c:pt>
                <c:pt idx="8">
                  <c:v>ago-15</c:v>
                </c:pt>
                <c:pt idx="9">
                  <c:v>sep-15</c:v>
                </c:pt>
                <c:pt idx="10">
                  <c:v>oct-15</c:v>
                </c:pt>
                <c:pt idx="11">
                  <c:v>nov-15</c:v>
                </c:pt>
                <c:pt idx="12">
                  <c:v>dic-15</c:v>
                </c:pt>
                <c:pt idx="13">
                  <c:v>ene</c:v>
                </c:pt>
                <c:pt idx="14">
                  <c:v>feb</c:v>
                </c:pt>
                <c:pt idx="15">
                  <c:v>mar</c:v>
                </c:pt>
                <c:pt idx="16">
                  <c:v>abr</c:v>
                </c:pt>
                <c:pt idx="17">
                  <c:v>may</c:v>
                </c:pt>
                <c:pt idx="18">
                  <c:v>junio</c:v>
                </c:pt>
                <c:pt idx="19">
                  <c:v>julio</c:v>
                </c:pt>
              </c:strCache>
            </c:strRef>
          </c:cat>
          <c:val>
            <c:numRef>
              <c:f>'Resumen mensual y Gráficas'!$G$8:$Z$8</c:f>
              <c:numCache>
                <c:formatCode>0.00%</c:formatCode>
                <c:ptCount val="20"/>
                <c:pt idx="0">
                  <c:v>0.1648</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A-CE95-4363-B25C-23A0AF2F1D2F}"/>
            </c:ext>
          </c:extLst>
        </c:ser>
        <c:ser>
          <c:idx val="2"/>
          <c:order val="2"/>
          <c:tx>
            <c:strRef>
              <c:f>'Resumen mensual y Gráficas'!$B$9</c:f>
              <c:strCache>
                <c:ptCount val="1"/>
                <c:pt idx="0">
                  <c:v>%Paradas Operativas</c:v>
                </c:pt>
              </c:strCache>
            </c:strRef>
          </c:tx>
          <c:invertIfNegative val="0"/>
          <c:dLbls>
            <c:dLbl>
              <c:idx val="0"/>
              <c:layout>
                <c:manualLayout>
                  <c:x val="1.062769510397979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E95-4363-B25C-23A0AF2F1D2F}"/>
                </c:ext>
              </c:extLst>
            </c:dLbl>
            <c:dLbl>
              <c:idx val="1"/>
              <c:layout>
                <c:manualLayout>
                  <c:x val="8.8564125866504497E-3"/>
                  <c:y val="2.18938187715882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E95-4363-B25C-23A0AF2F1D2F}"/>
                </c:ext>
              </c:extLst>
            </c:dLbl>
            <c:dLbl>
              <c:idx val="2"/>
              <c:layout>
                <c:manualLayout>
                  <c:x val="1.417026013863979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E95-4363-B25C-23A0AF2F1D2F}"/>
                </c:ext>
              </c:extLst>
            </c:dLbl>
            <c:dLbl>
              <c:idx val="3"/>
              <c:layout>
                <c:manualLayout>
                  <c:x val="1.300009990109659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E95-4363-B25C-23A0AF2F1D2F}"/>
                </c:ext>
              </c:extLst>
            </c:dLbl>
            <c:dLbl>
              <c:idx val="4"/>
              <c:layout>
                <c:manualLayout>
                  <c:x val="1.481024039365439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E95-4363-B25C-23A0AF2F1D2F}"/>
                </c:ext>
              </c:extLst>
            </c:dLbl>
            <c:dLbl>
              <c:idx val="5"/>
              <c:layout>
                <c:manualLayout>
                  <c:x val="1.8084664450507805E-2"/>
                  <c:y val="8.86426438122202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E95-4363-B25C-23A0AF2F1D2F}"/>
                </c:ext>
              </c:extLst>
            </c:dLbl>
            <c:dLbl>
              <c:idx val="6"/>
              <c:layout>
                <c:manualLayout>
                  <c:x val="1.463592783773070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E95-4363-B25C-23A0AF2F1D2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'Resumen mensual y Gráficas'!$G$5:$Z$5</c:f>
              <c:strCache>
                <c:ptCount val="20"/>
                <c:pt idx="0">
                  <c:v>dic-14</c:v>
                </c:pt>
                <c:pt idx="1">
                  <c:v>ene-15</c:v>
                </c:pt>
                <c:pt idx="2">
                  <c:v>feb-15</c:v>
                </c:pt>
                <c:pt idx="3">
                  <c:v>mar-15</c:v>
                </c:pt>
                <c:pt idx="4">
                  <c:v>abr-15</c:v>
                </c:pt>
                <c:pt idx="5">
                  <c:v>may-15</c:v>
                </c:pt>
                <c:pt idx="6">
                  <c:v>jun-15</c:v>
                </c:pt>
                <c:pt idx="7">
                  <c:v>jul-15</c:v>
                </c:pt>
                <c:pt idx="8">
                  <c:v>ago-15</c:v>
                </c:pt>
                <c:pt idx="9">
                  <c:v>sep-15</c:v>
                </c:pt>
                <c:pt idx="10">
                  <c:v>oct-15</c:v>
                </c:pt>
                <c:pt idx="11">
                  <c:v>nov-15</c:v>
                </c:pt>
                <c:pt idx="12">
                  <c:v>dic-15</c:v>
                </c:pt>
                <c:pt idx="13">
                  <c:v>ene</c:v>
                </c:pt>
                <c:pt idx="14">
                  <c:v>feb</c:v>
                </c:pt>
                <c:pt idx="15">
                  <c:v>mar</c:v>
                </c:pt>
                <c:pt idx="16">
                  <c:v>abr</c:v>
                </c:pt>
                <c:pt idx="17">
                  <c:v>may</c:v>
                </c:pt>
                <c:pt idx="18">
                  <c:v>junio</c:v>
                </c:pt>
                <c:pt idx="19">
                  <c:v>julio</c:v>
                </c:pt>
              </c:strCache>
            </c:strRef>
          </c:cat>
          <c:val>
            <c:numRef>
              <c:f>'Resumen mensual y Gráficas'!$G$9:$Z$9</c:f>
              <c:numCache>
                <c:formatCode>0.00%</c:formatCode>
                <c:ptCount val="20"/>
                <c:pt idx="0">
                  <c:v>4.7000000000000002E-3</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12-CE95-4363-B25C-23A0AF2F1D2F}"/>
            </c:ext>
          </c:extLst>
        </c:ser>
        <c:dLbls>
          <c:showLegendKey val="0"/>
          <c:showVal val="0"/>
          <c:showCatName val="0"/>
          <c:showSerName val="0"/>
          <c:showPercent val="0"/>
          <c:showBubbleSize val="0"/>
        </c:dLbls>
        <c:gapWidth val="150"/>
        <c:axId val="236430848"/>
        <c:axId val="236432384"/>
      </c:barChart>
      <c:scatterChart>
        <c:scatterStyle val="smoothMarker"/>
        <c:varyColors val="0"/>
        <c:ser>
          <c:idx val="3"/>
          <c:order val="3"/>
          <c:tx>
            <c:strRef>
              <c:f>'Resumen mensual y Gráficas'!$B$12</c:f>
              <c:strCache>
                <c:ptCount val="1"/>
                <c:pt idx="0">
                  <c:v>Meta paradas mtto y operativas</c:v>
                </c:pt>
              </c:strCache>
            </c:strRef>
          </c:tx>
          <c:spPr>
            <a:ln>
              <a:solidFill>
                <a:srgbClr val="FF0000"/>
              </a:solidFill>
            </a:ln>
          </c:spPr>
          <c:marker>
            <c:symbol val="none"/>
          </c:marker>
          <c:yVal>
            <c:numRef>
              <c:f>'Resumen mensual y Gráficas'!$G$12:$Z$12</c:f>
              <c:numCache>
                <c:formatCode>0.00%</c:formatCode>
                <c:ptCount val="20"/>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numCache>
            </c:numRef>
          </c:yVal>
          <c:smooth val="1"/>
          <c:extLst>
            <c:ext xmlns:c16="http://schemas.microsoft.com/office/drawing/2014/chart" uri="{C3380CC4-5D6E-409C-BE32-E72D297353CC}">
              <c16:uniqueId val="{00000013-CE95-4363-B25C-23A0AF2F1D2F}"/>
            </c:ext>
          </c:extLst>
        </c:ser>
        <c:dLbls>
          <c:showLegendKey val="0"/>
          <c:showVal val="0"/>
          <c:showCatName val="0"/>
          <c:showSerName val="0"/>
          <c:showPercent val="0"/>
          <c:showBubbleSize val="0"/>
        </c:dLbls>
        <c:axId val="236430848"/>
        <c:axId val="236432384"/>
      </c:scatterChart>
      <c:catAx>
        <c:axId val="236430848"/>
        <c:scaling>
          <c:orientation val="minMax"/>
        </c:scaling>
        <c:delete val="0"/>
        <c:axPos val="b"/>
        <c:numFmt formatCode="General" sourceLinked="0"/>
        <c:majorTickMark val="out"/>
        <c:minorTickMark val="none"/>
        <c:tickLblPos val="nextTo"/>
        <c:crossAx val="236432384"/>
        <c:crosses val="autoZero"/>
        <c:auto val="1"/>
        <c:lblAlgn val="ctr"/>
        <c:lblOffset val="100"/>
        <c:noMultiLvlLbl val="0"/>
      </c:catAx>
      <c:valAx>
        <c:axId val="236432384"/>
        <c:scaling>
          <c:orientation val="minMax"/>
        </c:scaling>
        <c:delete val="0"/>
        <c:axPos val="l"/>
        <c:majorGridlines>
          <c:spPr>
            <a:ln>
              <a:noFill/>
            </a:ln>
          </c:spPr>
        </c:majorGridlines>
        <c:title>
          <c:tx>
            <c:rich>
              <a:bodyPr rot="-5400000" vert="horz"/>
              <a:lstStyle/>
              <a:p>
                <a:pPr>
                  <a:defRPr/>
                </a:pPr>
                <a:r>
                  <a:rPr lang="en-US"/>
                  <a:t>%Paradas</a:t>
                </a:r>
              </a:p>
            </c:rich>
          </c:tx>
          <c:layout>
            <c:manualLayout>
              <c:xMode val="edge"/>
              <c:yMode val="edge"/>
              <c:x val="2.0813117182432343E-2"/>
              <c:y val="0.43678348650363402"/>
            </c:manualLayout>
          </c:layout>
          <c:overlay val="0"/>
        </c:title>
        <c:numFmt formatCode="0.00%" sourceLinked="1"/>
        <c:majorTickMark val="out"/>
        <c:minorTickMark val="none"/>
        <c:tickLblPos val="nextTo"/>
        <c:crossAx val="236430848"/>
        <c:crosses val="autoZero"/>
        <c:crossBetween val="between"/>
      </c:valAx>
    </c:plotArea>
    <c:legend>
      <c:legendPos val="r"/>
      <c:layout>
        <c:manualLayout>
          <c:xMode val="edge"/>
          <c:yMode val="edge"/>
          <c:x val="0.17772740600638842"/>
          <c:y val="9.0067532219269747E-2"/>
          <c:w val="0.30606734666903601"/>
          <c:h val="0.24233177150113441"/>
        </c:manualLayout>
      </c:layout>
      <c:overlay val="0"/>
    </c:legend>
    <c:plotVisOnly val="1"/>
    <c:dispBlanksAs val="gap"/>
    <c:showDLblsOverMax val="0"/>
  </c:chart>
  <c:spPr>
    <a:ln>
      <a:noFill/>
    </a:ln>
  </c:spPr>
  <c:txPr>
    <a:bodyPr/>
    <a:lstStyle/>
    <a:p>
      <a:pPr>
        <a:defRPr sz="900">
          <a:latin typeface="Swiss 721 Light Condensed BT"/>
          <a:cs typeface="Swiss 721 Light Condensed BT"/>
        </a:defRPr>
      </a:pPr>
      <a:endParaRPr lang="es-CO"/>
    </a:p>
  </c:txPr>
  <c:printSettings>
    <c:headerFooter/>
    <c:pageMargins b="0.75000000000001465" l="0.70000000000000462" r="0.700000000000004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a:t>%PARADAS NP JULIO</a:t>
            </a:r>
          </a:p>
        </c:rich>
      </c:tx>
      <c:layout>
        <c:manualLayout>
          <c:xMode val="edge"/>
          <c:yMode val="edge"/>
          <c:x val="0.38574119020955538"/>
          <c:y val="3.604665599372691E-2"/>
        </c:manualLayout>
      </c:layout>
      <c:overlay val="0"/>
    </c:title>
    <c:autoTitleDeleted val="0"/>
    <c:plotArea>
      <c:layout>
        <c:manualLayout>
          <c:layoutTarget val="inner"/>
          <c:xMode val="edge"/>
          <c:yMode val="edge"/>
          <c:x val="0.19221140391506841"/>
          <c:y val="0.18424769046071443"/>
          <c:w val="0.74927320153092303"/>
          <c:h val="0.57469412438862488"/>
        </c:manualLayout>
      </c:layout>
      <c:barChart>
        <c:barDir val="col"/>
        <c:grouping val="clustered"/>
        <c:varyColors val="0"/>
        <c:ser>
          <c:idx val="0"/>
          <c:order val="0"/>
          <c:tx>
            <c:strRef>
              <c:f>'Resumen mensual y Gráficas'!$Z$5</c:f>
              <c:strCache>
                <c:ptCount val="1"/>
                <c:pt idx="0">
                  <c:v>julio</c:v>
                </c:pt>
              </c:strCache>
            </c:strRef>
          </c:tx>
          <c:spPr>
            <a:solidFill>
              <a:srgbClr val="CCFF6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'Resumen mensual y Gráficas'!$B$7:$B$9</c:f>
              <c:strCache>
                <c:ptCount val="3"/>
                <c:pt idx="0">
                  <c:v>%Paradas externas</c:v>
                </c:pt>
                <c:pt idx="1">
                  <c:v>%Paradas por mantenimiento</c:v>
                </c:pt>
                <c:pt idx="2">
                  <c:v>%Paradas Operativas</c:v>
                </c:pt>
              </c:strCache>
            </c:strRef>
          </c:cat>
          <c:val>
            <c:numRef>
              <c:f>'Resumen mensual y Gráficas'!$Z$7:$Z$9</c:f>
              <c:numCache>
                <c:formatCode>0.00%</c:formatCode>
                <c:ptCount val="3"/>
                <c:pt idx="0">
                  <c:v>0</c:v>
                </c:pt>
                <c:pt idx="1">
                  <c:v>0</c:v>
                </c:pt>
                <c:pt idx="2">
                  <c:v>0</c:v>
                </c:pt>
              </c:numCache>
            </c:numRef>
          </c:val>
          <c:extLst>
            <c:ext xmlns:c16="http://schemas.microsoft.com/office/drawing/2014/chart" uri="{C3380CC4-5D6E-409C-BE32-E72D297353CC}">
              <c16:uniqueId val="{00000000-2B97-47C8-9EFB-B7C3E6E12C79}"/>
            </c:ext>
          </c:extLst>
        </c:ser>
        <c:dLbls>
          <c:showLegendKey val="0"/>
          <c:showVal val="0"/>
          <c:showCatName val="0"/>
          <c:showSerName val="0"/>
          <c:showPercent val="0"/>
          <c:showBubbleSize val="0"/>
        </c:dLbls>
        <c:gapWidth val="150"/>
        <c:axId val="240079232"/>
        <c:axId val="240080768"/>
      </c:barChart>
      <c:catAx>
        <c:axId val="240079232"/>
        <c:scaling>
          <c:orientation val="minMax"/>
        </c:scaling>
        <c:delete val="0"/>
        <c:axPos val="b"/>
        <c:numFmt formatCode="General" sourceLinked="0"/>
        <c:majorTickMark val="out"/>
        <c:minorTickMark val="none"/>
        <c:tickLblPos val="nextTo"/>
        <c:crossAx val="240080768"/>
        <c:crosses val="autoZero"/>
        <c:auto val="1"/>
        <c:lblAlgn val="ctr"/>
        <c:lblOffset val="100"/>
        <c:noMultiLvlLbl val="0"/>
      </c:catAx>
      <c:valAx>
        <c:axId val="240080768"/>
        <c:scaling>
          <c:orientation val="minMax"/>
        </c:scaling>
        <c:delete val="0"/>
        <c:axPos val="l"/>
        <c:majorGridlines>
          <c:spPr>
            <a:ln>
              <a:noFill/>
            </a:ln>
          </c:spPr>
        </c:majorGridlines>
        <c:title>
          <c:tx>
            <c:rich>
              <a:bodyPr rot="-5400000" vert="horz"/>
              <a:lstStyle/>
              <a:p>
                <a:pPr>
                  <a:defRPr/>
                </a:pPr>
                <a:r>
                  <a:rPr lang="en-US"/>
                  <a:t>%Paradas</a:t>
                </a:r>
              </a:p>
            </c:rich>
          </c:tx>
          <c:layout>
            <c:manualLayout>
              <c:xMode val="edge"/>
              <c:yMode val="edge"/>
              <c:x val="3.5623409669211209E-2"/>
              <c:y val="0.43678340841591501"/>
            </c:manualLayout>
          </c:layout>
          <c:overlay val="0"/>
        </c:title>
        <c:numFmt formatCode="0.00%" sourceLinked="1"/>
        <c:majorTickMark val="out"/>
        <c:minorTickMark val="none"/>
        <c:tickLblPos val="nextTo"/>
        <c:crossAx val="240079232"/>
        <c:crosses val="autoZero"/>
        <c:crossBetween val="between"/>
      </c:valAx>
    </c:plotArea>
    <c:plotVisOnly val="1"/>
    <c:dispBlanksAs val="gap"/>
    <c:showDLblsOverMax val="0"/>
  </c:chart>
  <c:spPr>
    <a:ln>
      <a:noFill/>
    </a:ln>
  </c:spPr>
  <c:txPr>
    <a:bodyPr/>
    <a:lstStyle/>
    <a:p>
      <a:pPr>
        <a:defRPr>
          <a:latin typeface="Swiss 721 Light Condensed BT"/>
          <a:cs typeface="Swiss 721 Light Condensed BT"/>
        </a:defRPr>
      </a:pPr>
      <a:endParaRPr lang="es-CO"/>
    </a:p>
  </c:txPr>
  <c:printSettings>
    <c:headerFooter/>
    <c:pageMargins b="0.75000000000001465" l="0.70000000000000462" r="0.700000000000004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8"/>
    </mc:Choice>
    <mc:Fallback>
      <c:style val="18"/>
    </mc:Fallback>
  </mc:AlternateContent>
  <c:pivotSource>
    <c:name>[INDICADORES DE MANTENIMIENTO EXTRACTORA EL PAJUIL - JUNIO.xlsx]Resumen mensual y Gráficas!Tabla dinámica2</c:name>
    <c:fmtId val="1"/>
  </c:pivotSource>
  <c:chart>
    <c:title>
      <c:tx>
        <c:rich>
          <a:bodyPr/>
          <a:lstStyle/>
          <a:p>
            <a:pPr>
              <a:defRPr/>
            </a:pPr>
            <a:r>
              <a:rPr lang="es-ES"/>
              <a:t>HORAS DE PARADA POR MANTENIMIENTOPOR EQUIPO </a:t>
            </a:r>
          </a:p>
        </c:rich>
      </c:tx>
      <c:overlay val="0"/>
    </c:title>
    <c:autoTitleDeleted val="0"/>
    <c:pivotFmts>
      <c:pivotFmt>
        <c:idx val="0"/>
        <c:marker>
          <c:symbol val="none"/>
        </c:marker>
        <c:dLbl>
          <c:idx val="0"/>
          <c:spPr>
            <a:solidFill>
              <a:schemeClr val="bg2"/>
            </a:solidFill>
            <a:ln>
              <a:noFill/>
            </a:ln>
            <a:effectLst/>
          </c:spPr>
          <c:txPr>
            <a:bodyPr wrap="square" lIns="38100" tIns="19050" rIns="38100" bIns="19050" anchor="ctr">
              <a:spAutoFit/>
            </a:bodyPr>
            <a:lstStyle/>
            <a:p>
              <a:pPr>
                <a:defRPr sz="1100"/>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a:solidFill>
              <a:schemeClr val="bg2"/>
            </a:solidFill>
            <a:ln>
              <a:noFill/>
            </a:ln>
            <a:effectLst/>
          </c:spPr>
          <c:txPr>
            <a:bodyPr wrap="square" lIns="38100" tIns="19050" rIns="38100" bIns="19050" anchor="ctr">
              <a:spAutoFit/>
            </a:bodyPr>
            <a:lstStyle/>
            <a:p>
              <a:pPr>
                <a:defRPr sz="1100"/>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solidFill>
              <a:schemeClr val="bg2"/>
            </a:solidFill>
            <a:ln>
              <a:noFill/>
            </a:ln>
            <a:effectLst/>
          </c:spPr>
          <c:txPr>
            <a:bodyPr wrap="square" lIns="38100" tIns="19050" rIns="38100" bIns="19050" anchor="ctr">
              <a:spAutoFit/>
            </a:bodyPr>
            <a:lstStyle/>
            <a:p>
              <a:pPr>
                <a:defRPr sz="1100"/>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spPr>
            <a:solidFill>
              <a:schemeClr val="bg2"/>
            </a:solidFill>
            <a:ln>
              <a:noFill/>
            </a:ln>
            <a:effectLst/>
          </c:spPr>
          <c:txPr>
            <a:bodyPr wrap="square" lIns="38100" tIns="19050" rIns="38100" bIns="19050" anchor="ctr">
              <a:spAutoFit/>
            </a:bodyPr>
            <a:lstStyle/>
            <a:p>
              <a:pPr>
                <a:defRPr sz="1100"/>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4"/>
        <c:marker>
          <c:symbol val="none"/>
        </c:marker>
        <c:dLbl>
          <c:idx val="0"/>
          <c:spPr>
            <a:solidFill>
              <a:schemeClr val="bg2"/>
            </a:solidFill>
            <a:ln>
              <a:noFill/>
            </a:ln>
            <a:effectLst/>
          </c:spPr>
          <c:txPr>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spPr>
            <a:solidFill>
              <a:schemeClr val="bg2"/>
            </a:solidFill>
            <a:ln>
              <a:noFill/>
            </a:ln>
            <a:effectLst/>
          </c:spPr>
          <c:txPr>
            <a:bodyPr wrap="square" lIns="38100" tIns="19050" rIns="38100" bIns="19050" anchor="ctr">
              <a:spAutoFit/>
            </a:bodyPr>
            <a:lstStyle/>
            <a:p>
              <a:pPr>
                <a:defRPr sz="1100"/>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spPr>
            <a:solidFill>
              <a:schemeClr val="bg2"/>
            </a:solidFill>
            <a:ln>
              <a:noFill/>
            </a:ln>
            <a:effectLst/>
          </c:spPr>
          <c:txPr>
            <a:bodyPr wrap="square" lIns="38100" tIns="19050" rIns="38100" bIns="19050" anchor="ctr">
              <a:spAutoFit/>
            </a:bodyPr>
            <a:lstStyle/>
            <a:p>
              <a:pPr>
                <a:defRPr sz="1100"/>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pivotFmt>
      <c:pivotFmt>
        <c:idx val="10"/>
        <c:marker>
          <c:symbol val="none"/>
        </c:marker>
        <c:dLbl>
          <c:idx val="0"/>
          <c:delete val="1"/>
          <c:extLst>
            <c:ext xmlns:c15="http://schemas.microsoft.com/office/drawing/2012/chart" uri="{CE6537A1-D6FC-4f65-9D91-7224C49458BB}"/>
          </c:extLst>
        </c:dLbl>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dLbl>
          <c:idx val="0"/>
          <c:spPr>
            <a:noFill/>
            <a:ln>
              <a:noFill/>
            </a:ln>
            <a:effectLst/>
          </c:spPr>
          <c:txPr>
            <a:bodyPr wrap="square" lIns="38100" tIns="19050" rIns="38100" bIns="19050" anchor="ctr">
              <a:spAutoFit/>
            </a:bodyPr>
            <a:lstStyle/>
            <a:p>
              <a:pPr>
                <a:defRPr sz="1400"/>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7"/>
        <c:marker>
          <c:symbol val="none"/>
        </c:marker>
      </c:pivotFmt>
    </c:pivotFmts>
    <c:plotArea>
      <c:layout/>
      <c:barChart>
        <c:barDir val="col"/>
        <c:grouping val="clustered"/>
        <c:varyColors val="0"/>
        <c:ser>
          <c:idx val="0"/>
          <c:order val="0"/>
          <c:tx>
            <c:strRef>
              <c:f>'Resumen mensual y Gráficas'!$C$42:$C$43</c:f>
              <c:strCache>
                <c:ptCount val="1"/>
                <c:pt idx="0">
                  <c:v>7</c:v>
                </c:pt>
              </c:strCache>
            </c:strRef>
          </c:tx>
          <c:invertIfNegative val="0"/>
          <c:dLbls>
            <c:spPr>
              <a:noFill/>
              <a:ln>
                <a:noFill/>
              </a:ln>
              <a:effectLst/>
            </c:spPr>
            <c:txPr>
              <a:bodyPr wrap="square" lIns="38100" tIns="19050" rIns="38100" bIns="19050" anchor="ctr">
                <a:spAutoFit/>
              </a:bodyPr>
              <a:lstStyle/>
              <a:p>
                <a:pPr>
                  <a:defRPr sz="1400"/>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'Resumen mensual y Gráficas'!$B$44:$B$56</c:f>
              <c:strCache>
                <c:ptCount val="12"/>
                <c:pt idx="0">
                  <c:v>Caldera VR 16 </c:v>
                </c:pt>
                <c:pt idx="1">
                  <c:v>Autoclave N°1</c:v>
                </c:pt>
                <c:pt idx="2">
                  <c:v>Redler a tolva de pesaje </c:v>
                </c:pt>
                <c:pt idx="3">
                  <c:v>Esclusa de fibras </c:v>
                </c:pt>
                <c:pt idx="4">
                  <c:v>Transportador sinfín fibras alimentacion a caldera</c:v>
                </c:pt>
                <c:pt idx="5">
                  <c:v>Tamiz DE CRUDO 1</c:v>
                </c:pt>
                <c:pt idx="6">
                  <c:v>Bomba lodos preclarificador</c:v>
                </c:pt>
                <c:pt idx="7">
                  <c:v>Redler de fruta esterelizada N°1</c:v>
                </c:pt>
                <c:pt idx="8">
                  <c:v>Bomba lodos a Florentinos</c:v>
                </c:pt>
                <c:pt idx="9">
                  <c:v>Indexer N° 1</c:v>
                </c:pt>
                <c:pt idx="10">
                  <c:v>Transportador sinfín retorno de fruta</c:v>
                </c:pt>
                <c:pt idx="11">
                  <c:v>Redler de fruta esterelizada N°2</c:v>
                </c:pt>
              </c:strCache>
            </c:strRef>
          </c:cat>
          <c:val>
            <c:numRef>
              <c:f>'Resumen mensual y Gráficas'!$C$44:$C$56</c:f>
              <c:numCache>
                <c:formatCode>0.00</c:formatCode>
                <c:ptCount val="12"/>
                <c:pt idx="0">
                  <c:v>8.0833333333333339</c:v>
                </c:pt>
                <c:pt idx="1">
                  <c:v>4.083333333333333</c:v>
                </c:pt>
                <c:pt idx="2">
                  <c:v>3.8833333333333333</c:v>
                </c:pt>
                <c:pt idx="3">
                  <c:v>1.4166666666666667</c:v>
                </c:pt>
                <c:pt idx="4">
                  <c:v>1.3833333333333333</c:v>
                </c:pt>
                <c:pt idx="5">
                  <c:v>0.7</c:v>
                </c:pt>
                <c:pt idx="6">
                  <c:v>0.6166666666666667</c:v>
                </c:pt>
                <c:pt idx="7">
                  <c:v>0.53333333333333333</c:v>
                </c:pt>
                <c:pt idx="8">
                  <c:v>0.5</c:v>
                </c:pt>
                <c:pt idx="9">
                  <c:v>0.43333333333333335</c:v>
                </c:pt>
                <c:pt idx="10">
                  <c:v>0.41666666666666669</c:v>
                </c:pt>
                <c:pt idx="11">
                  <c:v>7.4999999999999997E-2</c:v>
                </c:pt>
              </c:numCache>
            </c:numRef>
          </c:val>
          <c:extLst>
            <c:ext xmlns:c16="http://schemas.microsoft.com/office/drawing/2014/chart" uri="{C3380CC4-5D6E-409C-BE32-E72D297353CC}">
              <c16:uniqueId val="{00000000-79A6-4D7B-9DCF-FC4C08FFD084}"/>
            </c:ext>
          </c:extLst>
        </c:ser>
        <c:dLbls>
          <c:showLegendKey val="0"/>
          <c:showVal val="0"/>
          <c:showCatName val="0"/>
          <c:showSerName val="0"/>
          <c:showPercent val="0"/>
          <c:showBubbleSize val="0"/>
        </c:dLbls>
        <c:gapWidth val="150"/>
        <c:axId val="240875392"/>
        <c:axId val="240876928"/>
      </c:barChart>
      <c:catAx>
        <c:axId val="240875392"/>
        <c:scaling>
          <c:orientation val="minMax"/>
        </c:scaling>
        <c:delete val="0"/>
        <c:axPos val="b"/>
        <c:numFmt formatCode="General" sourceLinked="0"/>
        <c:majorTickMark val="out"/>
        <c:minorTickMark val="none"/>
        <c:tickLblPos val="nextTo"/>
        <c:txPr>
          <a:bodyPr/>
          <a:lstStyle/>
          <a:p>
            <a:pPr>
              <a:defRPr sz="1400" b="1"/>
            </a:pPr>
            <a:endParaRPr lang="es-CO"/>
          </a:p>
        </c:txPr>
        <c:crossAx val="240876928"/>
        <c:crosses val="autoZero"/>
        <c:auto val="1"/>
        <c:lblAlgn val="ctr"/>
        <c:lblOffset val="100"/>
        <c:noMultiLvlLbl val="0"/>
      </c:catAx>
      <c:valAx>
        <c:axId val="240876928"/>
        <c:scaling>
          <c:orientation val="minMax"/>
        </c:scaling>
        <c:delete val="0"/>
        <c:axPos val="l"/>
        <c:majorGridlines>
          <c:spPr>
            <a:ln>
              <a:solidFill>
                <a:schemeClr val="accent5">
                  <a:lumMod val="20000"/>
                  <a:lumOff val="80000"/>
                </a:schemeClr>
              </a:solidFill>
            </a:ln>
          </c:spPr>
        </c:majorGridlines>
        <c:numFmt formatCode="0.00" sourceLinked="1"/>
        <c:majorTickMark val="out"/>
        <c:minorTickMark val="none"/>
        <c:tickLblPos val="nextTo"/>
        <c:crossAx val="240875392"/>
        <c:crosses val="autoZero"/>
        <c:crossBetween val="between"/>
      </c:valAx>
    </c:plotArea>
    <c:plotVisOnly val="1"/>
    <c:dispBlanksAs val="gap"/>
    <c:showDLblsOverMax val="0"/>
  </c:chart>
  <c:spPr>
    <a:ln>
      <a:noFill/>
    </a:ln>
  </c:spPr>
  <c:txPr>
    <a:bodyPr/>
    <a:lstStyle/>
    <a:p>
      <a:pPr>
        <a:defRPr>
          <a:latin typeface="Swis721 LtCn BT" panose="020B0406020202030204" pitchFamily="34" charset="0"/>
        </a:defRPr>
      </a:pPr>
      <a:endParaRPr lang="es-CO"/>
    </a:p>
  </c:txPr>
  <c:printSettings>
    <c:headerFooter/>
    <c:pageMargins b="1" l="0.75000000000001232" r="0.75000000000001232" t="1" header="0.5" footer="0.5"/>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600" b="1" i="0">
                <a:solidFill>
                  <a:srgbClr val="757575"/>
                </a:solidFill>
                <a:latin typeface="Calibri"/>
              </a:defRPr>
            </a:pPr>
            <a:r>
              <a:rPr lang="es-CO" sz="2000" b="1" i="0">
                <a:solidFill>
                  <a:srgbClr val="757575"/>
                </a:solidFill>
                <a:latin typeface="Calibri"/>
              </a:rPr>
              <a:t>INDICADOR POR TIPO DE PARADA</a:t>
            </a:r>
          </a:p>
          <a:p>
            <a:pPr lvl="0">
              <a:defRPr sz="1600" b="1" i="0">
                <a:solidFill>
                  <a:srgbClr val="757575"/>
                </a:solidFill>
                <a:latin typeface="Calibri"/>
              </a:defRPr>
            </a:pPr>
            <a:r>
              <a:rPr lang="es-CO" sz="2000" b="1" i="0">
                <a:solidFill>
                  <a:srgbClr val="757575"/>
                </a:solidFill>
                <a:latin typeface="Calibri"/>
              </a:rPr>
              <a:t>MAYO 2026</a:t>
            </a:r>
          </a:p>
          <a:p>
            <a:pPr lvl="0">
              <a:defRPr sz="1600" b="1" i="0">
                <a:solidFill>
                  <a:srgbClr val="757575"/>
                </a:solidFill>
                <a:latin typeface="Calibri"/>
              </a:defRPr>
            </a:pPr>
            <a:r>
              <a:rPr lang="es-CO" sz="2000" b="1" i="0">
                <a:solidFill>
                  <a:srgbClr val="757575"/>
                </a:solidFill>
                <a:latin typeface="Calibri"/>
              </a:rPr>
              <a:t>TOTAL DE HORAS 92,87</a:t>
            </a:r>
          </a:p>
        </c:rich>
      </c:tx>
      <c:layout>
        <c:manualLayout>
          <c:xMode val="edge"/>
          <c:yMode val="edge"/>
          <c:x val="0.28337435437271541"/>
          <c:y val="7.2246866244950721E-3"/>
        </c:manualLayout>
      </c:layout>
      <c:overlay val="0"/>
    </c:title>
    <c:autoTitleDeleted val="0"/>
    <c:plotArea>
      <c:layout>
        <c:manualLayout>
          <c:layoutTarget val="inner"/>
          <c:xMode val="edge"/>
          <c:yMode val="edge"/>
          <c:x val="0"/>
          <c:y val="0.24536797030805932"/>
          <c:w val="1"/>
          <c:h val="0.75463202969194065"/>
        </c:manualLayout>
      </c:layout>
      <c:doughnutChart>
        <c:varyColors val="1"/>
        <c:ser>
          <c:idx val="0"/>
          <c:order val="0"/>
          <c:dPt>
            <c:idx val="0"/>
            <c:bubble3D val="0"/>
            <c:spPr>
              <a:solidFill>
                <a:schemeClr val="bg1">
                  <a:lumMod val="75000"/>
                </a:schemeClr>
              </a:solidFill>
            </c:spPr>
            <c:extLst>
              <c:ext xmlns:c16="http://schemas.microsoft.com/office/drawing/2014/chart" uri="{C3380CC4-5D6E-409C-BE32-E72D297353CC}">
                <c16:uniqueId val="{00000001-57FE-4937-AFFA-1175B947FFC6}"/>
              </c:ext>
            </c:extLst>
          </c:dPt>
          <c:dPt>
            <c:idx val="1"/>
            <c:bubble3D val="0"/>
            <c:spPr>
              <a:solidFill>
                <a:schemeClr val="accent6"/>
              </a:solidFill>
            </c:spPr>
            <c:extLst>
              <c:ext xmlns:c16="http://schemas.microsoft.com/office/drawing/2014/chart" uri="{C3380CC4-5D6E-409C-BE32-E72D297353CC}">
                <c16:uniqueId val="{00000003-57FE-4937-AFFA-1175B947FFC6}"/>
              </c:ext>
            </c:extLst>
          </c:dPt>
          <c:dPt>
            <c:idx val="2"/>
            <c:bubble3D val="0"/>
            <c:spPr>
              <a:solidFill>
                <a:schemeClr val="accent3">
                  <a:lumMod val="50000"/>
                </a:schemeClr>
              </a:solidFill>
            </c:spPr>
            <c:extLst>
              <c:ext xmlns:c16="http://schemas.microsoft.com/office/drawing/2014/chart" uri="{C3380CC4-5D6E-409C-BE32-E72D297353CC}">
                <c16:uniqueId val="{00000007-4754-402F-916E-AE2D8F2A57E3}"/>
              </c:ext>
            </c:extLst>
          </c:dPt>
          <c:dPt>
            <c:idx val="3"/>
            <c:bubble3D val="0"/>
            <c:spPr>
              <a:solidFill>
                <a:schemeClr val="tx2">
                  <a:lumMod val="60000"/>
                  <a:lumOff val="40000"/>
                </a:schemeClr>
              </a:solidFill>
            </c:spPr>
            <c:extLst>
              <c:ext xmlns:c16="http://schemas.microsoft.com/office/drawing/2014/chart" uri="{C3380CC4-5D6E-409C-BE32-E72D297353CC}">
                <c16:uniqueId val="{0000000C-DB4C-4F9F-8D2C-0C18824A23CF}"/>
              </c:ext>
            </c:extLst>
          </c:dPt>
          <c:dLbls>
            <c:dLbl>
              <c:idx val="3"/>
              <c:delete val="1"/>
              <c:extLst>
                <c:ext xmlns:c15="http://schemas.microsoft.com/office/drawing/2012/chart" uri="{CE6537A1-D6FC-4f65-9D91-7224C49458BB}"/>
                <c:ext xmlns:c16="http://schemas.microsoft.com/office/drawing/2014/chart" uri="{C3380CC4-5D6E-409C-BE32-E72D297353CC}">
                  <c16:uniqueId val="{0000000C-DB4C-4F9F-8D2C-0C18824A23CF}"/>
                </c:ext>
              </c:extLst>
            </c:dLbl>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extLst>
                <c:ext xmlns:c15="http://schemas.microsoft.com/office/drawing/2012/chart" uri="{02D57815-91ED-43cb-92C2-25804820EDAC}">
                  <c15:fullRef>
                    <c15:sqref>'Resumen general'!$G$15:$G$22</c15:sqref>
                  </c15:fullRef>
                </c:ext>
              </c:extLst>
              <c:f>('Resumen general'!$G$15:$G$16,'Resumen general'!$G$19:$G$20)</c:f>
              <c:strCache>
                <c:ptCount val="4"/>
                <c:pt idx="0">
                  <c:v>Mtto Programado</c:v>
                </c:pt>
                <c:pt idx="1">
                  <c:v>Mto no programado</c:v>
                </c:pt>
                <c:pt idx="2">
                  <c:v>Operativa</c:v>
                </c:pt>
                <c:pt idx="3">
                  <c:v>Otras-Externa</c:v>
                </c:pt>
              </c:strCache>
            </c:strRef>
          </c:cat>
          <c:val>
            <c:numRef>
              <c:extLst>
                <c:ext xmlns:c15="http://schemas.microsoft.com/office/drawing/2012/chart" uri="{02D57815-91ED-43cb-92C2-25804820EDAC}">
                  <c15:fullRef>
                    <c15:sqref>'Resumen general'!$F$15:$F$22</c15:sqref>
                  </c15:fullRef>
                </c:ext>
              </c:extLst>
              <c:f>('Resumen general'!$F$15:$F$16,'Resumen general'!$F$19:$F$20)</c:f>
              <c:numCache>
                <c:formatCode>0.00%</c:formatCode>
                <c:ptCount val="4"/>
                <c:pt idx="0">
                  <c:v>0.68682699210337395</c:v>
                </c:pt>
                <c:pt idx="1">
                  <c:v>0.23007896625987076</c:v>
                </c:pt>
                <c:pt idx="2">
                  <c:v>8.3094041636755211E-2</c:v>
                </c:pt>
                <c:pt idx="3">
                  <c:v>0</c:v>
                </c:pt>
              </c:numCache>
            </c:numRef>
          </c:val>
          <c:extLst>
            <c:ext xmlns:c15="http://schemas.microsoft.com/office/drawing/2012/chart" uri="{02D57815-91ED-43cb-92C2-25804820EDAC}">
              <c15:categoryFilterExceptions>
                <c15:categoryFilterException>
                  <c15:sqref>'Resumen general'!$F$18</c15:sqref>
                  <c15:spPr xmlns:c15="http://schemas.microsoft.com/office/drawing/2012/chart">
                    <a:solidFill>
                      <a:srgbClr val="009A46"/>
                    </a:solidFill>
                  </c15:spPr>
                  <c15:bubble3D val="0"/>
                </c15:categoryFilterException>
                <c15:categoryFilterException>
                  <c15:sqref>'Resumen general'!$F$21</c15:sqref>
                  <c15:spPr xmlns:c15="http://schemas.microsoft.com/office/drawing/2012/chart">
                    <a:solidFill>
                      <a:schemeClr val="tx2">
                        <a:lumMod val="75000"/>
                      </a:schemeClr>
                    </a:solidFill>
                  </c15:spPr>
                  <c15:bubble3D val="0"/>
                </c15:categoryFilterException>
                <c15:categoryFilterException>
                  <c15:sqref>'Resumen general'!$F$22</c15:sqref>
                  <c15:spPr xmlns:c15="http://schemas.microsoft.com/office/drawing/2012/chart">
                    <a:solidFill>
                      <a:schemeClr val="tx2">
                        <a:lumMod val="75000"/>
                      </a:schemeClr>
                    </a:solidFill>
                  </c15:spPr>
                  <c15:bubble3D val="0"/>
                </c15:categoryFilterException>
              </c15:categoryFilterExceptions>
            </c:ext>
            <c:ext xmlns:c16="http://schemas.microsoft.com/office/drawing/2014/chart" uri="{C3380CC4-5D6E-409C-BE32-E72D297353CC}">
              <c16:uniqueId val="{00000008-57FE-4937-AFFA-1175B947FFC6}"/>
            </c:ext>
          </c:extLst>
        </c:ser>
        <c:dLbls>
          <c:showLegendKey val="0"/>
          <c:showVal val="1"/>
          <c:showCatName val="0"/>
          <c:showSerName val="0"/>
          <c:showPercent val="0"/>
          <c:showBubbleSize val="0"/>
          <c:showLeaderLines val="1"/>
        </c:dLbls>
        <c:firstSliceAng val="0"/>
        <c:holeSize val="50"/>
      </c:doughnutChart>
    </c:plotArea>
    <c:legend>
      <c:legendPos val="r"/>
      <c:legendEntry>
        <c:idx val="3"/>
        <c:delete val="1"/>
      </c:legendEntry>
      <c:overlay val="0"/>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0" i="0" u="none" strike="noStrike" kern="1200" spc="0" baseline="0">
                <a:solidFill>
                  <a:sysClr val="windowText" lastClr="000000">
                    <a:lumMod val="65000"/>
                    <a:lumOff val="35000"/>
                  </a:sysClr>
                </a:solidFill>
              </a:rPr>
              <a:t>INDICADOR DE PARADAS POR EQUIPOS/HORAS</a:t>
            </a:r>
          </a:p>
          <a:p>
            <a:pPr>
              <a:defRPr/>
            </a:pPr>
            <a:r>
              <a:rPr lang="es-ES" sz="1400" b="0" i="0" u="none" strike="noStrike" kern="1200" spc="0" baseline="0">
                <a:solidFill>
                  <a:sysClr val="windowText" lastClr="000000">
                    <a:lumMod val="65000"/>
                    <a:lumOff val="35000"/>
                  </a:sysClr>
                </a:solidFill>
              </a:rPr>
              <a:t>JUNIO 2026 </a:t>
            </a:r>
          </a:p>
          <a:p>
            <a:pPr>
              <a:defRPr/>
            </a:pPr>
            <a:r>
              <a:rPr lang="es-ES" sz="1400" b="0" i="0" u="none" strike="noStrike" kern="1200" spc="0" baseline="0">
                <a:solidFill>
                  <a:sysClr val="windowText" lastClr="000000">
                    <a:lumMod val="65000"/>
                    <a:lumOff val="35000"/>
                  </a:sysClr>
                </a:solidFill>
              </a:rPr>
              <a:t>TOTAL 30,87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32453025565039062"/>
          <c:y val="0.13087831503045991"/>
          <c:w val="0.65873411333613108"/>
          <c:h val="0.82887567930523842"/>
        </c:manualLayout>
      </c:layout>
      <c:barChart>
        <c:barDir val="bar"/>
        <c:grouping val="clustered"/>
        <c:varyColors val="0"/>
        <c:ser>
          <c:idx val="0"/>
          <c:order val="0"/>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 general'!$A$37:$A$50</c:f>
              <c:strCache>
                <c:ptCount val="10"/>
                <c:pt idx="0">
                  <c:v>Prensa de doble tornillo</c:v>
                </c:pt>
                <c:pt idx="1">
                  <c:v>Prensa para Racimos Vacíos</c:v>
                </c:pt>
                <c:pt idx="2">
                  <c:v>Sinfín para Fruto Suelto</c:v>
                </c:pt>
                <c:pt idx="3">
                  <c:v>Esterilizador Oblicuo Automático</c:v>
                </c:pt>
                <c:pt idx="4">
                  <c:v>Elevador de Fruto</c:v>
                </c:pt>
                <c:pt idx="5">
                  <c:v>Turbina</c:v>
                </c:pt>
                <c:pt idx="6">
                  <c:v>Planta eléctrica de 1250 Kva</c:v>
                </c:pt>
                <c:pt idx="7">
                  <c:v>Filtro Cepillo </c:v>
                </c:pt>
                <c:pt idx="8">
                  <c:v>Banda #1 para Racimos Vacíos</c:v>
                </c:pt>
                <c:pt idx="9">
                  <c:v>Molino tipo Ripple Mill</c:v>
                </c:pt>
              </c:strCache>
            </c:strRef>
          </c:cat>
          <c:val>
            <c:numRef>
              <c:f>'Resumen general'!$B$37:$B$50</c:f>
              <c:numCache>
                <c:formatCode>General</c:formatCode>
                <c:ptCount val="14"/>
                <c:pt idx="0">
                  <c:v>8.6666666666666661</c:v>
                </c:pt>
                <c:pt idx="1">
                  <c:v>5.6</c:v>
                </c:pt>
                <c:pt idx="2">
                  <c:v>5.35</c:v>
                </c:pt>
                <c:pt idx="3">
                  <c:v>5.0333333333333332</c:v>
                </c:pt>
                <c:pt idx="4">
                  <c:v>2.5</c:v>
                </c:pt>
                <c:pt idx="5">
                  <c:v>1.5833333333333337</c:v>
                </c:pt>
                <c:pt idx="6">
                  <c:v>1.0333333333333334</c:v>
                </c:pt>
                <c:pt idx="7">
                  <c:v>0.6</c:v>
                </c:pt>
                <c:pt idx="8">
                  <c:v>0.3</c:v>
                </c:pt>
                <c:pt idx="9">
                  <c:v>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24FA-4D8A-BD30-816667A870D7}"/>
            </c:ext>
          </c:extLst>
        </c:ser>
        <c:dLbls>
          <c:dLblPos val="outEnd"/>
          <c:showLegendKey val="0"/>
          <c:showVal val="1"/>
          <c:showCatName val="0"/>
          <c:showSerName val="0"/>
          <c:showPercent val="0"/>
          <c:showBubbleSize val="0"/>
        </c:dLbls>
        <c:gapWidth val="182"/>
        <c:axId val="826570416"/>
        <c:axId val="826568976"/>
      </c:barChart>
      <c:catAx>
        <c:axId val="82657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26568976"/>
        <c:crosses val="autoZero"/>
        <c:auto val="1"/>
        <c:lblAlgn val="ctr"/>
        <c:lblOffset val="100"/>
        <c:noMultiLvlLbl val="0"/>
      </c:catAx>
      <c:valAx>
        <c:axId val="826568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26570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HORAS NO PROCESADAS TIEMPO/ HORAS</a:t>
            </a:r>
          </a:p>
          <a:p>
            <a:pPr>
              <a:defRPr/>
            </a:pPr>
            <a:r>
              <a:rPr lang="en-US"/>
              <a:t>38,6 HORAS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pieChart>
        <c:varyColors val="1"/>
        <c:ser>
          <c:idx val="0"/>
          <c:order val="0"/>
          <c:tx>
            <c:strRef>
              <c:f>MTBF!$B$17:$B$18</c:f>
              <c:strCache>
                <c:ptCount val="2"/>
                <c:pt idx="0">
                  <c:v>HORAS NO PROCESADAS</c:v>
                </c:pt>
                <c:pt idx="1">
                  <c:v>TIEMPO/ HORAS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A9A-4C12-A642-FA395D2770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DA9A-4C12-A642-FA395D2770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DA9A-4C12-A642-FA395D2770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DA9A-4C12-A642-FA395D27703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DA9A-4C12-A642-FA395D27703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DA9A-4C12-A642-FA395D277036}"/>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CO"/>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MTBF!$A$19:$A$24</c:f>
              <c:strCache>
                <c:ptCount val="6"/>
                <c:pt idx="0">
                  <c:v>CAMBIO DE ENERGIA</c:v>
                </c:pt>
                <c:pt idx="1">
                  <c:v>MANTENIMIENTO PROGRAMADO</c:v>
                </c:pt>
                <c:pt idx="2">
                  <c:v>FALLA ELECTRICA</c:v>
                </c:pt>
                <c:pt idx="3">
                  <c:v>FALLA MECANICA</c:v>
                </c:pt>
                <c:pt idx="4">
                  <c:v>ATASCAMIENTO</c:v>
                </c:pt>
                <c:pt idx="5">
                  <c:v>FALTA DE FRUTA ESTERILIZADA</c:v>
                </c:pt>
              </c:strCache>
            </c:strRef>
          </c:cat>
          <c:val>
            <c:numRef>
              <c:f>MTBF!$B$19:$B$24</c:f>
              <c:numCache>
                <c:formatCode>General</c:formatCode>
                <c:ptCount val="6"/>
                <c:pt idx="0">
                  <c:v>1.52</c:v>
                </c:pt>
                <c:pt idx="1">
                  <c:v>8</c:v>
                </c:pt>
                <c:pt idx="2">
                  <c:v>2.42</c:v>
                </c:pt>
                <c:pt idx="3">
                  <c:v>18.95</c:v>
                </c:pt>
                <c:pt idx="4">
                  <c:v>4</c:v>
                </c:pt>
                <c:pt idx="5">
                  <c:v>3.72</c:v>
                </c:pt>
              </c:numCache>
            </c:numRef>
          </c:val>
          <c:extLst>
            <c:ext xmlns:c16="http://schemas.microsoft.com/office/drawing/2014/chart" uri="{C3380CC4-5D6E-409C-BE32-E72D297353CC}">
              <c16:uniqueId val="{00000000-DA9A-4C12-A642-FA395D27703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 DE MANTENIMIENTO EXTRACTORA EL PAJUIL - JUNIO.xlsx]MTTR!TablaDinámica4</c:name>
    <c:fmtId val="0"/>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s-CO" sz="2400"/>
              <a:t>TIEMPO TOTAL DE HORAS PARADAS POR REPARACION</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MTTR!$F$16:$F$17</c:f>
              <c:strCache>
                <c:ptCount val="1"/>
                <c:pt idx="0">
                  <c:v>ELECTRICA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MTTR!$E$18:$E$26</c:f>
              <c:strCache>
                <c:ptCount val="8"/>
                <c:pt idx="0">
                  <c:v>Prensa de doble tornillo</c:v>
                </c:pt>
                <c:pt idx="1">
                  <c:v>Prensa para Racimos Vacíos</c:v>
                </c:pt>
                <c:pt idx="2">
                  <c:v>Sinfín para Fruto Suelto</c:v>
                </c:pt>
                <c:pt idx="3">
                  <c:v>Elevador de Fruto</c:v>
                </c:pt>
                <c:pt idx="4">
                  <c:v>Filtro Cepillo </c:v>
                </c:pt>
                <c:pt idx="5">
                  <c:v>Esterilizador Oblicuo Automático</c:v>
                </c:pt>
                <c:pt idx="6">
                  <c:v>Turbina</c:v>
                </c:pt>
                <c:pt idx="7">
                  <c:v>Planta eléctrica de 1250 Kva</c:v>
                </c:pt>
              </c:strCache>
            </c:strRef>
          </c:cat>
          <c:val>
            <c:numRef>
              <c:f>MTTR!$F$18:$F$26</c:f>
              <c:numCache>
                <c:formatCode>0.00</c:formatCode>
                <c:ptCount val="8"/>
                <c:pt idx="5">
                  <c:v>1.3166666666666667</c:v>
                </c:pt>
                <c:pt idx="6">
                  <c:v>6.6666666666666666E-2</c:v>
                </c:pt>
                <c:pt idx="7">
                  <c:v>1.0333333333333334</c:v>
                </c:pt>
              </c:numCache>
            </c:numRef>
          </c:val>
          <c:extLst>
            <c:ext xmlns:c16="http://schemas.microsoft.com/office/drawing/2014/chart" uri="{C3380CC4-5D6E-409C-BE32-E72D297353CC}">
              <c16:uniqueId val="{00000000-889D-4073-BE74-678FA5A356F4}"/>
            </c:ext>
          </c:extLst>
        </c:ser>
        <c:ser>
          <c:idx val="1"/>
          <c:order val="1"/>
          <c:tx>
            <c:strRef>
              <c:f>MTTR!$G$16:$G$17</c:f>
              <c:strCache>
                <c:ptCount val="1"/>
                <c:pt idx="0">
                  <c:v>MECANICA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MTTR!$E$18:$E$26</c:f>
              <c:strCache>
                <c:ptCount val="8"/>
                <c:pt idx="0">
                  <c:v>Prensa de doble tornillo</c:v>
                </c:pt>
                <c:pt idx="1">
                  <c:v>Prensa para Racimos Vacíos</c:v>
                </c:pt>
                <c:pt idx="2">
                  <c:v>Sinfín para Fruto Suelto</c:v>
                </c:pt>
                <c:pt idx="3">
                  <c:v>Elevador de Fruto</c:v>
                </c:pt>
                <c:pt idx="4">
                  <c:v>Filtro Cepillo </c:v>
                </c:pt>
                <c:pt idx="5">
                  <c:v>Esterilizador Oblicuo Automático</c:v>
                </c:pt>
                <c:pt idx="6">
                  <c:v>Turbina</c:v>
                </c:pt>
                <c:pt idx="7">
                  <c:v>Planta eléctrica de 1250 Kva</c:v>
                </c:pt>
              </c:strCache>
            </c:strRef>
          </c:cat>
          <c:val>
            <c:numRef>
              <c:f>MTTR!$G$18:$G$26</c:f>
              <c:numCache>
                <c:formatCode>0.00</c:formatCode>
                <c:ptCount val="8"/>
                <c:pt idx="0">
                  <c:v>8.4</c:v>
                </c:pt>
                <c:pt idx="1">
                  <c:v>5.6</c:v>
                </c:pt>
                <c:pt idx="2">
                  <c:v>2.95</c:v>
                </c:pt>
                <c:pt idx="3">
                  <c:v>1.4</c:v>
                </c:pt>
                <c:pt idx="4">
                  <c:v>0.6</c:v>
                </c:pt>
              </c:numCache>
            </c:numRef>
          </c:val>
          <c:extLst>
            <c:ext xmlns:c16="http://schemas.microsoft.com/office/drawing/2014/chart" uri="{C3380CC4-5D6E-409C-BE32-E72D297353CC}">
              <c16:uniqueId val="{00000009-889D-4073-BE74-678FA5A356F4}"/>
            </c:ext>
          </c:extLst>
        </c:ser>
        <c:dLbls>
          <c:dLblPos val="outEnd"/>
          <c:showLegendKey val="0"/>
          <c:showVal val="1"/>
          <c:showCatName val="0"/>
          <c:showSerName val="0"/>
          <c:showPercent val="0"/>
          <c:showBubbleSize val="0"/>
        </c:dLbls>
        <c:gapWidth val="219"/>
        <c:overlap val="-27"/>
        <c:axId val="1619729631"/>
        <c:axId val="26790415"/>
      </c:barChart>
      <c:catAx>
        <c:axId val="1619729631"/>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s-CO" sz="1600"/>
                  <a:t>EQUIPO</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6790415"/>
        <c:crosses val="autoZero"/>
        <c:auto val="1"/>
        <c:lblAlgn val="ctr"/>
        <c:lblOffset val="100"/>
        <c:noMultiLvlLbl val="0"/>
      </c:catAx>
      <c:valAx>
        <c:axId val="26790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s-CO" sz="1600"/>
                  <a:t>Tiempo de parada en horas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CO"/>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1972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chemeClr val="accent1"/>
            </a:solidFill>
            <a:ln>
              <a:noFill/>
            </a:ln>
            <a:effectLst/>
          </c:spPr>
          <c:invertIfNegative val="0"/>
          <c:cat>
            <c:strRef>
              <c:f>'Pareto ago. 2017'!$A$2:$A$94</c:f>
              <c:strCache>
                <c:ptCount val="93"/>
                <c:pt idx="0">
                  <c:v>Prensa 2</c:v>
                </c:pt>
                <c:pt idx="1">
                  <c:v>Prensa 1</c:v>
                </c:pt>
                <c:pt idx="2">
                  <c:v>Falta de fruta esterilizado</c:v>
                </c:pt>
                <c:pt idx="3">
                  <c:v>Desfrutador</c:v>
                </c:pt>
                <c:pt idx="4">
                  <c:v>Caldera</c:v>
                </c:pt>
                <c:pt idx="5">
                  <c:v>Elevador de fruto</c:v>
                </c:pt>
                <c:pt idx="6">
                  <c:v>Arranque</c:v>
                </c:pt>
                <c:pt idx="7">
                  <c:v>Redler # 2</c:v>
                </c:pt>
                <c:pt idx="8">
                  <c:v>Limpieza parrilla caldera</c:v>
                </c:pt>
                <c:pt idx="9">
                  <c:v>Redler Principal</c:v>
                </c:pt>
                <c:pt idx="10">
                  <c:v>Autoclave # 1</c:v>
                </c:pt>
                <c:pt idx="11">
                  <c:v>Digestor 2 </c:v>
                </c:pt>
                <c:pt idx="12">
                  <c:v>Falta de Fruta en planta</c:v>
                </c:pt>
                <c:pt idx="13">
                  <c:v>Fluído eléctrico</c:v>
                </c:pt>
                <c:pt idx="14">
                  <c:v>Parrilla viajera</c:v>
                </c:pt>
                <c:pt idx="15">
                  <c:v>Transportador de torta</c:v>
                </c:pt>
                <c:pt idx="16">
                  <c:v>Redler caldera</c:v>
                </c:pt>
                <c:pt idx="17">
                  <c:v>Bomba bocatoma</c:v>
                </c:pt>
                <c:pt idx="18">
                  <c:v>redler alimenta tolvas</c:v>
                </c:pt>
                <c:pt idx="19">
                  <c:v>Planta en General</c:v>
                </c:pt>
                <c:pt idx="20">
                  <c:v>Redler Transversal de fruto cocido</c:v>
                </c:pt>
                <c:pt idx="21">
                  <c:v>Filtro cepillo #1</c:v>
                </c:pt>
                <c:pt idx="22">
                  <c:v>Digestor 1</c:v>
                </c:pt>
                <c:pt idx="23">
                  <c:v>Transportador de fruto bajo desfrutador</c:v>
                </c:pt>
                <c:pt idx="24">
                  <c:v>bomba a florentinos</c:v>
                </c:pt>
                <c:pt idx="25">
                  <c:v>Vagoneta</c:v>
                </c:pt>
                <c:pt idx="26">
                  <c:v>Compresor esterilizacion</c:v>
                </c:pt>
                <c:pt idx="27">
                  <c:v>Planta eléctrica</c:v>
                </c:pt>
                <c:pt idx="28">
                  <c:v>Vagoneta #1</c:v>
                </c:pt>
                <c:pt idx="29">
                  <c:v>Bomba tanque elevado</c:v>
                </c:pt>
                <c:pt idx="30">
                  <c:v>Clarificador</c:v>
                </c:pt>
                <c:pt idx="31">
                  <c:v>Transportador Sinfín distribuidor fruto</c:v>
                </c:pt>
                <c:pt idx="32">
                  <c:v>ventilador aire primario</c:v>
                </c:pt>
                <c:pt idx="33">
                  <c:v>Centrifuga 3</c:v>
                </c:pt>
                <c:pt idx="34">
                  <c:v>Transportador de fibra a calderas</c:v>
                </c:pt>
                <c:pt idx="35">
                  <c:v>Válvula modulante distribuidor</c:v>
                </c:pt>
                <c:pt idx="36">
                  <c:v>Banda de tusa</c:v>
                </c:pt>
                <c:pt idx="37">
                  <c:v>Bomba de transferencia </c:v>
                </c:pt>
                <c:pt idx="38">
                  <c:v>Vagoneta </c:v>
                </c:pt>
                <c:pt idx="39">
                  <c:v>Centrifuga 1</c:v>
                </c:pt>
                <c:pt idx="40">
                  <c:v>Redler # 1</c:v>
                </c:pt>
                <c:pt idx="41">
                  <c:v>Bomba de lodos al ciclon desarenador N°1</c:v>
                </c:pt>
                <c:pt idx="42">
                  <c:v>Secador de vacio</c:v>
                </c:pt>
                <c:pt idx="43">
                  <c:v>indexer #1 , 2 ,3 ,4</c:v>
                </c:pt>
                <c:pt idx="44">
                  <c:v>Valvula distribuidor</c:v>
                </c:pt>
                <c:pt idx="45">
                  <c:v>Transportador Sinfín de nuez humeda a silo</c:v>
                </c:pt>
                <c:pt idx="46">
                  <c:v>Ciclon de fibra</c:v>
                </c:pt>
                <c:pt idx="47">
                  <c:v>Bomba aceite húmedo</c:v>
                </c:pt>
                <c:pt idx="48">
                  <c:v>Elevador nueces humedas</c:v>
                </c:pt>
                <c:pt idx="49">
                  <c:v>Preclarificador</c:v>
                </c:pt>
                <c:pt idx="50">
                  <c:v>Bomba alimentacion caldera</c:v>
                </c:pt>
                <c:pt idx="51">
                  <c:v>Centrifugas</c:v>
                </c:pt>
                <c:pt idx="52">
                  <c:v>Automatizacion</c:v>
                </c:pt>
                <c:pt idx="53">
                  <c:v>Centrífuga #2</c:v>
                </c:pt>
                <c:pt idx="54">
                  <c:v>Prensa tusas </c:v>
                </c:pt>
                <c:pt idx="55">
                  <c:v>Transportador de fibra incinado</c:v>
                </c:pt>
                <c:pt idx="56">
                  <c:v>Bomba de florentinos </c:v>
                </c:pt>
                <c:pt idx="57">
                  <c:v>Tuberia licor de prensa</c:v>
                </c:pt>
                <c:pt idx="58">
                  <c:v>Unidad hidraulica prensa 1</c:v>
                </c:pt>
                <c:pt idx="59">
                  <c:v>Indexer #2</c:v>
                </c:pt>
                <c:pt idx="60">
                  <c:v>Transportador de fruto hacia elevador</c:v>
                </c:pt>
                <c:pt idx="61">
                  <c:v>Bomba de aceite seco </c:v>
                </c:pt>
                <c:pt idx="62">
                  <c:v>Bomba de aceite del pre</c:v>
                </c:pt>
                <c:pt idx="63">
                  <c:v>Vagoneta #2</c:v>
                </c:pt>
                <c:pt idx="64">
                  <c:v>Redler Fracturadora</c:v>
                </c:pt>
                <c:pt idx="65">
                  <c:v>ciclon desarenador 2</c:v>
                </c:pt>
                <c:pt idx="66">
                  <c:v>Unidad hidraulica Prensa P15 #2</c:v>
                </c:pt>
                <c:pt idx="67">
                  <c:v>Bomba de aceite húmedo</c:v>
                </c:pt>
                <c:pt idx="68">
                  <c:v>Indexer #1</c:v>
                </c:pt>
                <c:pt idx="69">
                  <c:v>Válvula distribuidor</c:v>
                </c:pt>
                <c:pt idx="70">
                  <c:v>Transportador de fibra bajo ciclones</c:v>
                </c:pt>
                <c:pt idx="71">
                  <c:v>Vagoneta #3</c:v>
                </c:pt>
                <c:pt idx="72">
                  <c:v>Reservorio</c:v>
                </c:pt>
                <c:pt idx="73">
                  <c:v>Unidad hidraulica de la autoclave N°1</c:v>
                </c:pt>
                <c:pt idx="74">
                  <c:v>Indexer #4</c:v>
                </c:pt>
                <c:pt idx="75">
                  <c:v>Tuberia de desarenados a tanque  de lodos</c:v>
                </c:pt>
                <c:pt idx="76">
                  <c:v>Bomba de efluentes</c:v>
                </c:pt>
                <c:pt idx="77">
                  <c:v>Bomba de recuperados de centrifugas</c:v>
                </c:pt>
                <c:pt idx="78">
                  <c:v>Exclusa de fibra</c:v>
                </c:pt>
                <c:pt idx="79">
                  <c:v>clarificacion</c:v>
                </c:pt>
                <c:pt idx="80">
                  <c:v>Bomba de lodos del preclarificador</c:v>
                </c:pt>
                <c:pt idx="81">
                  <c:v>Silo de nuez </c:v>
                </c:pt>
                <c:pt idx="82">
                  <c:v>Ciclon desarenador 1</c:v>
                </c:pt>
                <c:pt idx="83">
                  <c:v>Bomba de lodos preclarificador</c:v>
                </c:pt>
                <c:pt idx="84">
                  <c:v>Ducto de alimentación a caldera</c:v>
                </c:pt>
                <c:pt idx="85">
                  <c:v>Bomba de agua lodosa</c:v>
                </c:pt>
                <c:pt idx="86">
                  <c:v>Ducto de alimentación</c:v>
                </c:pt>
                <c:pt idx="87">
                  <c:v>Transportador Sinfín de retorno fruto</c:v>
                </c:pt>
                <c:pt idx="88">
                  <c:v>Tuberia aceite terminado</c:v>
                </c:pt>
                <c:pt idx="89">
                  <c:v>Bomba aceite terminado</c:v>
                </c:pt>
                <c:pt idx="90">
                  <c:v>Unidad de la tolva No.1 </c:v>
                </c:pt>
                <c:pt idx="91">
                  <c:v>Autoclave # 2</c:v>
                </c:pt>
                <c:pt idx="92">
                  <c:v>Transportador Sinfín de afrecho</c:v>
                </c:pt>
              </c:strCache>
            </c:strRef>
          </c:cat>
          <c:val>
            <c:numRef>
              <c:f>'Pareto ago. 2017'!$G$2:$G$94</c:f>
              <c:numCache>
                <c:formatCode>0.00%</c:formatCode>
                <c:ptCount val="93"/>
                <c:pt idx="0">
                  <c:v>0.12308989650920875</c:v>
                </c:pt>
                <c:pt idx="1">
                  <c:v>0.10456186767006848</c:v>
                </c:pt>
                <c:pt idx="2">
                  <c:v>9.6182091037525633E-2</c:v>
                </c:pt>
                <c:pt idx="3">
                  <c:v>8.2114217544476731E-2</c:v>
                </c:pt>
                <c:pt idx="4">
                  <c:v>4.9817057696265862E-2</c:v>
                </c:pt>
                <c:pt idx="5">
                  <c:v>3.9630838217456589E-2</c:v>
                </c:pt>
                <c:pt idx="6">
                  <c:v>3.8107151635290402E-2</c:v>
                </c:pt>
                <c:pt idx="7">
                  <c:v>2.6826875233548701E-2</c:v>
                </c:pt>
                <c:pt idx="8">
                  <c:v>2.6806892458700618E-2</c:v>
                </c:pt>
                <c:pt idx="9">
                  <c:v>2.6128477252608272E-2</c:v>
                </c:pt>
                <c:pt idx="10">
                  <c:v>2.5642895823799902E-2</c:v>
                </c:pt>
                <c:pt idx="11">
                  <c:v>2.2894265143446366E-2</c:v>
                </c:pt>
                <c:pt idx="12">
                  <c:v>2.0579260677296186E-2</c:v>
                </c:pt>
                <c:pt idx="13">
                  <c:v>2.0507322687843093E-2</c:v>
                </c:pt>
                <c:pt idx="14">
                  <c:v>1.9842895424144403E-2</c:v>
                </c:pt>
                <c:pt idx="15">
                  <c:v>1.8200311331632146E-2</c:v>
                </c:pt>
                <c:pt idx="16">
                  <c:v>1.7145220819653473E-2</c:v>
                </c:pt>
                <c:pt idx="17">
                  <c:v>1.5426702182718509E-2</c:v>
                </c:pt>
                <c:pt idx="18">
                  <c:v>1.1983670076394157E-2</c:v>
                </c:pt>
                <c:pt idx="19">
                  <c:v>1.1813816490185466E-2</c:v>
                </c:pt>
                <c:pt idx="20">
                  <c:v>1.0565892200922812E-2</c:v>
                </c:pt>
                <c:pt idx="21">
                  <c:v>1.0099294408220123E-2</c:v>
                </c:pt>
                <c:pt idx="22">
                  <c:v>9.4748326942175921E-3</c:v>
                </c:pt>
                <c:pt idx="23">
                  <c:v>9.1660988228147392E-3</c:v>
                </c:pt>
                <c:pt idx="24">
                  <c:v>8.9922486816364361E-3</c:v>
                </c:pt>
                <c:pt idx="25">
                  <c:v>8.5925931846748162E-3</c:v>
                </c:pt>
                <c:pt idx="26">
                  <c:v>7.4585707120462218E-3</c:v>
                </c:pt>
                <c:pt idx="27">
                  <c:v>7.2847205708679178E-3</c:v>
                </c:pt>
                <c:pt idx="28">
                  <c:v>6.5143846004743966E-3</c:v>
                </c:pt>
                <c:pt idx="29">
                  <c:v>5.6950908317030761E-3</c:v>
                </c:pt>
                <c:pt idx="30">
                  <c:v>5.545220020342469E-3</c:v>
                </c:pt>
                <c:pt idx="31">
                  <c:v>5.1735404081681632E-3</c:v>
                </c:pt>
                <c:pt idx="32">
                  <c:v>5.1555559108048899E-3</c:v>
                </c:pt>
                <c:pt idx="33">
                  <c:v>4.7898711310850085E-3</c:v>
                </c:pt>
                <c:pt idx="34">
                  <c:v>4.6280106548155526E-3</c:v>
                </c:pt>
                <c:pt idx="35">
                  <c:v>4.4611544848340758E-3</c:v>
                </c:pt>
                <c:pt idx="36">
                  <c:v>4.3812233854417532E-3</c:v>
                </c:pt>
                <c:pt idx="37">
                  <c:v>4.2663224300652867E-3</c:v>
                </c:pt>
                <c:pt idx="38">
                  <c:v>3.9665808073440726E-3</c:v>
                </c:pt>
                <c:pt idx="39">
                  <c:v>3.6448581322899689E-3</c:v>
                </c:pt>
                <c:pt idx="40">
                  <c:v>3.6448581322899689E-3</c:v>
                </c:pt>
                <c:pt idx="41">
                  <c:v>3.6418607160627566E-3</c:v>
                </c:pt>
                <c:pt idx="42">
                  <c:v>3.4620157424300282E-3</c:v>
                </c:pt>
                <c:pt idx="43">
                  <c:v>3.0923344077405297E-3</c:v>
                </c:pt>
                <c:pt idx="44">
                  <c:v>3.077347326604469E-3</c:v>
                </c:pt>
                <c:pt idx="45">
                  <c:v>2.8075798661553763E-3</c:v>
                </c:pt>
                <c:pt idx="46">
                  <c:v>2.7076659919149713E-3</c:v>
                </c:pt>
                <c:pt idx="47">
                  <c:v>2.697674604490931E-3</c:v>
                </c:pt>
                <c:pt idx="48">
                  <c:v>2.6527133610827485E-3</c:v>
                </c:pt>
                <c:pt idx="49">
                  <c:v>2.4828597748740603E-3</c:v>
                </c:pt>
                <c:pt idx="50">
                  <c:v>2.2780363326812304E-3</c:v>
                </c:pt>
                <c:pt idx="51">
                  <c:v>2.2060983432281391E-3</c:v>
                </c:pt>
                <c:pt idx="52">
                  <c:v>2.0881999716244612E-3</c:v>
                </c:pt>
                <c:pt idx="53">
                  <c:v>1.9283377728398132E-3</c:v>
                </c:pt>
                <c:pt idx="54">
                  <c:v>1.7784669614792064E-3</c:v>
                </c:pt>
                <c:pt idx="55">
                  <c:v>1.748492799207085E-3</c:v>
                </c:pt>
                <c:pt idx="56">
                  <c:v>1.6685616998147609E-3</c:v>
                </c:pt>
                <c:pt idx="57">
                  <c:v>1.6385875375426395E-3</c:v>
                </c:pt>
                <c:pt idx="58">
                  <c:v>1.6066150977857099E-3</c:v>
                </c:pt>
                <c:pt idx="59">
                  <c:v>1.4987081136060728E-3</c:v>
                </c:pt>
                <c:pt idx="60">
                  <c:v>1.4917141424092442E-3</c:v>
                </c:pt>
                <c:pt idx="61">
                  <c:v>1.4287684016377892E-3</c:v>
                </c:pt>
                <c:pt idx="62">
                  <c:v>1.3788114645175867E-3</c:v>
                </c:pt>
                <c:pt idx="63">
                  <c:v>1.3338502211094048E-3</c:v>
                </c:pt>
                <c:pt idx="64">
                  <c:v>1.2249440981873631E-3</c:v>
                </c:pt>
                <c:pt idx="65">
                  <c:v>1.198966490884858E-3</c:v>
                </c:pt>
                <c:pt idx="66">
                  <c:v>1.198966490884858E-3</c:v>
                </c:pt>
                <c:pt idx="67">
                  <c:v>1.1190353914925343E-3</c:v>
                </c:pt>
                <c:pt idx="68">
                  <c:v>1.0890612292204127E-3</c:v>
                </c:pt>
                <c:pt idx="69">
                  <c:v>1.0790698417963724E-3</c:v>
                </c:pt>
                <c:pt idx="70">
                  <c:v>1.0011370198888564E-3</c:v>
                </c:pt>
                <c:pt idx="71">
                  <c:v>9.4918180528384612E-4</c:v>
                </c:pt>
                <c:pt idx="72">
                  <c:v>9.1421194929970423E-4</c:v>
                </c:pt>
                <c:pt idx="73">
                  <c:v>8.8423778702758293E-4</c:v>
                </c:pt>
                <c:pt idx="74">
                  <c:v>8.7424639960354239E-4</c:v>
                </c:pt>
                <c:pt idx="75">
                  <c:v>8.5925931846748168E-4</c:v>
                </c:pt>
                <c:pt idx="76">
                  <c:v>7.6933683165111724E-4</c:v>
                </c:pt>
                <c:pt idx="77">
                  <c:v>5.8949185801838858E-4</c:v>
                </c:pt>
                <c:pt idx="78">
                  <c:v>5.6950908317030761E-4</c:v>
                </c:pt>
                <c:pt idx="79">
                  <c:v>5.5951769574626717E-4</c:v>
                </c:pt>
                <c:pt idx="80">
                  <c:v>5.395349208981862E-4</c:v>
                </c:pt>
                <c:pt idx="81">
                  <c:v>4.5460812779384203E-4</c:v>
                </c:pt>
                <c:pt idx="82">
                  <c:v>4.2962965923374084E-4</c:v>
                </c:pt>
                <c:pt idx="83">
                  <c:v>3.6968133468949792E-4</c:v>
                </c:pt>
                <c:pt idx="84">
                  <c:v>3.0973301014525505E-4</c:v>
                </c:pt>
                <c:pt idx="85">
                  <c:v>3.0973301014525499E-4</c:v>
                </c:pt>
                <c:pt idx="86">
                  <c:v>2.7975884787313359E-4</c:v>
                </c:pt>
                <c:pt idx="87">
                  <c:v>2.4978468560101213E-4</c:v>
                </c:pt>
                <c:pt idx="88">
                  <c:v>2.1981052332889064E-4</c:v>
                </c:pt>
                <c:pt idx="89">
                  <c:v>1.3488373022454655E-4</c:v>
                </c:pt>
                <c:pt idx="90">
                  <c:v>1.1989664908848582E-4</c:v>
                </c:pt>
                <c:pt idx="91">
                  <c:v>1.0990526166444532E-4</c:v>
                </c:pt>
                <c:pt idx="92">
                  <c:v>9.4918180528384601E-5</c:v>
                </c:pt>
              </c:numCache>
            </c:numRef>
          </c:val>
          <c:extLst>
            <c:ext xmlns:c16="http://schemas.microsoft.com/office/drawing/2014/chart" uri="{C3380CC4-5D6E-409C-BE32-E72D297353CC}">
              <c16:uniqueId val="{00000000-E3C2-48BD-B0A2-E520FE196ABD}"/>
            </c:ext>
          </c:extLst>
        </c:ser>
        <c:dLbls>
          <c:showLegendKey val="0"/>
          <c:showVal val="0"/>
          <c:showCatName val="0"/>
          <c:showSerName val="0"/>
          <c:showPercent val="0"/>
          <c:showBubbleSize val="0"/>
        </c:dLbls>
        <c:gapWidth val="269"/>
        <c:axId val="242303744"/>
        <c:axId val="242305280"/>
      </c:barChart>
      <c:lineChart>
        <c:grouping val="standard"/>
        <c:varyColors val="0"/>
        <c:ser>
          <c:idx val="1"/>
          <c:order val="1"/>
          <c:spPr>
            <a:ln w="38100" cap="rnd">
              <a:solidFill>
                <a:schemeClr val="accent2"/>
              </a:solidFill>
              <a:round/>
            </a:ln>
            <a:effectLst/>
          </c:spPr>
          <c:marker>
            <c:symbol val="none"/>
          </c:marker>
          <c:cat>
            <c:strRef>
              <c:f>'Pareto ago. 2017'!$A$2:$A$27</c:f>
              <c:strCache>
                <c:ptCount val="26"/>
                <c:pt idx="0">
                  <c:v>Prensa 2</c:v>
                </c:pt>
                <c:pt idx="1">
                  <c:v>Prensa 1</c:v>
                </c:pt>
                <c:pt idx="2">
                  <c:v>Falta de fruta esterilizado</c:v>
                </c:pt>
                <c:pt idx="3">
                  <c:v>Desfrutador</c:v>
                </c:pt>
                <c:pt idx="4">
                  <c:v>Caldera</c:v>
                </c:pt>
                <c:pt idx="5">
                  <c:v>Elevador de fruto</c:v>
                </c:pt>
                <c:pt idx="6">
                  <c:v>Arranque</c:v>
                </c:pt>
                <c:pt idx="7">
                  <c:v>Redler # 2</c:v>
                </c:pt>
                <c:pt idx="8">
                  <c:v>Limpieza parrilla caldera</c:v>
                </c:pt>
                <c:pt idx="9">
                  <c:v>Redler Principal</c:v>
                </c:pt>
                <c:pt idx="10">
                  <c:v>Autoclave # 1</c:v>
                </c:pt>
                <c:pt idx="11">
                  <c:v>Digestor 2 </c:v>
                </c:pt>
                <c:pt idx="12">
                  <c:v>Falta de Fruta en planta</c:v>
                </c:pt>
                <c:pt idx="13">
                  <c:v>Fluído eléctrico</c:v>
                </c:pt>
                <c:pt idx="14">
                  <c:v>Parrilla viajera</c:v>
                </c:pt>
                <c:pt idx="15">
                  <c:v>Transportador de torta</c:v>
                </c:pt>
                <c:pt idx="16">
                  <c:v>Redler caldera</c:v>
                </c:pt>
                <c:pt idx="17">
                  <c:v>Bomba bocatoma</c:v>
                </c:pt>
                <c:pt idx="18">
                  <c:v>redler alimenta tolvas</c:v>
                </c:pt>
                <c:pt idx="19">
                  <c:v>Planta en General</c:v>
                </c:pt>
                <c:pt idx="20">
                  <c:v>Redler Transversal de fruto cocido</c:v>
                </c:pt>
                <c:pt idx="21">
                  <c:v>Filtro cepillo #1</c:v>
                </c:pt>
                <c:pt idx="22">
                  <c:v>Digestor 1</c:v>
                </c:pt>
                <c:pt idx="23">
                  <c:v>Transportador de fruto bajo desfrutador</c:v>
                </c:pt>
                <c:pt idx="24">
                  <c:v>bomba a florentinos</c:v>
                </c:pt>
                <c:pt idx="25">
                  <c:v>Vagoneta</c:v>
                </c:pt>
              </c:strCache>
            </c:strRef>
          </c:cat>
          <c:val>
            <c:numRef>
              <c:f>'Pareto ago. 2017'!$H$2:$H$94</c:f>
              <c:numCache>
                <c:formatCode>0.00%</c:formatCode>
                <c:ptCount val="93"/>
                <c:pt idx="0">
                  <c:v>0.12308989650920875</c:v>
                </c:pt>
                <c:pt idx="1">
                  <c:v>0.22765176417927724</c:v>
                </c:pt>
                <c:pt idx="2">
                  <c:v>0.32383385521680286</c:v>
                </c:pt>
                <c:pt idx="3">
                  <c:v>0.40594807276127959</c:v>
                </c:pt>
                <c:pt idx="4">
                  <c:v>0.45576513045754546</c:v>
                </c:pt>
                <c:pt idx="5">
                  <c:v>0.49539596867500207</c:v>
                </c:pt>
                <c:pt idx="6">
                  <c:v>0.53350312031029246</c:v>
                </c:pt>
                <c:pt idx="7">
                  <c:v>0.56032999554384111</c:v>
                </c:pt>
                <c:pt idx="8">
                  <c:v>0.58713688800254171</c:v>
                </c:pt>
                <c:pt idx="9">
                  <c:v>0.61326536525514996</c:v>
                </c:pt>
                <c:pt idx="10">
                  <c:v>0.63890826107894982</c:v>
                </c:pt>
                <c:pt idx="11">
                  <c:v>0.66180252622239621</c:v>
                </c:pt>
                <c:pt idx="12">
                  <c:v>0.68238178689969242</c:v>
                </c:pt>
                <c:pt idx="13">
                  <c:v>0.70288910958753548</c:v>
                </c:pt>
                <c:pt idx="14">
                  <c:v>0.72273200501167989</c:v>
                </c:pt>
                <c:pt idx="15">
                  <c:v>0.74093231634331203</c:v>
                </c:pt>
                <c:pt idx="16">
                  <c:v>0.75807753716296555</c:v>
                </c:pt>
                <c:pt idx="17">
                  <c:v>0.77350423934568402</c:v>
                </c:pt>
                <c:pt idx="18">
                  <c:v>0.78548790942207813</c:v>
                </c:pt>
                <c:pt idx="19">
                  <c:v>0.79730172591226356</c:v>
                </c:pt>
                <c:pt idx="20">
                  <c:v>0.80786761811318641</c:v>
                </c:pt>
                <c:pt idx="21">
                  <c:v>0.81796691252140652</c:v>
                </c:pt>
                <c:pt idx="22">
                  <c:v>0.82744174521562408</c:v>
                </c:pt>
                <c:pt idx="23">
                  <c:v>0.8366078440384388</c:v>
                </c:pt>
                <c:pt idx="24">
                  <c:v>0.84560009272007519</c:v>
                </c:pt>
                <c:pt idx="25">
                  <c:v>0.85419268590475006</c:v>
                </c:pt>
                <c:pt idx="26">
                  <c:v>0.86165125661679631</c:v>
                </c:pt>
                <c:pt idx="27">
                  <c:v>0.86893597718766424</c:v>
                </c:pt>
                <c:pt idx="28">
                  <c:v>0.87545036178813862</c:v>
                </c:pt>
                <c:pt idx="29">
                  <c:v>0.88114545261984167</c:v>
                </c:pt>
                <c:pt idx="30">
                  <c:v>0.8866906726401842</c:v>
                </c:pt>
                <c:pt idx="31">
                  <c:v>0.89186421304835239</c:v>
                </c:pt>
                <c:pt idx="32">
                  <c:v>0.89701976895915725</c:v>
                </c:pt>
                <c:pt idx="33">
                  <c:v>0.90180964009024223</c:v>
                </c:pt>
                <c:pt idx="34">
                  <c:v>0.90643765074505778</c:v>
                </c:pt>
                <c:pt idx="35">
                  <c:v>0.91089880522989186</c:v>
                </c:pt>
                <c:pt idx="36">
                  <c:v>0.91528002861533364</c:v>
                </c:pt>
                <c:pt idx="37">
                  <c:v>0.91954635104539895</c:v>
                </c:pt>
                <c:pt idx="38">
                  <c:v>0.92351293185274297</c:v>
                </c:pt>
                <c:pt idx="39">
                  <c:v>0.92715778998503295</c:v>
                </c:pt>
                <c:pt idx="40">
                  <c:v>0.93080264811732294</c:v>
                </c:pt>
                <c:pt idx="41">
                  <c:v>0.9344445088333857</c:v>
                </c:pt>
                <c:pt idx="42">
                  <c:v>0.93790652457581569</c:v>
                </c:pt>
                <c:pt idx="43">
                  <c:v>0.94099885898355617</c:v>
                </c:pt>
                <c:pt idx="44">
                  <c:v>0.94407620631016065</c:v>
                </c:pt>
                <c:pt idx="45">
                  <c:v>0.94688378617631608</c:v>
                </c:pt>
                <c:pt idx="46">
                  <c:v>0.94959145216823104</c:v>
                </c:pt>
                <c:pt idx="47">
                  <c:v>0.95228912677272193</c:v>
                </c:pt>
                <c:pt idx="48">
                  <c:v>0.95494184013380468</c:v>
                </c:pt>
                <c:pt idx="49">
                  <c:v>0.95742469990867873</c:v>
                </c:pt>
                <c:pt idx="50">
                  <c:v>0.95970273624135993</c:v>
                </c:pt>
                <c:pt idx="51">
                  <c:v>0.96190883458458809</c:v>
                </c:pt>
                <c:pt idx="52">
                  <c:v>0.96399703455621255</c:v>
                </c:pt>
                <c:pt idx="53">
                  <c:v>0.9659253723290524</c:v>
                </c:pt>
                <c:pt idx="54">
                  <c:v>0.96770383929053161</c:v>
                </c:pt>
                <c:pt idx="55">
                  <c:v>0.96945233208973869</c:v>
                </c:pt>
                <c:pt idx="56">
                  <c:v>0.97112089378955346</c:v>
                </c:pt>
                <c:pt idx="57">
                  <c:v>0.97275948132709611</c:v>
                </c:pt>
                <c:pt idx="58">
                  <c:v>0.97436609642488181</c:v>
                </c:pt>
                <c:pt idx="59">
                  <c:v>0.9758648045384879</c:v>
                </c:pt>
                <c:pt idx="60">
                  <c:v>0.97735651868089712</c:v>
                </c:pt>
                <c:pt idx="61">
                  <c:v>0.97878528708253487</c:v>
                </c:pt>
                <c:pt idx="62">
                  <c:v>0.98016409854705244</c:v>
                </c:pt>
                <c:pt idx="63">
                  <c:v>0.98149794876816188</c:v>
                </c:pt>
                <c:pt idx="64">
                  <c:v>0.98272289286634928</c:v>
                </c:pt>
                <c:pt idx="65">
                  <c:v>0.9839218593572342</c:v>
                </c:pt>
                <c:pt idx="66">
                  <c:v>0.98512082584811911</c:v>
                </c:pt>
                <c:pt idx="67">
                  <c:v>0.9862398612396116</c:v>
                </c:pt>
                <c:pt idx="68">
                  <c:v>0.98732892246883197</c:v>
                </c:pt>
                <c:pt idx="69">
                  <c:v>0.98840799231062837</c:v>
                </c:pt>
                <c:pt idx="70">
                  <c:v>0.98940912933051728</c:v>
                </c:pt>
                <c:pt idx="71">
                  <c:v>0.99035831113580108</c:v>
                </c:pt>
                <c:pt idx="72">
                  <c:v>0.99127252308510083</c:v>
                </c:pt>
                <c:pt idx="73">
                  <c:v>0.99215676087212845</c:v>
                </c:pt>
                <c:pt idx="74">
                  <c:v>0.99303100727173199</c:v>
                </c:pt>
                <c:pt idx="75">
                  <c:v>0.99389026659019952</c:v>
                </c:pt>
                <c:pt idx="76">
                  <c:v>0.99465960342185067</c:v>
                </c:pt>
                <c:pt idx="77">
                  <c:v>0.99524909527986904</c:v>
                </c:pt>
                <c:pt idx="78">
                  <c:v>0.99581860436303937</c:v>
                </c:pt>
                <c:pt idx="79">
                  <c:v>0.99637812205878562</c:v>
                </c:pt>
                <c:pt idx="80">
                  <c:v>0.99691765697968382</c:v>
                </c:pt>
                <c:pt idx="81">
                  <c:v>0.99737226510747767</c:v>
                </c:pt>
                <c:pt idx="82">
                  <c:v>0.99780189476671144</c:v>
                </c:pt>
                <c:pt idx="83">
                  <c:v>0.99817157610140095</c:v>
                </c:pt>
                <c:pt idx="84">
                  <c:v>0.9984813091115462</c:v>
                </c:pt>
                <c:pt idx="85">
                  <c:v>0.99879104212169145</c:v>
                </c:pt>
                <c:pt idx="86">
                  <c:v>0.99907080096956458</c:v>
                </c:pt>
                <c:pt idx="87">
                  <c:v>0.99932058565516557</c:v>
                </c:pt>
                <c:pt idx="88">
                  <c:v>0.99954039617849444</c:v>
                </c:pt>
                <c:pt idx="89">
                  <c:v>0.99967527990871896</c:v>
                </c:pt>
                <c:pt idx="90">
                  <c:v>0.99979517655780747</c:v>
                </c:pt>
                <c:pt idx="91">
                  <c:v>0.99990508181947191</c:v>
                </c:pt>
                <c:pt idx="92">
                  <c:v>1.0000000000000002</c:v>
                </c:pt>
              </c:numCache>
            </c:numRef>
          </c:val>
          <c:smooth val="0"/>
          <c:extLst>
            <c:ext xmlns:c16="http://schemas.microsoft.com/office/drawing/2014/chart" uri="{C3380CC4-5D6E-409C-BE32-E72D297353CC}">
              <c16:uniqueId val="{00000001-E3C2-48BD-B0A2-E520FE196ABD}"/>
            </c:ext>
          </c:extLst>
        </c:ser>
        <c:dLbls>
          <c:showLegendKey val="0"/>
          <c:showVal val="0"/>
          <c:showCatName val="0"/>
          <c:showSerName val="0"/>
          <c:showPercent val="0"/>
          <c:showBubbleSize val="0"/>
        </c:dLbls>
        <c:marker val="1"/>
        <c:smooth val="0"/>
        <c:axId val="242312704"/>
        <c:axId val="242311168"/>
      </c:lineChart>
      <c:catAx>
        <c:axId val="242303744"/>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242305280"/>
        <c:crosses val="autoZero"/>
        <c:auto val="1"/>
        <c:lblAlgn val="ctr"/>
        <c:lblOffset val="100"/>
        <c:noMultiLvlLbl val="0"/>
      </c:catAx>
      <c:valAx>
        <c:axId val="2423052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2303744"/>
        <c:crosses val="autoZero"/>
        <c:crossBetween val="between"/>
      </c:valAx>
      <c:valAx>
        <c:axId val="242311168"/>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2312704"/>
        <c:crosses val="max"/>
        <c:crossBetween val="between"/>
      </c:valAx>
      <c:catAx>
        <c:axId val="242312704"/>
        <c:scaling>
          <c:orientation val="minMax"/>
        </c:scaling>
        <c:delete val="1"/>
        <c:axPos val="b"/>
        <c:numFmt formatCode="General" sourceLinked="1"/>
        <c:majorTickMark val="out"/>
        <c:minorTickMark val="none"/>
        <c:tickLblPos val="none"/>
        <c:crossAx val="242311168"/>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000000000000133" l="0.70000000000000062" r="0.70000000000000062" t="0.75000000000000133"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200040429798408E-2"/>
          <c:y val="3.4652484201121332E-2"/>
          <c:w val="0.8884090497797188"/>
          <c:h val="0.43012761887327583"/>
        </c:manualLayout>
      </c:layout>
      <c:barChart>
        <c:barDir val="col"/>
        <c:grouping val="clustered"/>
        <c:varyColors val="0"/>
        <c:ser>
          <c:idx val="0"/>
          <c:order val="0"/>
          <c:tx>
            <c:v>% parada</c:v>
          </c:tx>
          <c:spPr>
            <a:solidFill>
              <a:schemeClr val="accent5">
                <a:lumMod val="60000"/>
                <a:lumOff val="40000"/>
              </a:schemeClr>
            </a:solidFill>
            <a:ln>
              <a:solidFill>
                <a:schemeClr val="tx1"/>
              </a:solidFill>
            </a:ln>
            <a:effectLst/>
          </c:spPr>
          <c:invertIfNegative val="0"/>
          <c:cat>
            <c:strRef>
              <c:f>'Pareto nov. 2017'!$A$2:$A$14</c:f>
              <c:strCache>
                <c:ptCount val="13"/>
                <c:pt idx="0">
                  <c:v>Transportador de torta</c:v>
                </c:pt>
                <c:pt idx="1">
                  <c:v>Digestor 1</c:v>
                </c:pt>
                <c:pt idx="2">
                  <c:v>Tablero de control y automatizacion esterilizacion</c:v>
                </c:pt>
                <c:pt idx="3">
                  <c:v>Redler principal de fruta fresca</c:v>
                </c:pt>
                <c:pt idx="4">
                  <c:v>Vagoneta N°2</c:v>
                </c:pt>
                <c:pt idx="5">
                  <c:v>Bomba alimentacion de agua a caldera N°1</c:v>
                </c:pt>
                <c:pt idx="6">
                  <c:v>Elevador de fruto </c:v>
                </c:pt>
                <c:pt idx="7">
                  <c:v>Transportador sinfín fibras alimentacion a caldera</c:v>
                </c:pt>
                <c:pt idx="8">
                  <c:v>Redler de fruta esterelizada N°1</c:v>
                </c:pt>
                <c:pt idx="9">
                  <c:v>Redler transversal de fruta esterilizada </c:v>
                </c:pt>
                <c:pt idx="10">
                  <c:v>Transportador sinfín fibras bajo ciclones </c:v>
                </c:pt>
                <c:pt idx="11">
                  <c:v>Vagoneta N°4</c:v>
                </c:pt>
                <c:pt idx="12">
                  <c:v>Ciclon de fibras</c:v>
                </c:pt>
              </c:strCache>
            </c:strRef>
          </c:cat>
          <c:val>
            <c:numRef>
              <c:f>'Pareto nov. 2017'!$C$2:$C$14</c:f>
              <c:numCache>
                <c:formatCode>0.0%</c:formatCode>
                <c:ptCount val="13"/>
                <c:pt idx="0">
                  <c:v>0.41045572321292501</c:v>
                </c:pt>
                <c:pt idx="1">
                  <c:v>0.21947873799725659</c:v>
                </c:pt>
                <c:pt idx="2">
                  <c:v>0.13260173754000917</c:v>
                </c:pt>
                <c:pt idx="3">
                  <c:v>6.7062947721383964E-2</c:v>
                </c:pt>
                <c:pt idx="4">
                  <c:v>3.73418686175888E-2</c:v>
                </c:pt>
                <c:pt idx="5">
                  <c:v>3.2007315957933255E-2</c:v>
                </c:pt>
                <c:pt idx="6">
                  <c:v>2.789208962048469E-2</c:v>
                </c:pt>
                <c:pt idx="7">
                  <c:v>1.6765736930345991E-2</c:v>
                </c:pt>
                <c:pt idx="8">
                  <c:v>1.6003657978966628E-2</c:v>
                </c:pt>
                <c:pt idx="9">
                  <c:v>1.6003657978966628E-2</c:v>
                </c:pt>
                <c:pt idx="10">
                  <c:v>1.44795000762079E-2</c:v>
                </c:pt>
                <c:pt idx="11">
                  <c:v>5.3345526596555422E-3</c:v>
                </c:pt>
                <c:pt idx="12">
                  <c:v>4.5724737082761787E-3</c:v>
                </c:pt>
              </c:numCache>
            </c:numRef>
          </c:val>
          <c:extLst>
            <c:ext xmlns:c16="http://schemas.microsoft.com/office/drawing/2014/chart" uri="{C3380CC4-5D6E-409C-BE32-E72D297353CC}">
              <c16:uniqueId val="{00000000-13CE-4489-8F3F-35558AF26343}"/>
            </c:ext>
          </c:extLst>
        </c:ser>
        <c:dLbls>
          <c:showLegendKey val="0"/>
          <c:showVal val="0"/>
          <c:showCatName val="0"/>
          <c:showSerName val="0"/>
          <c:showPercent val="0"/>
          <c:showBubbleSize val="0"/>
        </c:dLbls>
        <c:gapWidth val="219"/>
        <c:overlap val="-27"/>
        <c:axId val="242783744"/>
        <c:axId val="242785280"/>
      </c:barChart>
      <c:lineChart>
        <c:grouping val="standard"/>
        <c:varyColors val="0"/>
        <c:ser>
          <c:idx val="1"/>
          <c:order val="1"/>
          <c:tx>
            <c:strRef>
              <c:f>'Pareto nov. 2017'!$D$1</c:f>
              <c:strCache>
                <c:ptCount val="1"/>
                <c:pt idx="0">
                  <c:v>Pareto</c:v>
                </c:pt>
              </c:strCache>
            </c:strRef>
          </c:tx>
          <c:spPr>
            <a:ln w="12700" cap="rnd">
              <a:solidFill>
                <a:schemeClr val="accent6">
                  <a:lumMod val="75000"/>
                </a:schemeClr>
              </a:solidFill>
              <a:round/>
            </a:ln>
            <a:effectLst/>
          </c:spPr>
          <c:marker>
            <c:symbol val="none"/>
          </c:marker>
          <c:dLbls>
            <c:dLbl>
              <c:idx val="10"/>
              <c:layout>
                <c:manualLayout>
                  <c:x val="-5.9040584687743092E-2"/>
                  <c:y val="-4.766632074179310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rial Narrow" panose="020B0606020202030204" pitchFamily="34" charset="0"/>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CE-4489-8F3F-35558AF263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Narrow" panose="020B0606020202030204" pitchFamily="34" charset="0"/>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'Pareto nov. 2017'!$D$2:$D$14</c:f>
              <c:numCache>
                <c:formatCode>0.0%</c:formatCode>
                <c:ptCount val="13"/>
                <c:pt idx="0">
                  <c:v>0.41045572321292501</c:v>
                </c:pt>
                <c:pt idx="1">
                  <c:v>0.6299344612101816</c:v>
                </c:pt>
                <c:pt idx="2">
                  <c:v>0.76253619875019074</c:v>
                </c:pt>
                <c:pt idx="3">
                  <c:v>0.82959914647157473</c:v>
                </c:pt>
                <c:pt idx="4">
                  <c:v>0.86694101508916355</c:v>
                </c:pt>
                <c:pt idx="5">
                  <c:v>0.89894833104709682</c:v>
                </c:pt>
                <c:pt idx="6">
                  <c:v>0.92684042066758154</c:v>
                </c:pt>
                <c:pt idx="7">
                  <c:v>0.94360615759792754</c:v>
                </c:pt>
                <c:pt idx="8">
                  <c:v>0.95960981557689418</c:v>
                </c:pt>
                <c:pt idx="9">
                  <c:v>0.97561347355586081</c:v>
                </c:pt>
                <c:pt idx="10">
                  <c:v>0.99009297363206872</c:v>
                </c:pt>
                <c:pt idx="11">
                  <c:v>0.99542752629172426</c:v>
                </c:pt>
                <c:pt idx="12">
                  <c:v>1.0000000000000004</c:v>
                </c:pt>
              </c:numCache>
            </c:numRef>
          </c:val>
          <c:smooth val="0"/>
          <c:extLst>
            <c:ext xmlns:c16="http://schemas.microsoft.com/office/drawing/2014/chart" uri="{C3380CC4-5D6E-409C-BE32-E72D297353CC}">
              <c16:uniqueId val="{00000003-13CE-4489-8F3F-35558AF26343}"/>
            </c:ext>
          </c:extLst>
        </c:ser>
        <c:dLbls>
          <c:showLegendKey val="0"/>
          <c:showVal val="0"/>
          <c:showCatName val="0"/>
          <c:showSerName val="0"/>
          <c:showPercent val="0"/>
          <c:showBubbleSize val="0"/>
        </c:dLbls>
        <c:marker val="1"/>
        <c:smooth val="0"/>
        <c:axId val="242796800"/>
        <c:axId val="242795264"/>
      </c:lineChart>
      <c:catAx>
        <c:axId val="24278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Narrow" panose="020B0606020202030204" pitchFamily="34" charset="0"/>
                <a:ea typeface="+mn-ea"/>
                <a:cs typeface="+mn-cs"/>
              </a:defRPr>
            </a:pPr>
            <a:endParaRPr lang="es-CO"/>
          </a:p>
        </c:txPr>
        <c:crossAx val="242785280"/>
        <c:crosses val="autoZero"/>
        <c:auto val="1"/>
        <c:lblAlgn val="ctr"/>
        <c:lblOffset val="100"/>
        <c:noMultiLvlLbl val="0"/>
      </c:catAx>
      <c:valAx>
        <c:axId val="242785280"/>
        <c:scaling>
          <c:orientation val="minMax"/>
        </c:scaling>
        <c:delete val="0"/>
        <c:axPos val="l"/>
        <c:majorGridlines>
          <c:spPr>
            <a:ln w="9525" cap="flat" cmpd="sng" algn="ctr">
              <a:solidFill>
                <a:schemeClr val="bg1">
                  <a:lumMod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Narrow" panose="020B0606020202030204" pitchFamily="34" charset="0"/>
                <a:ea typeface="+mn-ea"/>
                <a:cs typeface="+mn-cs"/>
              </a:defRPr>
            </a:pPr>
            <a:endParaRPr lang="es-CO"/>
          </a:p>
        </c:txPr>
        <c:crossAx val="242783744"/>
        <c:crosses val="autoZero"/>
        <c:crossBetween val="between"/>
      </c:valAx>
      <c:valAx>
        <c:axId val="242795264"/>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Narrow" panose="020B0606020202030204" pitchFamily="34" charset="0"/>
                <a:ea typeface="+mn-ea"/>
                <a:cs typeface="+mn-cs"/>
              </a:defRPr>
            </a:pPr>
            <a:endParaRPr lang="es-CO"/>
          </a:p>
        </c:txPr>
        <c:crossAx val="242796800"/>
        <c:crosses val="max"/>
        <c:crossBetween val="between"/>
      </c:valAx>
      <c:catAx>
        <c:axId val="242796800"/>
        <c:scaling>
          <c:orientation val="minMax"/>
        </c:scaling>
        <c:delete val="1"/>
        <c:axPos val="b"/>
        <c:majorTickMark val="out"/>
        <c:minorTickMark val="none"/>
        <c:tickLblPos val="none"/>
        <c:crossAx val="2427952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Narrow" panose="020B0606020202030204" pitchFamily="34" charset="0"/>
              <a:ea typeface="+mn-ea"/>
              <a:cs typeface="+mn-cs"/>
            </a:defRPr>
          </a:pPr>
          <a:endParaRPr lang="es-CO"/>
        </a:p>
      </c:txPr>
    </c:legend>
    <c:plotVisOnly val="1"/>
    <c:dispBlanksAs val="gap"/>
    <c:showDLblsOverMax val="0"/>
  </c:chart>
  <c:spPr>
    <a:solidFill>
      <a:schemeClr val="bg1"/>
    </a:solidFill>
    <a:ln w="9525" cap="flat" cmpd="sng" algn="ctr">
      <a:noFill/>
      <a:round/>
    </a:ln>
    <a:effectLst/>
  </c:spPr>
  <c:txPr>
    <a:bodyPr/>
    <a:lstStyle/>
    <a:p>
      <a:pPr>
        <a:defRPr>
          <a:solidFill>
            <a:schemeClr val="tx1"/>
          </a:solidFill>
          <a:latin typeface="Arial Narrow" panose="020B0606020202030204" pitchFamily="34" charset="0"/>
        </a:defRPr>
      </a:pPr>
      <a:endParaRPr lang="es-CO"/>
    </a:p>
  </c:txPr>
  <c:printSettings>
    <c:headerFooter/>
    <c:pageMargins b="0.75000000000000078" l="0.70000000000000062" r="0.70000000000000062" t="0.75000000000000078" header="0.30000000000000032" footer="0.30000000000000032"/>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invertIfNegative val="0"/>
          <c:cat>
            <c:strRef>
              <c:f>'Pareto Mar.2018'!$E$4:$E$23</c:f>
              <c:strCache>
                <c:ptCount val="20"/>
                <c:pt idx="0">
                  <c:v>Redler principal de fruta fresca</c:v>
                </c:pt>
                <c:pt idx="1">
                  <c:v>Transportador sinfín bajo desfrutador </c:v>
                </c:pt>
                <c:pt idx="2">
                  <c:v>Tamiz lodos</c:v>
                </c:pt>
                <c:pt idx="3">
                  <c:v>Redler de fruta esterelizada N°1</c:v>
                </c:pt>
                <c:pt idx="4">
                  <c:v>Transportador sinfín fibras alimentacion a caldera</c:v>
                </c:pt>
                <c:pt idx="5">
                  <c:v>Filtros cepillos N°1</c:v>
                </c:pt>
                <c:pt idx="6">
                  <c:v>Digestor 1</c:v>
                </c:pt>
                <c:pt idx="7">
                  <c:v>Transportador de torta</c:v>
                </c:pt>
                <c:pt idx="8">
                  <c:v>Vagoneta N°3</c:v>
                </c:pt>
                <c:pt idx="9">
                  <c:v>Tanque lodos tamizados</c:v>
                </c:pt>
                <c:pt idx="10">
                  <c:v>Tambor desfrutador </c:v>
                </c:pt>
                <c:pt idx="11">
                  <c:v>Tablero de control y automatizacion esterilizacion</c:v>
                </c:pt>
                <c:pt idx="12">
                  <c:v>Bomba aceite terminado</c:v>
                </c:pt>
                <c:pt idx="13">
                  <c:v>Transportador sinfín distribuidor de fruto </c:v>
                </c:pt>
                <c:pt idx="14">
                  <c:v>Prensa 2</c:v>
                </c:pt>
                <c:pt idx="15">
                  <c:v>Redler de fruta esterelizada N°2</c:v>
                </c:pt>
                <c:pt idx="16">
                  <c:v>Transportador sinfín fibras bajo ciclones </c:v>
                </c:pt>
                <c:pt idx="17">
                  <c:v>Caldera VR 16 </c:v>
                </c:pt>
                <c:pt idx="18">
                  <c:v>Prensa 1</c:v>
                </c:pt>
                <c:pt idx="19">
                  <c:v>Autoclave N°2</c:v>
                </c:pt>
              </c:strCache>
            </c:strRef>
          </c:cat>
          <c:val>
            <c:numRef>
              <c:f>'Pareto Mar.2018'!$F$4:$F$23</c:f>
              <c:numCache>
                <c:formatCode>0.00</c:formatCode>
                <c:ptCount val="20"/>
                <c:pt idx="0">
                  <c:v>16.416666666666664</c:v>
                </c:pt>
                <c:pt idx="1">
                  <c:v>11.25</c:v>
                </c:pt>
                <c:pt idx="2">
                  <c:v>5.5</c:v>
                </c:pt>
                <c:pt idx="3">
                  <c:v>4.6666666666666661</c:v>
                </c:pt>
                <c:pt idx="4">
                  <c:v>4</c:v>
                </c:pt>
                <c:pt idx="5">
                  <c:v>4</c:v>
                </c:pt>
                <c:pt idx="6">
                  <c:v>2.666666666666667</c:v>
                </c:pt>
                <c:pt idx="7">
                  <c:v>2</c:v>
                </c:pt>
                <c:pt idx="8">
                  <c:v>1.5</c:v>
                </c:pt>
                <c:pt idx="9">
                  <c:v>1.5</c:v>
                </c:pt>
                <c:pt idx="10">
                  <c:v>1.4166666666666667</c:v>
                </c:pt>
                <c:pt idx="11">
                  <c:v>1.3333333333333333</c:v>
                </c:pt>
                <c:pt idx="12">
                  <c:v>1.25</c:v>
                </c:pt>
                <c:pt idx="13">
                  <c:v>1.1666666666666667</c:v>
                </c:pt>
                <c:pt idx="14">
                  <c:v>1.0833333333333333</c:v>
                </c:pt>
                <c:pt idx="15">
                  <c:v>1</c:v>
                </c:pt>
                <c:pt idx="16">
                  <c:v>0.83333333333333337</c:v>
                </c:pt>
                <c:pt idx="17">
                  <c:v>0.75</c:v>
                </c:pt>
                <c:pt idx="18">
                  <c:v>0.75</c:v>
                </c:pt>
                <c:pt idx="19">
                  <c:v>0.29166666666666669</c:v>
                </c:pt>
              </c:numCache>
            </c:numRef>
          </c:val>
          <c:extLst>
            <c:ext xmlns:c16="http://schemas.microsoft.com/office/drawing/2014/chart" uri="{C3380CC4-5D6E-409C-BE32-E72D297353CC}">
              <c16:uniqueId val="{00000000-BAF7-F844-9AF8-B10B900D0D52}"/>
            </c:ext>
          </c:extLst>
        </c:ser>
        <c:dLbls>
          <c:showLegendKey val="0"/>
          <c:showVal val="0"/>
          <c:showCatName val="0"/>
          <c:showSerName val="0"/>
          <c:showPercent val="0"/>
          <c:showBubbleSize val="0"/>
        </c:dLbls>
        <c:gapWidth val="150"/>
        <c:axId val="242853760"/>
        <c:axId val="242855296"/>
      </c:barChart>
      <c:lineChart>
        <c:grouping val="standard"/>
        <c:varyColors val="0"/>
        <c:ser>
          <c:idx val="1"/>
          <c:order val="1"/>
          <c:val>
            <c:numRef>
              <c:f>'Pareto Mar.2018'!$I$4:$I$23</c:f>
              <c:numCache>
                <c:formatCode>0%</c:formatCode>
                <c:ptCount val="20"/>
                <c:pt idx="0">
                  <c:v>0.25904010519395132</c:v>
                </c:pt>
                <c:pt idx="1">
                  <c:v>0.43655489809335962</c:v>
                </c:pt>
                <c:pt idx="2">
                  <c:v>0.52333990795529262</c:v>
                </c:pt>
                <c:pt idx="3">
                  <c:v>0.59697567389875084</c:v>
                </c:pt>
                <c:pt idx="4">
                  <c:v>0.66009204470742933</c:v>
                </c:pt>
                <c:pt idx="5">
                  <c:v>0.72320841551610782</c:v>
                </c:pt>
                <c:pt idx="6">
                  <c:v>0.76528599605522685</c:v>
                </c:pt>
                <c:pt idx="7">
                  <c:v>0.79684418145956615</c:v>
                </c:pt>
                <c:pt idx="8">
                  <c:v>0.8205128205128206</c:v>
                </c:pt>
                <c:pt idx="9">
                  <c:v>0.84418145956607504</c:v>
                </c:pt>
                <c:pt idx="10">
                  <c:v>0.86653517422748205</c:v>
                </c:pt>
                <c:pt idx="11">
                  <c:v>0.88757396449704151</c:v>
                </c:pt>
                <c:pt idx="12">
                  <c:v>0.90729783037475353</c:v>
                </c:pt>
                <c:pt idx="13">
                  <c:v>0.92570677186061812</c:v>
                </c:pt>
                <c:pt idx="14">
                  <c:v>0.94280078895463526</c:v>
                </c:pt>
                <c:pt idx="15">
                  <c:v>0.95857988165680486</c:v>
                </c:pt>
                <c:pt idx="16">
                  <c:v>0.97172912557527957</c:v>
                </c:pt>
                <c:pt idx="17">
                  <c:v>0.98356344510190674</c:v>
                </c:pt>
                <c:pt idx="18">
                  <c:v>0.99539776462853391</c:v>
                </c:pt>
                <c:pt idx="19">
                  <c:v>1</c:v>
                </c:pt>
              </c:numCache>
            </c:numRef>
          </c:val>
          <c:smooth val="0"/>
          <c:extLst>
            <c:ext xmlns:c16="http://schemas.microsoft.com/office/drawing/2014/chart" uri="{C3380CC4-5D6E-409C-BE32-E72D297353CC}">
              <c16:uniqueId val="{00000001-BAF7-F844-9AF8-B10B900D0D52}"/>
            </c:ext>
          </c:extLst>
        </c:ser>
        <c:dLbls>
          <c:showLegendKey val="0"/>
          <c:showVal val="0"/>
          <c:showCatName val="0"/>
          <c:showSerName val="0"/>
          <c:showPercent val="0"/>
          <c:showBubbleSize val="0"/>
        </c:dLbls>
        <c:marker val="1"/>
        <c:smooth val="0"/>
        <c:axId val="242862720"/>
        <c:axId val="242861184"/>
      </c:lineChart>
      <c:catAx>
        <c:axId val="242853760"/>
        <c:scaling>
          <c:orientation val="minMax"/>
        </c:scaling>
        <c:delete val="0"/>
        <c:axPos val="b"/>
        <c:numFmt formatCode="General" sourceLinked="1"/>
        <c:majorTickMark val="none"/>
        <c:minorTickMark val="none"/>
        <c:tickLblPos val="nextTo"/>
        <c:txPr>
          <a:bodyPr rot="-5400000" vert="horz"/>
          <a:lstStyle/>
          <a:p>
            <a:pPr>
              <a:defRPr/>
            </a:pPr>
            <a:endParaRPr lang="es-CO"/>
          </a:p>
        </c:txPr>
        <c:crossAx val="242855296"/>
        <c:crosses val="autoZero"/>
        <c:auto val="1"/>
        <c:lblAlgn val="ctr"/>
        <c:lblOffset val="100"/>
        <c:noMultiLvlLbl val="0"/>
      </c:catAx>
      <c:valAx>
        <c:axId val="242855296"/>
        <c:scaling>
          <c:orientation val="minMax"/>
        </c:scaling>
        <c:delete val="0"/>
        <c:axPos val="l"/>
        <c:majorGridlines>
          <c:spPr>
            <a:ln>
              <a:solidFill>
                <a:schemeClr val="bg1">
                  <a:lumMod val="85000"/>
                </a:schemeClr>
              </a:solidFill>
            </a:ln>
          </c:spPr>
        </c:majorGridlines>
        <c:numFmt formatCode="0.00" sourceLinked="1"/>
        <c:majorTickMark val="none"/>
        <c:minorTickMark val="none"/>
        <c:tickLblPos val="nextTo"/>
        <c:txPr>
          <a:bodyPr/>
          <a:lstStyle/>
          <a:p>
            <a:pPr>
              <a:defRPr b="0"/>
            </a:pPr>
            <a:endParaRPr lang="es-CO"/>
          </a:p>
        </c:txPr>
        <c:crossAx val="242853760"/>
        <c:crosses val="autoZero"/>
        <c:crossBetween val="between"/>
      </c:valAx>
      <c:valAx>
        <c:axId val="242861184"/>
        <c:scaling>
          <c:orientation val="minMax"/>
          <c:max val="1"/>
        </c:scaling>
        <c:delete val="0"/>
        <c:axPos val="r"/>
        <c:numFmt formatCode="0%" sourceLinked="1"/>
        <c:majorTickMark val="out"/>
        <c:minorTickMark val="none"/>
        <c:tickLblPos val="nextTo"/>
        <c:crossAx val="242862720"/>
        <c:crosses val="max"/>
        <c:crossBetween val="between"/>
      </c:valAx>
      <c:catAx>
        <c:axId val="242862720"/>
        <c:scaling>
          <c:orientation val="minMax"/>
        </c:scaling>
        <c:delete val="1"/>
        <c:axPos val="b"/>
        <c:numFmt formatCode="_-* #,##0.0_-;\-* #,##0.0_-;_-* &quot;-&quot;_-;_-@_-" sourceLinked="1"/>
        <c:majorTickMark val="out"/>
        <c:minorTickMark val="none"/>
        <c:tickLblPos val="none"/>
        <c:crossAx val="242861184"/>
        <c:crosses val="autoZero"/>
        <c:auto val="1"/>
        <c:lblAlgn val="ctr"/>
        <c:lblOffset val="100"/>
        <c:noMultiLvlLbl val="0"/>
      </c:catAx>
    </c:plotArea>
    <c:plotVisOnly val="1"/>
    <c:dispBlanksAs val="gap"/>
    <c:showDLblsOverMax val="0"/>
  </c:chart>
  <c:spPr>
    <a:ln>
      <a:noFill/>
    </a:ln>
  </c:spPr>
  <c:txPr>
    <a:bodyPr/>
    <a:lstStyle/>
    <a:p>
      <a:pPr>
        <a:defRPr sz="1100" b="0">
          <a:ln>
            <a:solidFill>
              <a:sysClr val="windowText" lastClr="000000"/>
            </a:solidFill>
          </a:ln>
          <a:latin typeface="Arial Narrow" pitchFamily="34" charset="0"/>
        </a:defRPr>
      </a:pPr>
      <a:endParaRPr lang="es-CO"/>
    </a:p>
  </c:txPr>
  <c:printSettings>
    <c:headerFooter/>
    <c:pageMargins b="0.75000000000000011" l="0.70000000000000007" r="0.70000000000000007" t="0.75000000000000011" header="0.30000000000000004" footer="0.30000000000000004"/>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PARETO 2025</cx:v>
        </cx:txData>
      </cx:tx>
      <cx:txPr>
        <a:bodyPr spcFirstLastPara="1" vertOverflow="ellipsis" horzOverflow="overflow" wrap="square" lIns="0" tIns="0" rIns="0" bIns="0" anchor="ctr" anchorCtr="1"/>
        <a:lstStyle/>
        <a:p>
          <a:pPr algn="ctr" rtl="0">
            <a:defRPr>
              <a:solidFill>
                <a:sysClr val="windowText" lastClr="000000"/>
              </a:solidFill>
            </a:defRPr>
          </a:pPr>
          <a:r>
            <a:rPr lang="es-ES" sz="1400" b="0" i="0" u="none" strike="noStrike" baseline="0">
              <a:solidFill>
                <a:sysClr val="windowText" lastClr="000000"/>
              </a:solidFill>
              <a:latin typeface="Calibri" panose="020F0502020204030204"/>
            </a:rPr>
            <a:t>PARETO 2025</a:t>
          </a:r>
        </a:p>
      </cx:txPr>
    </cx:title>
    <cx:plotArea>
      <cx:plotAreaRegion>
        <cx:series layoutId="clusteredColumn" uniqueId="{EF40A994-E6AF-4147-8C7E-5D06D5E6BC5B}">
          <cx:spPr>
            <a:solidFill>
              <a:srgbClr val="00FF99"/>
            </a:solidFill>
            <a:ln>
              <a:noFill/>
            </a:ln>
          </cx:spPr>
          <cx:dataLabels pos="inEnd">
            <cx:txPr>
              <a:bodyPr spcFirstLastPara="1" vertOverflow="ellipsis" horzOverflow="overflow" wrap="square" lIns="0" tIns="0" rIns="0" bIns="0" anchor="ctr" anchorCtr="1"/>
              <a:lstStyle/>
              <a:p>
                <a:pPr algn="ctr" rtl="0">
                  <a:defRPr>
                    <a:solidFill>
                      <a:sysClr val="windowText" lastClr="000000"/>
                    </a:solidFill>
                  </a:defRPr>
                </a:pPr>
                <a:endParaRPr lang="es-ES" sz="900" b="0" i="0" u="none" strike="noStrike" baseline="0">
                  <a:solidFill>
                    <a:sysClr val="windowText" lastClr="000000"/>
                  </a:solidFill>
                  <a:latin typeface="Calibri" panose="020F0502020204030204"/>
                </a:endParaRPr>
              </a:p>
            </cx:txPr>
            <cx:visibility seriesName="0" categoryName="0" value="1"/>
            <cx:dataLabel idx="0" pos="ctr">
              <cx:txPr>
                <a:bodyPr spcFirstLastPara="1" vertOverflow="ellipsis" horzOverflow="overflow" wrap="square" lIns="0" tIns="0" rIns="0" bIns="0" anchor="ctr" anchorCtr="1"/>
                <a:lstStyle/>
                <a:p>
                  <a:pPr algn="ctr" rtl="0">
                    <a:defRPr/>
                  </a:pPr>
                  <a:r>
                    <a:rPr lang="es-ES" sz="900" b="0" i="0" u="none" strike="noStrike" baseline="0">
                      <a:solidFill>
                        <a:sysClr val="windowText" lastClr="000000"/>
                      </a:solidFill>
                      <a:latin typeface="Calibri" panose="020F0502020204030204"/>
                    </a:rPr>
                    <a:t>8,40</a:t>
                  </a:r>
                </a:p>
              </cx:txPr>
              <cx:visibility seriesName="0" categoryName="0" value="1"/>
              <cx:separator>, </cx:separator>
            </cx:dataLabel>
          </cx:dataLabels>
          <cx:dataId val="0"/>
          <cx:layoutPr>
            <cx:aggregation/>
          </cx:layoutPr>
          <cx:axisId val="0"/>
        </cx:series>
        <cx:series layoutId="paretoLine" ownerIdx="0" uniqueId="{633A011F-1CF8-4B53-864B-D90AB73019F8}">
          <cx:spPr>
            <a:ln w="19050">
              <a:solidFill>
                <a:srgbClr val="C00000"/>
              </a:solidFill>
            </a:ln>
          </cx:spPr>
          <cx:axisId val="1"/>
        </cx:series>
      </cx:plotAreaRegion>
      <cx:axis id="0">
        <cx:valScaling max="30" min="0"/>
        <cx:title>
          <cx:tx>
            <cx:txData>
              <cx:v>TIEMPO</cx:v>
            </cx:txData>
          </cx:tx>
          <cx:txPr>
            <a:bodyPr spcFirstLastPara="1" vertOverflow="ellipsis" horzOverflow="overflow" wrap="square" lIns="0" tIns="0" rIns="0" bIns="0" anchor="ctr" anchorCtr="1"/>
            <a:lstStyle/>
            <a:p>
              <a:pPr algn="ctr" rtl="0">
                <a:defRPr>
                  <a:solidFill>
                    <a:sysClr val="windowText" lastClr="000000"/>
                  </a:solidFill>
                </a:defRPr>
              </a:pPr>
              <a:r>
                <a:rPr lang="es-ES" sz="900" b="0" i="0" u="none" strike="noStrike" baseline="0">
                  <a:solidFill>
                    <a:sysClr val="windowText" lastClr="000000"/>
                  </a:solidFill>
                  <a:latin typeface="Calibri" panose="020F0502020204030204"/>
                </a:rPr>
                <a:t>TIEMPO</a:t>
              </a:r>
            </a:p>
          </cx:txPr>
        </cx:title>
        <cx:majorGridlines/>
        <cx:tickLabels/>
        <cx:txPr>
          <a:bodyPr vertOverflow="overflow" horzOverflow="overflow" wrap="square" lIns="0" tIns="0" rIns="0" bIns="0"/>
          <a:lstStyle/>
          <a:p>
            <a:pPr algn="ctr" rtl="0">
              <a:defRPr sz="9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s-CO">
              <a:solidFill>
                <a:sysClr val="windowText" lastClr="000000"/>
              </a:solidFill>
            </a:endParaRPr>
          </a:p>
        </cx:txPr>
      </cx:axis>
      <cx:axis id="1">
        <cx:valScaling max="1" min="0"/>
        <cx:title>
          <cx:txPr>
            <a:bodyPr spcFirstLastPara="1" vertOverflow="ellipsis" horzOverflow="overflow" wrap="square" lIns="0" tIns="0" rIns="0" bIns="0" anchor="ctr" anchorCtr="1"/>
            <a:lstStyle/>
            <a:p>
              <a:pPr algn="ctr" rtl="0">
                <a:defRPr>
                  <a:solidFill>
                    <a:sysClr val="windowText" lastClr="000000"/>
                  </a:solidFill>
                </a:defRPr>
              </a:pPr>
              <a:endParaRPr lang="es-ES" sz="900" b="0" i="0" u="none" strike="noStrike" baseline="0">
                <a:solidFill>
                  <a:sysClr val="windowText" lastClr="000000"/>
                </a:solidFill>
                <a:latin typeface="Calibri" panose="020F0502020204030204"/>
              </a:endParaRPr>
            </a:p>
          </cx:txPr>
        </cx:title>
        <cx:units unit="percentage"/>
        <cx:tickLabels/>
        <cx:txPr>
          <a:bodyPr vertOverflow="overflow" horzOverflow="overflow" wrap="square" lIns="0" tIns="0" rIns="0" bIns="0"/>
          <a:lstStyle/>
          <a:p>
            <a:pPr algn="ctr" rtl="0">
              <a:defRPr sz="9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s-CO">
              <a:solidFill>
                <a:sysClr val="windowText" lastClr="000000"/>
              </a:solidFill>
            </a:endParaRPr>
          </a:p>
        </cx:txPr>
      </cx:axis>
      <cx:axis id="2">
        <cx:catScaling gapWidth="0.0700000003"/>
        <cx:title>
          <cx:tx>
            <cx:txData>
              <cx:v>EQUIPOS</cx:v>
            </cx:txData>
          </cx:tx>
          <cx:txPr>
            <a:bodyPr spcFirstLastPara="1" vertOverflow="ellipsis" horzOverflow="overflow" wrap="square" lIns="0" tIns="0" rIns="0" bIns="0" anchor="ctr" anchorCtr="1"/>
            <a:lstStyle/>
            <a:p>
              <a:pPr algn="ctr" rtl="0">
                <a:defRPr>
                  <a:solidFill>
                    <a:sysClr val="windowText" lastClr="000000"/>
                  </a:solidFill>
                </a:defRPr>
              </a:pPr>
              <a:r>
                <a:rPr lang="es-ES" sz="900" b="0" i="0" u="none" strike="noStrike" baseline="0">
                  <a:solidFill>
                    <a:sysClr val="windowText" lastClr="000000"/>
                  </a:solidFill>
                  <a:latin typeface="Calibri" panose="020F0502020204030204"/>
                </a:rPr>
                <a:t>EQUIPOS</a:t>
              </a:r>
            </a:p>
          </cx:txPr>
        </cx:title>
        <cx:tickLabels/>
        <cx:txPr>
          <a:bodyPr vertOverflow="overflow" horzOverflow="overflow" wrap="square" lIns="0" tIns="0" rIns="0" bIns="0"/>
          <a:lstStyle/>
          <a:p>
            <a:pPr algn="ctr" rtl="0">
              <a:defRPr sz="9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s-CO">
              <a:solidFill>
                <a:sysClr val="windowText" lastClr="000000"/>
              </a:solidFill>
            </a:endParaRPr>
          </a:p>
        </cx:txPr>
      </cx:axis>
    </cx:plotArea>
  </cx:chart>
  <cx:spPr>
    <a:solidFill>
      <a:sysClr val="window" lastClr="FFFFFF"/>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371475</xdr:colOff>
      <xdr:row>17</xdr:row>
      <xdr:rowOff>114300</xdr:rowOff>
    </xdr:from>
    <xdr:to>
      <xdr:col>2</xdr:col>
      <xdr:colOff>704850</xdr:colOff>
      <xdr:row>19</xdr:row>
      <xdr:rowOff>180975</xdr:rowOff>
    </xdr:to>
    <xdr:sp macro="" textlink="">
      <xdr:nvSpPr>
        <xdr:cNvPr id="2" name="Rectángulo redondeado 1">
          <a:extLst>
            <a:ext uri="{FF2B5EF4-FFF2-40B4-BE49-F238E27FC236}">
              <a16:creationId xmlns:a16="http://schemas.microsoft.com/office/drawing/2014/main" id="{00000000-0008-0000-0100-000002000000}"/>
            </a:ext>
          </a:extLst>
        </xdr:cNvPr>
        <xdr:cNvSpPr/>
      </xdr:nvSpPr>
      <xdr:spPr>
        <a:xfrm>
          <a:off x="371475" y="4048125"/>
          <a:ext cx="1819275" cy="466725"/>
        </a:xfrm>
        <a:prstGeom prst="roundRect">
          <a:avLst/>
        </a:prstGeom>
        <a:solidFill>
          <a:srgbClr val="00B050"/>
        </a:solidFill>
        <a:ln w="952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s-ES" sz="1300" b="1">
              <a:solidFill>
                <a:schemeClr val="bg1"/>
              </a:solidFill>
              <a:latin typeface="Arial Narrow" panose="020B0606020202030204" pitchFamily="34" charset="0"/>
            </a:rPr>
            <a:t>Paradas programadas</a:t>
          </a:r>
        </a:p>
      </xdr:txBody>
    </xdr:sp>
    <xdr:clientData/>
  </xdr:twoCellAnchor>
  <xdr:twoCellAnchor>
    <xdr:from>
      <xdr:col>0</xdr:col>
      <xdr:colOff>400050</xdr:colOff>
      <xdr:row>26</xdr:row>
      <xdr:rowOff>66675</xdr:rowOff>
    </xdr:from>
    <xdr:to>
      <xdr:col>2</xdr:col>
      <xdr:colOff>733425</xdr:colOff>
      <xdr:row>29</xdr:row>
      <xdr:rowOff>114300</xdr:rowOff>
    </xdr:to>
    <xdr:sp macro="" textlink="">
      <xdr:nvSpPr>
        <xdr:cNvPr id="3" name="Rectángulo redondeado 2">
          <a:extLst>
            <a:ext uri="{FF2B5EF4-FFF2-40B4-BE49-F238E27FC236}">
              <a16:creationId xmlns:a16="http://schemas.microsoft.com/office/drawing/2014/main" id="{00000000-0008-0000-0100-000003000000}"/>
            </a:ext>
          </a:extLst>
        </xdr:cNvPr>
        <xdr:cNvSpPr/>
      </xdr:nvSpPr>
      <xdr:spPr>
        <a:xfrm>
          <a:off x="400050" y="5781675"/>
          <a:ext cx="1796415" cy="641985"/>
        </a:xfrm>
        <a:prstGeom prst="roundRect">
          <a:avLst/>
        </a:prstGeom>
        <a:solidFill>
          <a:srgbClr val="00B050"/>
        </a:solidFill>
        <a:ln w="952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s-ES" sz="1300" b="1">
              <a:solidFill>
                <a:schemeClr val="bg1"/>
              </a:solidFill>
              <a:latin typeface="Arial Narrow" panose="020B0606020202030204" pitchFamily="34" charset="0"/>
            </a:rPr>
            <a:t>Paradas no programadas</a:t>
          </a:r>
        </a:p>
      </xdr:txBody>
    </xdr:sp>
    <xdr:clientData/>
  </xdr:twoCellAnchor>
  <xdr:twoCellAnchor>
    <xdr:from>
      <xdr:col>3</xdr:col>
      <xdr:colOff>152400</xdr:colOff>
      <xdr:row>12</xdr:row>
      <xdr:rowOff>114300</xdr:rowOff>
    </xdr:from>
    <xdr:to>
      <xdr:col>3</xdr:col>
      <xdr:colOff>552450</xdr:colOff>
      <xdr:row>22</xdr:row>
      <xdr:rowOff>114300</xdr:rowOff>
    </xdr:to>
    <xdr:sp macro="" textlink="">
      <xdr:nvSpPr>
        <xdr:cNvPr id="4" name="Abrir llave 3">
          <a:extLst>
            <a:ext uri="{FF2B5EF4-FFF2-40B4-BE49-F238E27FC236}">
              <a16:creationId xmlns:a16="http://schemas.microsoft.com/office/drawing/2014/main" id="{00000000-0008-0000-0100-000004000000}"/>
            </a:ext>
          </a:extLst>
        </xdr:cNvPr>
        <xdr:cNvSpPr/>
      </xdr:nvSpPr>
      <xdr:spPr>
        <a:xfrm>
          <a:off x="2438400" y="1371600"/>
          <a:ext cx="400050" cy="2000250"/>
        </a:xfrm>
        <a:prstGeom prst="leftBrac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7</xdr:col>
      <xdr:colOff>209550</xdr:colOff>
      <xdr:row>12</xdr:row>
      <xdr:rowOff>95250</xdr:rowOff>
    </xdr:from>
    <xdr:to>
      <xdr:col>7</xdr:col>
      <xdr:colOff>609600</xdr:colOff>
      <xdr:row>22</xdr:row>
      <xdr:rowOff>95250</xdr:rowOff>
    </xdr:to>
    <xdr:sp macro="" textlink="">
      <xdr:nvSpPr>
        <xdr:cNvPr id="6" name="Abrir llave 5">
          <a:extLst>
            <a:ext uri="{FF2B5EF4-FFF2-40B4-BE49-F238E27FC236}">
              <a16:creationId xmlns:a16="http://schemas.microsoft.com/office/drawing/2014/main" id="{00000000-0008-0000-0100-000006000000}"/>
            </a:ext>
          </a:extLst>
        </xdr:cNvPr>
        <xdr:cNvSpPr/>
      </xdr:nvSpPr>
      <xdr:spPr>
        <a:xfrm>
          <a:off x="5543550" y="1352550"/>
          <a:ext cx="400050" cy="2000250"/>
        </a:xfrm>
        <a:prstGeom prst="leftBrac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4</xdr:col>
      <xdr:colOff>48722</xdr:colOff>
      <xdr:row>13</xdr:row>
      <xdr:rowOff>190500</xdr:rowOff>
    </xdr:from>
    <xdr:to>
      <xdr:col>7</xdr:col>
      <xdr:colOff>9525</xdr:colOff>
      <xdr:row>20</xdr:row>
      <xdr:rowOff>180975</xdr:rowOff>
    </xdr:to>
    <xdr:sp macro="" textlink="">
      <xdr:nvSpPr>
        <xdr:cNvPr id="7" name="Rectángulo redondeado 6">
          <a:extLst>
            <a:ext uri="{FF2B5EF4-FFF2-40B4-BE49-F238E27FC236}">
              <a16:creationId xmlns:a16="http://schemas.microsoft.com/office/drawing/2014/main" id="{00000000-0008-0000-0100-000007000000}"/>
            </a:ext>
          </a:extLst>
        </xdr:cNvPr>
        <xdr:cNvSpPr/>
      </xdr:nvSpPr>
      <xdr:spPr>
        <a:xfrm>
          <a:off x="3058622" y="3343275"/>
          <a:ext cx="2189653" cy="1390650"/>
        </a:xfrm>
        <a:prstGeom prst="roundRect">
          <a:avLst/>
        </a:prstGeom>
        <a:gradFill>
          <a:gsLst>
            <a:gs pos="100000">
              <a:srgbClr val="E7FEC6"/>
            </a:gs>
            <a:gs pos="100000">
              <a:schemeClr val="accent3">
                <a:tint val="15000"/>
                <a:satMod val="350000"/>
              </a:schemeClr>
            </a:gs>
          </a:gsLst>
        </a:gra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l"/>
          <a:r>
            <a:rPr lang="es-ES" sz="1100" baseline="0">
              <a:solidFill>
                <a:schemeClr val="dk1"/>
              </a:solidFill>
              <a:effectLst/>
              <a:latin typeface="Arial" panose="020B0604020202020204" pitchFamily="34" charset="0"/>
              <a:ea typeface="+mn-ea"/>
              <a:cs typeface="Arial" panose="020B0604020202020204" pitchFamily="34" charset="0"/>
            </a:rPr>
            <a:t>Arranque de planta</a:t>
          </a:r>
          <a:endParaRPr lang="es-CO">
            <a:effectLst/>
            <a:latin typeface="Arial" panose="020B0604020202020204" pitchFamily="34" charset="0"/>
            <a:cs typeface="Arial" panose="020B0604020202020204" pitchFamily="34" charset="0"/>
          </a:endParaRPr>
        </a:p>
        <a:p>
          <a:pPr algn="l"/>
          <a:r>
            <a:rPr lang="es-ES" sz="1100" baseline="0">
              <a:solidFill>
                <a:schemeClr val="dk1"/>
              </a:solidFill>
              <a:effectLst/>
              <a:latin typeface="Arial" panose="020B0604020202020204" pitchFamily="34" charset="0"/>
              <a:ea typeface="+mn-ea"/>
              <a:cs typeface="Arial" panose="020B0604020202020204" pitchFamily="34" charset="0"/>
            </a:rPr>
            <a:t>Apagado de planta</a:t>
          </a:r>
          <a:endParaRPr lang="es-ES" sz="1100">
            <a:latin typeface="Arial" panose="020B0604020202020204" pitchFamily="34" charset="0"/>
            <a:cs typeface="Arial" panose="020B0604020202020204" pitchFamily="34" charset="0"/>
          </a:endParaRPr>
        </a:p>
        <a:p>
          <a:pPr algn="l"/>
          <a:r>
            <a:rPr lang="es-ES" sz="1100">
              <a:latin typeface="Arial" panose="020B0604020202020204" pitchFamily="34" charset="0"/>
              <a:cs typeface="Arial" panose="020B0604020202020204" pitchFamily="34" charset="0"/>
            </a:rPr>
            <a:t>Reunión</a:t>
          </a:r>
        </a:p>
        <a:p>
          <a:pPr algn="l"/>
          <a:r>
            <a:rPr lang="es-ES" sz="1100">
              <a:latin typeface="Arial" panose="020B0604020202020204" pitchFamily="34" charset="0"/>
              <a:cs typeface="Arial" panose="020B0604020202020204" pitchFamily="34" charset="0"/>
            </a:rPr>
            <a:t>Capacitaciones</a:t>
          </a:r>
        </a:p>
        <a:p>
          <a:pPr algn="l"/>
          <a:r>
            <a:rPr lang="es-ES" sz="1100" baseline="0">
              <a:latin typeface="Arial" panose="020B0604020202020204" pitchFamily="34" charset="0"/>
              <a:cs typeface="Arial" panose="020B0604020202020204" pitchFamily="34" charset="0"/>
            </a:rPr>
            <a:t>Mantenimiento programado</a:t>
          </a:r>
        </a:p>
        <a:p>
          <a:pPr algn="l"/>
          <a:r>
            <a:rPr lang="es-ES" sz="1100" baseline="0">
              <a:latin typeface="Arial" panose="020B0604020202020204" pitchFamily="34" charset="0"/>
              <a:cs typeface="Arial" panose="020B0604020202020204" pitchFamily="34" charset="0"/>
            </a:rPr>
            <a:t>Montajes </a:t>
          </a:r>
        </a:p>
        <a:p>
          <a:pPr algn="l"/>
          <a:r>
            <a:rPr lang="es-ES" sz="1100" baseline="0">
              <a:latin typeface="Arial" panose="020B0604020202020204" pitchFamily="34" charset="0"/>
              <a:cs typeface="Arial" panose="020B0604020202020204" pitchFamily="34" charset="0"/>
            </a:rPr>
            <a:t>Otro</a:t>
          </a:r>
        </a:p>
      </xdr:txBody>
    </xdr:sp>
    <xdr:clientData/>
  </xdr:twoCellAnchor>
  <xdr:twoCellAnchor>
    <xdr:from>
      <xdr:col>11</xdr:col>
      <xdr:colOff>200025</xdr:colOff>
      <xdr:row>12</xdr:row>
      <xdr:rowOff>152400</xdr:rowOff>
    </xdr:from>
    <xdr:to>
      <xdr:col>11</xdr:col>
      <xdr:colOff>600075</xdr:colOff>
      <xdr:row>22</xdr:row>
      <xdr:rowOff>152400</xdr:rowOff>
    </xdr:to>
    <xdr:sp macro="" textlink="">
      <xdr:nvSpPr>
        <xdr:cNvPr id="8" name="Abrir llave 7">
          <a:extLst>
            <a:ext uri="{FF2B5EF4-FFF2-40B4-BE49-F238E27FC236}">
              <a16:creationId xmlns:a16="http://schemas.microsoft.com/office/drawing/2014/main" id="{00000000-0008-0000-0100-000008000000}"/>
            </a:ext>
          </a:extLst>
        </xdr:cNvPr>
        <xdr:cNvSpPr/>
      </xdr:nvSpPr>
      <xdr:spPr>
        <a:xfrm>
          <a:off x="8448675" y="3105150"/>
          <a:ext cx="400050" cy="2000250"/>
        </a:xfrm>
        <a:prstGeom prst="leftBrac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7</xdr:col>
      <xdr:colOff>190500</xdr:colOff>
      <xdr:row>24</xdr:row>
      <xdr:rowOff>9525</xdr:rowOff>
    </xdr:from>
    <xdr:to>
      <xdr:col>7</xdr:col>
      <xdr:colOff>590550</xdr:colOff>
      <xdr:row>41</xdr:row>
      <xdr:rowOff>19050</xdr:rowOff>
    </xdr:to>
    <xdr:sp macro="" textlink="">
      <xdr:nvSpPr>
        <xdr:cNvPr id="12" name="Abrir llave 11">
          <a:extLst>
            <a:ext uri="{FF2B5EF4-FFF2-40B4-BE49-F238E27FC236}">
              <a16:creationId xmlns:a16="http://schemas.microsoft.com/office/drawing/2014/main" id="{00000000-0008-0000-0100-00000C000000}"/>
            </a:ext>
          </a:extLst>
        </xdr:cNvPr>
        <xdr:cNvSpPr/>
      </xdr:nvSpPr>
      <xdr:spPr>
        <a:xfrm>
          <a:off x="5429250" y="5362575"/>
          <a:ext cx="400050" cy="3409950"/>
        </a:xfrm>
        <a:prstGeom prst="leftBrac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solidFill>
              <a:schemeClr val="tx1"/>
            </a:solidFill>
          </a:endParaRPr>
        </a:p>
      </xdr:txBody>
    </xdr:sp>
    <xdr:clientData/>
  </xdr:twoCellAnchor>
  <xdr:twoCellAnchor>
    <xdr:from>
      <xdr:col>0</xdr:col>
      <xdr:colOff>333375</xdr:colOff>
      <xdr:row>29</xdr:row>
      <xdr:rowOff>571501</xdr:rowOff>
    </xdr:from>
    <xdr:to>
      <xdr:col>2</xdr:col>
      <xdr:colOff>685800</xdr:colOff>
      <xdr:row>30</xdr:row>
      <xdr:rowOff>133351</xdr:rowOff>
    </xdr:to>
    <xdr:sp macro="" textlink="">
      <xdr:nvSpPr>
        <xdr:cNvPr id="13" name="Rectángulo redondeado 12">
          <a:extLst>
            <a:ext uri="{FF2B5EF4-FFF2-40B4-BE49-F238E27FC236}">
              <a16:creationId xmlns:a16="http://schemas.microsoft.com/office/drawing/2014/main" id="{00000000-0008-0000-0100-00000D000000}"/>
            </a:ext>
          </a:extLst>
        </xdr:cNvPr>
        <xdr:cNvSpPr/>
      </xdr:nvSpPr>
      <xdr:spPr>
        <a:xfrm>
          <a:off x="333375" y="6905626"/>
          <a:ext cx="1838325" cy="285750"/>
        </a:xfrm>
        <a:prstGeom prst="roundRect">
          <a:avLst/>
        </a:prstGeom>
        <a:solidFill>
          <a:srgbClr val="E7FEC6"/>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s-ES" sz="1100">
              <a:latin typeface="Arial" panose="020B0604020202020204" pitchFamily="34" charset="0"/>
              <a:cs typeface="Arial" panose="020B0604020202020204" pitchFamily="34" charset="0"/>
            </a:rPr>
            <a:t>Por mantenimiento</a:t>
          </a:r>
        </a:p>
      </xdr:txBody>
    </xdr:sp>
    <xdr:clientData/>
  </xdr:twoCellAnchor>
  <xdr:twoCellAnchor>
    <xdr:from>
      <xdr:col>0</xdr:col>
      <xdr:colOff>304800</xdr:colOff>
      <xdr:row>37</xdr:row>
      <xdr:rowOff>123826</xdr:rowOff>
    </xdr:from>
    <xdr:to>
      <xdr:col>2</xdr:col>
      <xdr:colOff>657225</xdr:colOff>
      <xdr:row>39</xdr:row>
      <xdr:rowOff>7146</xdr:rowOff>
    </xdr:to>
    <xdr:sp macro="" textlink="">
      <xdr:nvSpPr>
        <xdr:cNvPr id="15" name="Rectángulo redondeado 14">
          <a:extLst>
            <a:ext uri="{FF2B5EF4-FFF2-40B4-BE49-F238E27FC236}">
              <a16:creationId xmlns:a16="http://schemas.microsoft.com/office/drawing/2014/main" id="{00000000-0008-0000-0100-00000F000000}"/>
            </a:ext>
          </a:extLst>
        </xdr:cNvPr>
        <xdr:cNvSpPr/>
      </xdr:nvSpPr>
      <xdr:spPr>
        <a:xfrm>
          <a:off x="304800" y="8058151"/>
          <a:ext cx="1838325" cy="283370"/>
        </a:xfrm>
        <a:prstGeom prst="roundRect">
          <a:avLst/>
        </a:prstGeom>
        <a:solidFill>
          <a:srgbClr val="E7FEC6"/>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s-ES" sz="1100">
              <a:latin typeface="Arial" panose="020B0604020202020204" pitchFamily="34" charset="0"/>
              <a:cs typeface="Arial" panose="020B0604020202020204" pitchFamily="34" charset="0"/>
            </a:rPr>
            <a:t>Externa</a:t>
          </a:r>
        </a:p>
      </xdr:txBody>
    </xdr:sp>
    <xdr:clientData/>
  </xdr:twoCellAnchor>
  <xdr:twoCellAnchor>
    <xdr:from>
      <xdr:col>3</xdr:col>
      <xdr:colOff>142875</xdr:colOff>
      <xdr:row>29</xdr:row>
      <xdr:rowOff>228600</xdr:rowOff>
    </xdr:from>
    <xdr:to>
      <xdr:col>3</xdr:col>
      <xdr:colOff>514350</xdr:colOff>
      <xdr:row>31</xdr:row>
      <xdr:rowOff>247650</xdr:rowOff>
    </xdr:to>
    <xdr:sp macro="" textlink="">
      <xdr:nvSpPr>
        <xdr:cNvPr id="16" name="Abrir llave 15">
          <a:extLst>
            <a:ext uri="{FF2B5EF4-FFF2-40B4-BE49-F238E27FC236}">
              <a16:creationId xmlns:a16="http://schemas.microsoft.com/office/drawing/2014/main" id="{00000000-0008-0000-0100-000010000000}"/>
            </a:ext>
          </a:extLst>
        </xdr:cNvPr>
        <xdr:cNvSpPr/>
      </xdr:nvSpPr>
      <xdr:spPr>
        <a:xfrm>
          <a:off x="2371725" y="6562725"/>
          <a:ext cx="371475" cy="942975"/>
        </a:xfrm>
        <a:prstGeom prst="leftBrac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4</xdr:col>
      <xdr:colOff>78582</xdr:colOff>
      <xdr:row>29</xdr:row>
      <xdr:rowOff>342900</xdr:rowOff>
    </xdr:from>
    <xdr:to>
      <xdr:col>6</xdr:col>
      <xdr:colOff>485776</xdr:colOff>
      <xdr:row>31</xdr:row>
      <xdr:rowOff>152400</xdr:rowOff>
    </xdr:to>
    <xdr:sp macro="" textlink="">
      <xdr:nvSpPr>
        <xdr:cNvPr id="17" name="Rectángulo redondeado 16">
          <a:extLst>
            <a:ext uri="{FF2B5EF4-FFF2-40B4-BE49-F238E27FC236}">
              <a16:creationId xmlns:a16="http://schemas.microsoft.com/office/drawing/2014/main" id="{00000000-0008-0000-0100-000011000000}"/>
            </a:ext>
          </a:extLst>
        </xdr:cNvPr>
        <xdr:cNvSpPr/>
      </xdr:nvSpPr>
      <xdr:spPr>
        <a:xfrm>
          <a:off x="3088482" y="6677025"/>
          <a:ext cx="1893094" cy="733425"/>
        </a:xfrm>
        <a:prstGeom prst="roundRect">
          <a:avLst/>
        </a:prstGeom>
        <a:solidFill>
          <a:srgbClr val="E9FBF2"/>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s-ES" sz="1100">
              <a:latin typeface="Arial" panose="020B0604020202020204" pitchFamily="34" charset="0"/>
              <a:cs typeface="Arial" panose="020B0604020202020204" pitchFamily="34" charset="0"/>
            </a:rPr>
            <a:t>Falla eléctrica</a:t>
          </a:r>
        </a:p>
        <a:p>
          <a:pPr algn="ctr"/>
          <a:r>
            <a:rPr lang="es-ES" sz="1100" baseline="0">
              <a:latin typeface="Arial" panose="020B0604020202020204" pitchFamily="34" charset="0"/>
              <a:cs typeface="Arial" panose="020B0604020202020204" pitchFamily="34" charset="0"/>
            </a:rPr>
            <a:t>Falla mecánica</a:t>
          </a:r>
        </a:p>
      </xdr:txBody>
    </xdr:sp>
    <xdr:clientData/>
  </xdr:twoCellAnchor>
  <xdr:twoCellAnchor>
    <xdr:from>
      <xdr:col>3</xdr:col>
      <xdr:colOff>735807</xdr:colOff>
      <xdr:row>31</xdr:row>
      <xdr:rowOff>238126</xdr:rowOff>
    </xdr:from>
    <xdr:to>
      <xdr:col>6</xdr:col>
      <xdr:colOff>695325</xdr:colOff>
      <xdr:row>34</xdr:row>
      <xdr:rowOff>123826</xdr:rowOff>
    </xdr:to>
    <xdr:sp macro="" textlink="">
      <xdr:nvSpPr>
        <xdr:cNvPr id="18" name="Rectángulo redondeado 17">
          <a:extLst>
            <a:ext uri="{FF2B5EF4-FFF2-40B4-BE49-F238E27FC236}">
              <a16:creationId xmlns:a16="http://schemas.microsoft.com/office/drawing/2014/main" id="{00000000-0008-0000-0100-000012000000}"/>
            </a:ext>
          </a:extLst>
        </xdr:cNvPr>
        <xdr:cNvSpPr/>
      </xdr:nvSpPr>
      <xdr:spPr>
        <a:xfrm>
          <a:off x="3431382" y="7515226"/>
          <a:ext cx="2150268" cy="971550"/>
        </a:xfrm>
        <a:prstGeom prst="roundRect">
          <a:avLst/>
        </a:prstGeom>
        <a:solidFill>
          <a:srgbClr val="E9FBF2"/>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s-ES" sz="1100">
              <a:latin typeface="Arial" panose="020B0604020202020204" pitchFamily="34" charset="0"/>
              <a:cs typeface="Arial" panose="020B0604020202020204" pitchFamily="34" charset="0"/>
            </a:rPr>
            <a:t>Falla operativa</a:t>
          </a:r>
        </a:p>
        <a:p>
          <a:pPr algn="ctr"/>
          <a:r>
            <a:rPr lang="es-ES" sz="1100">
              <a:latin typeface="Arial" panose="020B0604020202020204" pitchFamily="34" charset="0"/>
              <a:cs typeface="Arial" panose="020B0604020202020204" pitchFamily="34" charset="0"/>
            </a:rPr>
            <a:t>Atascamiento</a:t>
          </a:r>
          <a:r>
            <a:rPr lang="es-ES" sz="1100" baseline="0">
              <a:latin typeface="Arial" panose="020B0604020202020204" pitchFamily="34" charset="0"/>
              <a:cs typeface="Arial" panose="020B0604020202020204" pitchFamily="34" charset="0"/>
            </a:rPr>
            <a:t> </a:t>
          </a:r>
        </a:p>
        <a:p>
          <a:pPr algn="ctr"/>
          <a:r>
            <a:rPr lang="es-ES" sz="1100" baseline="0">
              <a:latin typeface="Arial" panose="020B0604020202020204" pitchFamily="34" charset="0"/>
              <a:cs typeface="Arial" panose="020B0604020202020204" pitchFamily="34" charset="0"/>
            </a:rPr>
            <a:t>Sobrecarga</a:t>
          </a:r>
        </a:p>
        <a:p>
          <a:pPr algn="ctr"/>
          <a:r>
            <a:rPr lang="es-ES" sz="1100" baseline="0">
              <a:latin typeface="Arial" panose="020B0604020202020204" pitchFamily="34" charset="0"/>
              <a:cs typeface="Arial" panose="020B0604020202020204" pitchFamily="34" charset="0"/>
            </a:rPr>
            <a:t>Falta de fruta esterilizada</a:t>
          </a:r>
          <a:endParaRPr lang="es-ES" sz="1100">
            <a:latin typeface="Arial" panose="020B0604020202020204" pitchFamily="34" charset="0"/>
            <a:cs typeface="Arial" panose="020B0604020202020204" pitchFamily="34" charset="0"/>
          </a:endParaRPr>
        </a:p>
      </xdr:txBody>
    </xdr:sp>
    <xdr:clientData/>
  </xdr:twoCellAnchor>
  <xdr:twoCellAnchor>
    <xdr:from>
      <xdr:col>3</xdr:col>
      <xdr:colOff>152400</xdr:colOff>
      <xdr:row>31</xdr:row>
      <xdr:rowOff>419101</xdr:rowOff>
    </xdr:from>
    <xdr:to>
      <xdr:col>3</xdr:col>
      <xdr:colOff>523875</xdr:colOff>
      <xdr:row>34</xdr:row>
      <xdr:rowOff>19051</xdr:rowOff>
    </xdr:to>
    <xdr:sp macro="" textlink="">
      <xdr:nvSpPr>
        <xdr:cNvPr id="19" name="Abrir llave 18">
          <a:extLst>
            <a:ext uri="{FF2B5EF4-FFF2-40B4-BE49-F238E27FC236}">
              <a16:creationId xmlns:a16="http://schemas.microsoft.com/office/drawing/2014/main" id="{00000000-0008-0000-0100-000013000000}"/>
            </a:ext>
          </a:extLst>
        </xdr:cNvPr>
        <xdr:cNvSpPr/>
      </xdr:nvSpPr>
      <xdr:spPr>
        <a:xfrm>
          <a:off x="2381250" y="7677151"/>
          <a:ext cx="371475" cy="685800"/>
        </a:xfrm>
        <a:prstGeom prst="leftBrac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3</xdr:col>
      <xdr:colOff>161925</xdr:colOff>
      <xdr:row>34</xdr:row>
      <xdr:rowOff>190500</xdr:rowOff>
    </xdr:from>
    <xdr:to>
      <xdr:col>3</xdr:col>
      <xdr:colOff>533400</xdr:colOff>
      <xdr:row>42</xdr:row>
      <xdr:rowOff>21431</xdr:rowOff>
    </xdr:to>
    <xdr:sp macro="" textlink="">
      <xdr:nvSpPr>
        <xdr:cNvPr id="20" name="Abrir llave 19">
          <a:extLst>
            <a:ext uri="{FF2B5EF4-FFF2-40B4-BE49-F238E27FC236}">
              <a16:creationId xmlns:a16="http://schemas.microsoft.com/office/drawing/2014/main" id="{00000000-0008-0000-0100-000014000000}"/>
            </a:ext>
          </a:extLst>
        </xdr:cNvPr>
        <xdr:cNvSpPr/>
      </xdr:nvSpPr>
      <xdr:spPr>
        <a:xfrm>
          <a:off x="2390775" y="7524750"/>
          <a:ext cx="371475" cy="1431131"/>
        </a:xfrm>
        <a:prstGeom prst="leftBrac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7</xdr:col>
      <xdr:colOff>759203</xdr:colOff>
      <xdr:row>30</xdr:row>
      <xdr:rowOff>146429</xdr:rowOff>
    </xdr:from>
    <xdr:to>
      <xdr:col>10</xdr:col>
      <xdr:colOff>684439</xdr:colOff>
      <xdr:row>31</xdr:row>
      <xdr:rowOff>542925</xdr:rowOff>
    </xdr:to>
    <xdr:sp macro="" textlink="">
      <xdr:nvSpPr>
        <xdr:cNvPr id="23" name="Rectángulo redondeado 22">
          <a:extLst>
            <a:ext uri="{FF2B5EF4-FFF2-40B4-BE49-F238E27FC236}">
              <a16:creationId xmlns:a16="http://schemas.microsoft.com/office/drawing/2014/main" id="{00000000-0008-0000-0100-000017000000}"/>
            </a:ext>
          </a:extLst>
        </xdr:cNvPr>
        <xdr:cNvSpPr/>
      </xdr:nvSpPr>
      <xdr:spPr>
        <a:xfrm>
          <a:off x="5997953" y="7204454"/>
          <a:ext cx="2192186" cy="596521"/>
        </a:xfrm>
        <a:prstGeom prst="round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ES" sz="1100">
              <a:latin typeface="Arial" panose="020B0604020202020204" pitchFamily="34" charset="0"/>
              <a:cs typeface="Arial" panose="020B0604020202020204" pitchFamily="34" charset="0"/>
            </a:rPr>
            <a:t>Listado</a:t>
          </a:r>
          <a:r>
            <a:rPr lang="es-ES" sz="1100" baseline="0">
              <a:latin typeface="Arial" panose="020B0604020202020204" pitchFamily="34" charset="0"/>
              <a:cs typeface="Arial" panose="020B0604020202020204" pitchFamily="34" charset="0"/>
            </a:rPr>
            <a:t> de secciones</a:t>
          </a:r>
        </a:p>
        <a:p>
          <a:pPr algn="ctr"/>
          <a:r>
            <a:rPr lang="es-ES" sz="1100" baseline="0">
              <a:latin typeface="Arial" panose="020B0604020202020204" pitchFamily="34" charset="0"/>
              <a:cs typeface="Arial" panose="020B0604020202020204" pitchFamily="34" charset="0"/>
            </a:rPr>
            <a:t>Planta general</a:t>
          </a:r>
          <a:endParaRPr lang="es-ES" sz="1100">
            <a:latin typeface="Arial" panose="020B0604020202020204" pitchFamily="34" charset="0"/>
            <a:cs typeface="Arial" panose="020B0604020202020204" pitchFamily="34" charset="0"/>
          </a:endParaRPr>
        </a:p>
      </xdr:txBody>
    </xdr:sp>
    <xdr:clientData/>
  </xdr:twoCellAnchor>
  <xdr:twoCellAnchor>
    <xdr:from>
      <xdr:col>4</xdr:col>
      <xdr:colOff>126206</xdr:colOff>
      <xdr:row>36</xdr:row>
      <xdr:rowOff>1511</xdr:rowOff>
    </xdr:from>
    <xdr:to>
      <xdr:col>6</xdr:col>
      <xdr:colOff>541337</xdr:colOff>
      <xdr:row>40</xdr:row>
      <xdr:rowOff>123825</xdr:rowOff>
    </xdr:to>
    <xdr:sp macro="" textlink="">
      <xdr:nvSpPr>
        <xdr:cNvPr id="30" name="Rectángulo redondeado 29">
          <a:extLst>
            <a:ext uri="{FF2B5EF4-FFF2-40B4-BE49-F238E27FC236}">
              <a16:creationId xmlns:a16="http://schemas.microsoft.com/office/drawing/2014/main" id="{00000000-0008-0000-0100-00001E000000}"/>
            </a:ext>
          </a:extLst>
        </xdr:cNvPr>
        <xdr:cNvSpPr/>
      </xdr:nvSpPr>
      <xdr:spPr>
        <a:xfrm>
          <a:off x="3136106" y="7735811"/>
          <a:ext cx="1901031" cy="922414"/>
        </a:xfrm>
        <a:prstGeom prst="roundRect">
          <a:avLst/>
        </a:prstGeom>
        <a:solidFill>
          <a:srgbClr val="E9FBF2"/>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s-ES" sz="1100">
              <a:latin typeface="Arial" panose="020B0604020202020204" pitchFamily="34" charset="0"/>
              <a:cs typeface="Arial" panose="020B0604020202020204" pitchFamily="34" charset="0"/>
            </a:rPr>
            <a:t>Falta</a:t>
          </a:r>
          <a:r>
            <a:rPr lang="es-ES" sz="1100" baseline="0">
              <a:latin typeface="Arial" panose="020B0604020202020204" pitchFamily="34" charset="0"/>
              <a:cs typeface="Arial" panose="020B0604020202020204" pitchFamily="34" charset="0"/>
            </a:rPr>
            <a:t> de fruto fresco</a:t>
          </a:r>
        </a:p>
        <a:p>
          <a:pPr algn="ctr"/>
          <a:r>
            <a:rPr lang="es-ES" sz="1100" baseline="0">
              <a:latin typeface="Arial" panose="020B0604020202020204" pitchFamily="34" charset="0"/>
              <a:cs typeface="Arial" panose="020B0604020202020204" pitchFamily="34" charset="0"/>
            </a:rPr>
            <a:t>Falla energía red </a:t>
          </a:r>
        </a:p>
        <a:p>
          <a:pPr algn="ctr"/>
          <a:r>
            <a:rPr lang="es-ES" sz="1100" baseline="0">
              <a:latin typeface="Arial" panose="020B0604020202020204" pitchFamily="34" charset="0"/>
              <a:cs typeface="Arial" panose="020B0604020202020204" pitchFamily="34" charset="0"/>
            </a:rPr>
            <a:t>Eventos naturales</a:t>
          </a:r>
        </a:p>
        <a:p>
          <a:pPr algn="ctr"/>
          <a:r>
            <a:rPr lang="es-ES" sz="1100" baseline="0">
              <a:latin typeface="Arial" panose="020B0604020202020204" pitchFamily="34" charset="0"/>
              <a:cs typeface="Arial" panose="020B0604020202020204" pitchFamily="34" charset="0"/>
            </a:rPr>
            <a:t>Eventos de orden público</a:t>
          </a:r>
        </a:p>
      </xdr:txBody>
    </xdr:sp>
    <xdr:clientData/>
  </xdr:twoCellAnchor>
  <xdr:twoCellAnchor>
    <xdr:from>
      <xdr:col>8</xdr:col>
      <xdr:colOff>100694</xdr:colOff>
      <xdr:row>15</xdr:row>
      <xdr:rowOff>188838</xdr:rowOff>
    </xdr:from>
    <xdr:to>
      <xdr:col>11</xdr:col>
      <xdr:colOff>95250</xdr:colOff>
      <xdr:row>18</xdr:row>
      <xdr:rowOff>127454</xdr:rowOff>
    </xdr:to>
    <xdr:sp macro="" textlink="">
      <xdr:nvSpPr>
        <xdr:cNvPr id="35" name="Rectángulo redondeado 9">
          <a:extLst>
            <a:ext uri="{FF2B5EF4-FFF2-40B4-BE49-F238E27FC236}">
              <a16:creationId xmlns:a16="http://schemas.microsoft.com/office/drawing/2014/main" id="{13AF125F-C785-416B-BD34-87979266AD98}"/>
            </a:ext>
          </a:extLst>
        </xdr:cNvPr>
        <xdr:cNvSpPr/>
      </xdr:nvSpPr>
      <xdr:spPr>
        <a:xfrm>
          <a:off x="6120494" y="3741663"/>
          <a:ext cx="2223406" cy="538691"/>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ES" sz="1100" baseline="0">
              <a:latin typeface="Arial" panose="020B0604020202020204" pitchFamily="34" charset="0"/>
              <a:cs typeface="Arial" panose="020B0604020202020204" pitchFamily="34" charset="0"/>
            </a:rPr>
            <a:t>Listado de secciones</a:t>
          </a:r>
        </a:p>
        <a:p>
          <a:pPr algn="ctr"/>
          <a:r>
            <a:rPr lang="es-ES" sz="1100" baseline="0">
              <a:latin typeface="Arial" panose="020B0604020202020204" pitchFamily="34" charset="0"/>
              <a:cs typeface="Arial" panose="020B0604020202020204" pitchFamily="34" charset="0"/>
            </a:rPr>
            <a:t>Planta general</a:t>
          </a:r>
        </a:p>
      </xdr:txBody>
    </xdr:sp>
    <xdr:clientData/>
  </xdr:twoCellAnchor>
  <xdr:twoCellAnchor>
    <xdr:from>
      <xdr:col>15</xdr:col>
      <xdr:colOff>146957</xdr:colOff>
      <xdr:row>13</xdr:row>
      <xdr:rowOff>87540</xdr:rowOff>
    </xdr:from>
    <xdr:to>
      <xdr:col>15</xdr:col>
      <xdr:colOff>547007</xdr:colOff>
      <xdr:row>21</xdr:row>
      <xdr:rowOff>57150</xdr:rowOff>
    </xdr:to>
    <xdr:sp macro="" textlink="">
      <xdr:nvSpPr>
        <xdr:cNvPr id="38" name="Abrir llave 37">
          <a:extLst>
            <a:ext uri="{FF2B5EF4-FFF2-40B4-BE49-F238E27FC236}">
              <a16:creationId xmlns:a16="http://schemas.microsoft.com/office/drawing/2014/main" id="{220530EF-6ABE-45DF-A42C-12CE7909D458}"/>
            </a:ext>
          </a:extLst>
        </xdr:cNvPr>
        <xdr:cNvSpPr/>
      </xdr:nvSpPr>
      <xdr:spPr>
        <a:xfrm>
          <a:off x="11405507" y="3221265"/>
          <a:ext cx="400050" cy="1569810"/>
        </a:xfrm>
        <a:prstGeom prst="leftBrac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11</xdr:col>
      <xdr:colOff>757919</xdr:colOff>
      <xdr:row>15</xdr:row>
      <xdr:rowOff>90413</xdr:rowOff>
    </xdr:from>
    <xdr:to>
      <xdr:col>14</xdr:col>
      <xdr:colOff>701675</xdr:colOff>
      <xdr:row>18</xdr:row>
      <xdr:rowOff>29029</xdr:rowOff>
    </xdr:to>
    <xdr:sp macro="" textlink="">
      <xdr:nvSpPr>
        <xdr:cNvPr id="40" name="Rectángulo redondeado 9">
          <a:extLst>
            <a:ext uri="{FF2B5EF4-FFF2-40B4-BE49-F238E27FC236}">
              <a16:creationId xmlns:a16="http://schemas.microsoft.com/office/drawing/2014/main" id="{02C55D19-12A9-41A7-80FD-9C676AA9D82F}"/>
            </a:ext>
          </a:extLst>
        </xdr:cNvPr>
        <xdr:cNvSpPr/>
      </xdr:nvSpPr>
      <xdr:spPr>
        <a:xfrm>
          <a:off x="9006569" y="3643238"/>
          <a:ext cx="2210706" cy="538691"/>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ES" sz="1100" baseline="0">
              <a:latin typeface="Arial" panose="020B0604020202020204" pitchFamily="34" charset="0"/>
              <a:cs typeface="Arial" panose="020B0604020202020204" pitchFamily="34" charset="0"/>
            </a:rPr>
            <a:t>Listado de equipos</a:t>
          </a:r>
        </a:p>
        <a:p>
          <a:pPr algn="ctr"/>
          <a:r>
            <a:rPr lang="es-ES" sz="1100" baseline="0">
              <a:latin typeface="Arial" panose="020B0604020202020204" pitchFamily="34" charset="0"/>
              <a:cs typeface="Arial" panose="020B0604020202020204" pitchFamily="34" charset="0"/>
            </a:rPr>
            <a:t>Planta general</a:t>
          </a:r>
        </a:p>
      </xdr:txBody>
    </xdr:sp>
    <xdr:clientData/>
  </xdr:twoCellAnchor>
  <xdr:twoCellAnchor>
    <xdr:from>
      <xdr:col>15</xdr:col>
      <xdr:colOff>138792</xdr:colOff>
      <xdr:row>28</xdr:row>
      <xdr:rowOff>140607</xdr:rowOff>
    </xdr:from>
    <xdr:to>
      <xdr:col>15</xdr:col>
      <xdr:colOff>538842</xdr:colOff>
      <xdr:row>36</xdr:row>
      <xdr:rowOff>190500</xdr:rowOff>
    </xdr:to>
    <xdr:sp macro="" textlink="">
      <xdr:nvSpPr>
        <xdr:cNvPr id="43" name="Abrir llave 42">
          <a:extLst>
            <a:ext uri="{FF2B5EF4-FFF2-40B4-BE49-F238E27FC236}">
              <a16:creationId xmlns:a16="http://schemas.microsoft.com/office/drawing/2014/main" id="{721028C6-4631-4360-A582-BC783FFC6546}"/>
            </a:ext>
          </a:extLst>
        </xdr:cNvPr>
        <xdr:cNvSpPr/>
      </xdr:nvSpPr>
      <xdr:spPr>
        <a:xfrm>
          <a:off x="11397342" y="6274707"/>
          <a:ext cx="400050" cy="2659743"/>
        </a:xfrm>
        <a:prstGeom prst="leftBrac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16</xdr:col>
      <xdr:colOff>345623</xdr:colOff>
      <xdr:row>15</xdr:row>
      <xdr:rowOff>49592</xdr:rowOff>
    </xdr:from>
    <xdr:to>
      <xdr:col>18</xdr:col>
      <xdr:colOff>377553</xdr:colOff>
      <xdr:row>17</xdr:row>
      <xdr:rowOff>184151</xdr:rowOff>
    </xdr:to>
    <xdr:sp macro="" textlink="">
      <xdr:nvSpPr>
        <xdr:cNvPr id="44" name="Rectángulo redondeado 9">
          <a:extLst>
            <a:ext uri="{FF2B5EF4-FFF2-40B4-BE49-F238E27FC236}">
              <a16:creationId xmlns:a16="http://schemas.microsoft.com/office/drawing/2014/main" id="{D1A9886B-3CAC-4C03-80DA-CECEAA77C78F}"/>
            </a:ext>
          </a:extLst>
        </xdr:cNvPr>
        <xdr:cNvSpPr/>
      </xdr:nvSpPr>
      <xdr:spPr>
        <a:xfrm>
          <a:off x="12385223" y="3602417"/>
          <a:ext cx="1517830" cy="534609"/>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ES" sz="1100" baseline="0">
              <a:latin typeface="Arial" panose="020B0604020202020204" pitchFamily="34" charset="0"/>
              <a:cs typeface="Arial" panose="020B0604020202020204" pitchFamily="34" charset="0"/>
            </a:rPr>
            <a:t>Observaciones</a:t>
          </a:r>
        </a:p>
      </xdr:txBody>
    </xdr:sp>
    <xdr:clientData/>
  </xdr:twoCellAnchor>
  <xdr:twoCellAnchor>
    <xdr:from>
      <xdr:col>16</xdr:col>
      <xdr:colOff>252188</xdr:colOff>
      <xdr:row>30</xdr:row>
      <xdr:rowOff>82250</xdr:rowOff>
    </xdr:from>
    <xdr:to>
      <xdr:col>18</xdr:col>
      <xdr:colOff>290468</xdr:colOff>
      <xdr:row>31</xdr:row>
      <xdr:rowOff>581025</xdr:rowOff>
    </xdr:to>
    <xdr:sp macro="" textlink="">
      <xdr:nvSpPr>
        <xdr:cNvPr id="45" name="Rectángulo redondeado 9">
          <a:extLst>
            <a:ext uri="{FF2B5EF4-FFF2-40B4-BE49-F238E27FC236}">
              <a16:creationId xmlns:a16="http://schemas.microsoft.com/office/drawing/2014/main" id="{21911821-8F7D-48E9-BBF5-5EB1EEF57B7B}"/>
            </a:ext>
          </a:extLst>
        </xdr:cNvPr>
        <xdr:cNvSpPr/>
      </xdr:nvSpPr>
      <xdr:spPr>
        <a:xfrm>
          <a:off x="12291788" y="7140275"/>
          <a:ext cx="1524180" cy="698800"/>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ES" sz="1100" baseline="0">
              <a:latin typeface="Arial" panose="020B0604020202020204" pitchFamily="34" charset="0"/>
              <a:cs typeface="Arial" panose="020B0604020202020204" pitchFamily="34" charset="0"/>
            </a:rPr>
            <a:t>Causa de la falla</a:t>
          </a:r>
        </a:p>
        <a:p>
          <a:pPr algn="ctr"/>
          <a:r>
            <a:rPr lang="es-ES" sz="1100" baseline="0">
              <a:latin typeface="Arial" panose="020B0604020202020204" pitchFamily="34" charset="0"/>
              <a:cs typeface="Arial" panose="020B0604020202020204" pitchFamily="34" charset="0"/>
            </a:rPr>
            <a:t>Observaciones</a:t>
          </a:r>
        </a:p>
      </xdr:txBody>
    </xdr:sp>
    <xdr:clientData/>
  </xdr:twoCellAnchor>
  <xdr:twoCellAnchor>
    <xdr:from>
      <xdr:col>0</xdr:col>
      <xdr:colOff>333375</xdr:colOff>
      <xdr:row>32</xdr:row>
      <xdr:rowOff>28576</xdr:rowOff>
    </xdr:from>
    <xdr:to>
      <xdr:col>2</xdr:col>
      <xdr:colOff>685800</xdr:colOff>
      <xdr:row>33</xdr:row>
      <xdr:rowOff>114301</xdr:rowOff>
    </xdr:to>
    <xdr:sp macro="" textlink="">
      <xdr:nvSpPr>
        <xdr:cNvPr id="46" name="Rectángulo redondeado 13">
          <a:extLst>
            <a:ext uri="{FF2B5EF4-FFF2-40B4-BE49-F238E27FC236}">
              <a16:creationId xmlns:a16="http://schemas.microsoft.com/office/drawing/2014/main" id="{A1B5B272-5E35-4B78-B966-DE6FC0763590}"/>
            </a:ext>
          </a:extLst>
        </xdr:cNvPr>
        <xdr:cNvSpPr/>
      </xdr:nvSpPr>
      <xdr:spPr>
        <a:xfrm>
          <a:off x="333375" y="6981826"/>
          <a:ext cx="1838325" cy="285750"/>
        </a:xfrm>
        <a:prstGeom prst="roundRect">
          <a:avLst/>
        </a:prstGeom>
        <a:solidFill>
          <a:srgbClr val="E7FEC6"/>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s-ES" sz="1100">
              <a:latin typeface="Arial" panose="020B0604020202020204" pitchFamily="34" charset="0"/>
              <a:cs typeface="Arial" panose="020B0604020202020204" pitchFamily="34" charset="0"/>
            </a:rPr>
            <a:t>Operativa</a:t>
          </a:r>
        </a:p>
      </xdr:txBody>
    </xdr:sp>
    <xdr:clientData/>
  </xdr:twoCellAnchor>
  <xdr:twoCellAnchor>
    <xdr:from>
      <xdr:col>11</xdr:col>
      <xdr:colOff>672194</xdr:colOff>
      <xdr:row>30</xdr:row>
      <xdr:rowOff>147564</xdr:rowOff>
    </xdr:from>
    <xdr:to>
      <xdr:col>14</xdr:col>
      <xdr:colOff>615950</xdr:colOff>
      <xdr:row>31</xdr:row>
      <xdr:rowOff>552451</xdr:rowOff>
    </xdr:to>
    <xdr:sp macro="" textlink="">
      <xdr:nvSpPr>
        <xdr:cNvPr id="47" name="Rectángulo redondeado 9">
          <a:extLst>
            <a:ext uri="{FF2B5EF4-FFF2-40B4-BE49-F238E27FC236}">
              <a16:creationId xmlns:a16="http://schemas.microsoft.com/office/drawing/2014/main" id="{D1A04ECC-EC7F-4CBB-A825-3348C8F20802}"/>
            </a:ext>
          </a:extLst>
        </xdr:cNvPr>
        <xdr:cNvSpPr/>
      </xdr:nvSpPr>
      <xdr:spPr>
        <a:xfrm>
          <a:off x="8920844" y="7205589"/>
          <a:ext cx="2210706" cy="604912"/>
        </a:xfrm>
        <a:prstGeom prst="round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ES" sz="1100" baseline="0">
              <a:latin typeface="Arial" panose="020B0604020202020204" pitchFamily="34" charset="0"/>
              <a:cs typeface="Arial" panose="020B0604020202020204" pitchFamily="34" charset="0"/>
            </a:rPr>
            <a:t>Listado de equipos</a:t>
          </a:r>
        </a:p>
        <a:p>
          <a:pPr algn="ctr"/>
          <a:r>
            <a:rPr lang="es-ES" sz="1100" baseline="0">
              <a:latin typeface="Arial" panose="020B0604020202020204" pitchFamily="34" charset="0"/>
              <a:cs typeface="Arial" panose="020B0604020202020204" pitchFamily="34" charset="0"/>
            </a:rPr>
            <a:t>Planta general</a:t>
          </a:r>
        </a:p>
      </xdr:txBody>
    </xdr:sp>
    <xdr:clientData/>
  </xdr:twoCellAnchor>
  <xdr:twoCellAnchor>
    <xdr:from>
      <xdr:col>11</xdr:col>
      <xdr:colOff>180975</xdr:colOff>
      <xdr:row>27</xdr:row>
      <xdr:rowOff>180975</xdr:rowOff>
    </xdr:from>
    <xdr:to>
      <xdr:col>11</xdr:col>
      <xdr:colOff>581025</xdr:colOff>
      <xdr:row>37</xdr:row>
      <xdr:rowOff>180975</xdr:rowOff>
    </xdr:to>
    <xdr:sp macro="" textlink="">
      <xdr:nvSpPr>
        <xdr:cNvPr id="48" name="Abrir llave 47">
          <a:extLst>
            <a:ext uri="{FF2B5EF4-FFF2-40B4-BE49-F238E27FC236}">
              <a16:creationId xmlns:a16="http://schemas.microsoft.com/office/drawing/2014/main" id="{67F0CAF0-22FE-4554-91A0-541353B7A43E}"/>
            </a:ext>
          </a:extLst>
        </xdr:cNvPr>
        <xdr:cNvSpPr/>
      </xdr:nvSpPr>
      <xdr:spPr>
        <a:xfrm>
          <a:off x="8429625" y="6115050"/>
          <a:ext cx="400050" cy="3009900"/>
        </a:xfrm>
        <a:prstGeom prst="leftBrac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E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736597</xdr:colOff>
      <xdr:row>13</xdr:row>
      <xdr:rowOff>3174</xdr:rowOff>
    </xdr:from>
    <xdr:to>
      <xdr:col>10</xdr:col>
      <xdr:colOff>697606</xdr:colOff>
      <xdr:row>37</xdr:row>
      <xdr:rowOff>13415</xdr:rowOff>
    </xdr:to>
    <xdr:graphicFrame macro="">
      <xdr:nvGraphicFramePr>
        <xdr:cNvPr id="5" name="4 Gráfico">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680508</xdr:colOff>
      <xdr:row>12</xdr:row>
      <xdr:rowOff>44448</xdr:rowOff>
    </xdr:from>
    <xdr:to>
      <xdr:col>17</xdr:col>
      <xdr:colOff>141816</xdr:colOff>
      <xdr:row>29</xdr:row>
      <xdr:rowOff>98424</xdr:rowOff>
    </xdr:to>
    <xdr:graphicFrame macro="">
      <xdr:nvGraphicFramePr>
        <xdr:cNvPr id="6" name="8 Gráfico">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465816</xdr:colOff>
      <xdr:row>41</xdr:row>
      <xdr:rowOff>50024</xdr:rowOff>
    </xdr:from>
    <xdr:to>
      <xdr:col>16</xdr:col>
      <xdr:colOff>768858</xdr:colOff>
      <xdr:row>71</xdr:row>
      <xdr:rowOff>53662</xdr:rowOff>
    </xdr:to>
    <xdr:graphicFrame macro="">
      <xdr:nvGraphicFramePr>
        <xdr:cNvPr id="2" name="Gráfico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9</xdr:col>
      <xdr:colOff>585175</xdr:colOff>
      <xdr:row>23</xdr:row>
      <xdr:rowOff>159657</xdr:rowOff>
    </xdr:from>
    <xdr:ext cx="8478576" cy="5134894"/>
    <xdr:graphicFrame macro="">
      <xdr:nvGraphicFramePr>
        <xdr:cNvPr id="2" name="Chart 22">
          <a:extLst>
            <a:ext uri="{FF2B5EF4-FFF2-40B4-BE49-F238E27FC236}">
              <a16:creationId xmlns:a16="http://schemas.microsoft.com/office/drawing/2014/main" id="{768CA3C6-5DFD-4B42-9556-D4655BE15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3</xdr:col>
      <xdr:colOff>16745</xdr:colOff>
      <xdr:row>23</xdr:row>
      <xdr:rowOff>85412</xdr:rowOff>
    </xdr:from>
    <xdr:to>
      <xdr:col>9</xdr:col>
      <xdr:colOff>418679</xdr:colOff>
      <xdr:row>52</xdr:row>
      <xdr:rowOff>58616</xdr:rowOff>
    </xdr:to>
    <xdr:graphicFrame macro="">
      <xdr:nvGraphicFramePr>
        <xdr:cNvPr id="3" name="Gráfico 2">
          <a:extLst>
            <a:ext uri="{FF2B5EF4-FFF2-40B4-BE49-F238E27FC236}">
              <a16:creationId xmlns:a16="http://schemas.microsoft.com/office/drawing/2014/main" id="{3E68E06B-AAE3-B8DC-9E40-4B0D60E05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4</xdr:row>
      <xdr:rowOff>3810</xdr:rowOff>
    </xdr:from>
    <xdr:to>
      <xdr:col>8</xdr:col>
      <xdr:colOff>678180</xdr:colOff>
      <xdr:row>26</xdr:row>
      <xdr:rowOff>137160</xdr:rowOff>
    </xdr:to>
    <xdr:graphicFrame macro="">
      <xdr:nvGraphicFramePr>
        <xdr:cNvPr id="2" name="Gráfico 1">
          <a:extLst>
            <a:ext uri="{FF2B5EF4-FFF2-40B4-BE49-F238E27FC236}">
              <a16:creationId xmlns:a16="http://schemas.microsoft.com/office/drawing/2014/main" id="{0DD024D4-CE2D-119A-A46D-BAEFD28E5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730250</xdr:colOff>
      <xdr:row>14</xdr:row>
      <xdr:rowOff>330200</xdr:rowOff>
    </xdr:from>
    <xdr:to>
      <xdr:col>9</xdr:col>
      <xdr:colOff>114300</xdr:colOff>
      <xdr:row>38</xdr:row>
      <xdr:rowOff>76200</xdr:rowOff>
    </xdr:to>
    <xdr:graphicFrame macro="">
      <xdr:nvGraphicFramePr>
        <xdr:cNvPr id="7" name="Gráfico 6">
          <a:extLst>
            <a:ext uri="{FF2B5EF4-FFF2-40B4-BE49-F238E27FC236}">
              <a16:creationId xmlns:a16="http://schemas.microsoft.com/office/drawing/2014/main" id="{6ADE21D5-D0D9-5E76-12CA-226B08E22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155</xdr:row>
      <xdr:rowOff>171109</xdr:rowOff>
    </xdr:from>
    <xdr:to>
      <xdr:col>25</xdr:col>
      <xdr:colOff>388619</xdr:colOff>
      <xdr:row>168</xdr:row>
      <xdr:rowOff>152400</xdr:rowOff>
    </xdr:to>
    <mc:AlternateContent xmlns:mc="http://schemas.openxmlformats.org/markup-compatibility/2006">
      <mc:Choice xmlns:cx1="http://schemas.microsoft.com/office/drawing/2015/9/8/chartex" Requires="cx1">
        <xdr:graphicFrame macro="">
          <xdr:nvGraphicFramePr>
            <xdr:cNvPr id="4" name="Gráfico 2">
              <a:extLst>
                <a:ext uri="{FF2B5EF4-FFF2-40B4-BE49-F238E27FC236}">
                  <a16:creationId xmlns:a16="http://schemas.microsoft.com/office/drawing/2014/main" id="{2A979CCA-7A89-480D-8518-0224D17C6D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6396649"/>
              <a:ext cx="29885639" cy="2358731"/>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8</xdr:col>
      <xdr:colOff>314323</xdr:colOff>
      <xdr:row>0</xdr:row>
      <xdr:rowOff>190498</xdr:rowOff>
    </xdr:from>
    <xdr:to>
      <xdr:col>18</xdr:col>
      <xdr:colOff>581024</xdr:colOff>
      <xdr:row>20</xdr:row>
      <xdr:rowOff>28574</xdr:rowOff>
    </xdr:to>
    <xdr:graphicFrame macro="">
      <xdr:nvGraphicFramePr>
        <xdr:cNvPr id="2" name="1 Gráfico">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633412</xdr:colOff>
      <xdr:row>1</xdr:row>
      <xdr:rowOff>207166</xdr:rowOff>
    </xdr:from>
    <xdr:to>
      <xdr:col>16</xdr:col>
      <xdr:colOff>750094</xdr:colOff>
      <xdr:row>20</xdr:row>
      <xdr:rowOff>166686</xdr:rowOff>
    </xdr:to>
    <xdr:graphicFrame macro="">
      <xdr:nvGraphicFramePr>
        <xdr:cNvPr id="2" name="Gráfico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600075</xdr:colOff>
      <xdr:row>2</xdr:row>
      <xdr:rowOff>76201</xdr:rowOff>
    </xdr:from>
    <xdr:to>
      <xdr:col>7</xdr:col>
      <xdr:colOff>685800</xdr:colOff>
      <xdr:row>13</xdr:row>
      <xdr:rowOff>114301</xdr:rowOff>
    </xdr:to>
    <xdr:sp macro="" textlink="">
      <xdr:nvSpPr>
        <xdr:cNvPr id="3" name="Elipse 2">
          <a:extLst>
            <a:ext uri="{FF2B5EF4-FFF2-40B4-BE49-F238E27FC236}">
              <a16:creationId xmlns:a16="http://schemas.microsoft.com/office/drawing/2014/main" id="{00000000-0008-0000-0A00-000003000000}"/>
            </a:ext>
          </a:extLst>
        </xdr:cNvPr>
        <xdr:cNvSpPr/>
      </xdr:nvSpPr>
      <xdr:spPr>
        <a:xfrm>
          <a:off x="6715125" y="495301"/>
          <a:ext cx="2371725" cy="2343150"/>
        </a:xfrm>
        <a:prstGeom prst="ellipse">
          <a:avLst/>
        </a:prstGeom>
        <a:noFill/>
        <a:ln w="952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wsDr>
</file>

<file path=xl/drawings/drawing9.xml><?xml version="1.0" encoding="utf-8"?>
<c:userShapes xmlns:c="http://schemas.openxmlformats.org/drawingml/2006/chart">
  <cdr:relSizeAnchor xmlns:cdr="http://schemas.openxmlformats.org/drawingml/2006/chartDrawing">
    <cdr:from>
      <cdr:x>0.22325</cdr:x>
      <cdr:y>0.19166</cdr:y>
    </cdr:from>
    <cdr:to>
      <cdr:x>0.22325</cdr:x>
      <cdr:y>0.42436</cdr:y>
    </cdr:to>
    <cdr:cxnSp macro="">
      <cdr:nvCxnSpPr>
        <cdr:cNvPr id="3" name="Conector recto 2">
          <a:extLst xmlns:a="http://schemas.openxmlformats.org/drawingml/2006/main">
            <a:ext uri="{FF2B5EF4-FFF2-40B4-BE49-F238E27FC236}">
              <a16:creationId xmlns:a16="http://schemas.microsoft.com/office/drawing/2014/main" id="{36947EFB-E512-4961-BD4E-F400BD3C9E6B}"/>
            </a:ext>
          </a:extLst>
        </cdr:cNvPr>
        <cdr:cNvCxnSpPr/>
      </cdr:nvCxnSpPr>
      <cdr:spPr>
        <a:xfrm xmlns:a="http://schemas.openxmlformats.org/drawingml/2006/main">
          <a:off x="2305051" y="919164"/>
          <a:ext cx="0" cy="1116000"/>
        </a:xfrm>
        <a:prstGeom xmlns:a="http://schemas.openxmlformats.org/drawingml/2006/main" prst="line">
          <a:avLst/>
        </a:prstGeom>
        <a:ln xmlns:a="http://schemas.openxmlformats.org/drawingml/2006/main" w="19050">
          <a:solidFill>
            <a:srgbClr val="00B050"/>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0.xml><?xml version="1.0" encoding="utf-8"?>
<xdr:wsDr xmlns:xdr="http://schemas.openxmlformats.org/drawingml/2006/spreadsheetDrawing" xmlns:a="http://schemas.openxmlformats.org/drawingml/2006/main">
  <xdr:twoCellAnchor>
    <xdr:from>
      <xdr:col>9</xdr:col>
      <xdr:colOff>1132417</xdr:colOff>
      <xdr:row>3</xdr:row>
      <xdr:rowOff>10583</xdr:rowOff>
    </xdr:from>
    <xdr:to>
      <xdr:col>21</xdr:col>
      <xdr:colOff>431800</xdr:colOff>
      <xdr:row>31</xdr:row>
      <xdr:rowOff>23283</xdr:rowOff>
    </xdr:to>
    <xdr:graphicFrame macro="">
      <xdr:nvGraphicFramePr>
        <xdr:cNvPr id="8" name="7 Gráfico">
          <a:extLst>
            <a:ext uri="{FF2B5EF4-FFF2-40B4-BE49-F238E27FC236}">
              <a16:creationId xmlns:a16="http://schemas.microsoft.com/office/drawing/2014/main" id="{00000000-0008-0000-0B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FO-INF-01.10%20Control%20de%20parada%20CPO%202022.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arizaP" refreshedDate="43290.506602893518" createdVersion="4" refreshedVersion="4" minRefreshableVersion="3" recordCount="3085" xr:uid="{00000000-000A-0000-FFFF-FFFF38000000}">
  <cacheSource type="worksheet">
    <worksheetSource ref="A6:L1220" sheet="Registro paradas" r:id="rId2"/>
  </cacheSource>
  <cacheFields count="14">
    <cacheField name="FECHA" numFmtId="0">
      <sharedItems containsSemiMixedTypes="0" containsNonDate="0" containsDate="1" containsString="0" minDate="2014-07-01T00:00:00" maxDate="2017-11-10T00:00:00" count="895">
        <d v="2014-07-01T00:00:00"/>
        <d v="2014-07-02T00:00:00"/>
        <d v="2014-07-03T00:00:00"/>
        <d v="2014-07-04T00:00:00"/>
        <d v="2014-07-05T00:00:00"/>
        <d v="2014-07-08T00:00:00"/>
        <d v="2014-07-09T00:00:00"/>
        <d v="2014-07-10T00:00:00"/>
        <d v="2014-07-11T00:00:00"/>
        <d v="2014-07-12T00:00:00"/>
        <d v="2014-07-14T00:00:00"/>
        <d v="2014-07-15T00:00:00"/>
        <d v="2014-07-16T00:00:00"/>
        <d v="2014-07-17T00:00:00"/>
        <d v="2014-07-18T00:00:00"/>
        <d v="2014-07-22T00:00:00"/>
        <d v="2014-07-23T00:00:00"/>
        <d v="2014-07-24T00:00:00"/>
        <d v="2014-07-25T00:00:00"/>
        <d v="2014-07-26T00:00:00"/>
        <d v="2014-07-28T00:00:00"/>
        <d v="2014-07-29T00:00:00"/>
        <d v="2014-07-30T00:00:00"/>
        <d v="2014-07-31T00:00:00"/>
        <d v="2014-08-01T00:00:00"/>
        <d v="2014-08-02T00:00:00"/>
        <d v="2014-08-03T00:00:00"/>
        <d v="2014-08-04T00:00:00"/>
        <d v="2014-08-05T00:00:00"/>
        <d v="2014-08-06T00:00:00"/>
        <d v="2014-08-07T00:00:00"/>
        <d v="2014-08-08T00:00:00"/>
        <d v="2014-08-11T00:00:00"/>
        <d v="2014-08-12T00:00:00"/>
        <d v="2014-08-13T00:00:00"/>
        <d v="2014-08-14T00:00:00"/>
        <d v="2014-08-15T00:00:00"/>
        <d v="2014-08-20T00:00:00"/>
        <d v="2014-08-21T00:00:00"/>
        <d v="2014-08-22T00:00:00"/>
        <d v="2014-08-25T00:00:00"/>
        <d v="2014-08-26T00:00:00"/>
        <d v="2014-08-27T00:00:00"/>
        <d v="2014-08-28T00:00:00"/>
        <d v="2014-08-29T00:00:00"/>
        <d v="2014-08-30T00:00:00"/>
        <d v="2014-08-31T00:00:00"/>
        <d v="2014-09-01T00:00:00"/>
        <d v="2014-09-02T00:00:00"/>
        <d v="2014-09-03T00:00:00"/>
        <d v="2014-09-04T00:00:00"/>
        <d v="2014-09-09T00:00:00"/>
        <d v="2014-09-10T00:00:00"/>
        <d v="2014-09-11T00:00:00"/>
        <d v="2014-09-12T00:00:00"/>
        <d v="2014-09-13T00:00:00"/>
        <d v="2014-09-16T00:00:00"/>
        <d v="2014-09-17T00:00:00"/>
        <d v="2014-09-19T00:00:00"/>
        <d v="2014-09-20T00:00:00"/>
        <d v="2014-09-21T00:00:00"/>
        <d v="2014-09-23T00:00:00"/>
        <d v="2014-09-25T00:00:00"/>
        <d v="2014-09-27T00:00:00"/>
        <d v="2014-09-29T00:00:00"/>
        <d v="2014-09-30T00:00:00"/>
        <d v="2014-10-01T00:00:00"/>
        <d v="2014-10-02T00:00:00"/>
        <d v="2014-10-04T00:00:00"/>
        <d v="2014-10-07T00:00:00"/>
        <d v="2014-10-08T00:00:00"/>
        <d v="2014-10-09T00:00:00"/>
        <d v="2014-10-10T00:00:00"/>
        <d v="2014-10-11T00:00:00"/>
        <d v="2014-10-14T00:00:00"/>
        <d v="2014-10-15T00:00:00"/>
        <d v="2014-10-16T00:00:00"/>
        <d v="2014-10-17T00:00:00"/>
        <d v="2014-10-18T00:00:00"/>
        <d v="2014-10-22T00:00:00"/>
        <d v="2014-10-23T00:00:00"/>
        <d v="2014-10-24T00:00:00"/>
        <d v="2014-10-25T00:00:00"/>
        <d v="2014-10-28T00:00:00"/>
        <d v="2014-10-29T00:00:00"/>
        <d v="2014-10-30T00:00:00"/>
        <d v="2014-10-31T00:00:00"/>
        <d v="2014-11-01T00:00:00"/>
        <d v="2014-11-05T00:00:00"/>
        <d v="2014-11-06T00:00:00"/>
        <d v="2014-11-07T00:00:00"/>
        <d v="2014-11-08T00:00:00"/>
        <d v="2014-11-10T00:00:00"/>
        <d v="2014-11-11T00:00:00"/>
        <d v="2014-11-12T00:00:00"/>
        <d v="2014-11-13T00:00:00"/>
        <d v="2014-11-14T00:00:00"/>
        <d v="2014-11-15T00:00:00"/>
        <d v="2014-11-19T00:00:00"/>
        <d v="2014-11-20T00:00:00"/>
        <d v="2014-11-21T00:00:00"/>
        <d v="2014-11-22T00:00:00"/>
        <d v="2014-11-25T00:00:00"/>
        <d v="2014-11-26T00:00:00"/>
        <d v="2014-11-27T00:00:00"/>
        <d v="2014-11-28T00:00:00"/>
        <d v="2014-11-29T00:00:00"/>
        <d v="2014-12-02T00:00:00"/>
        <d v="2014-12-03T00:00:00"/>
        <d v="2014-12-04T00:00:00"/>
        <d v="2014-12-05T00:00:00"/>
        <d v="2014-12-06T00:00:00"/>
        <d v="2014-12-10T00:00:00"/>
        <d v="2014-12-13T00:00:00"/>
        <d v="2014-12-15T00:00:00"/>
        <d v="2014-12-17T00:00:00"/>
        <d v="2014-12-18T00:00:00"/>
        <d v="2014-12-19T00:00:00"/>
        <d v="2014-12-21T00:00:00"/>
        <d v="2014-12-22T00:00:00"/>
        <d v="2014-12-23T00:00:00"/>
        <d v="2014-12-27T00:00:00"/>
        <d v="2014-12-28T00:00:00"/>
        <d v="2014-12-29T00:00:00"/>
        <d v="2014-12-30T00:00:00"/>
        <d v="2014-12-31T00:00:00"/>
        <d v="2015-01-05T00:00:00"/>
        <d v="2015-01-06T00:00:00"/>
        <d v="2015-01-07T00:00:00"/>
        <d v="2015-01-08T00:00:00"/>
        <d v="2015-01-09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1T00:00:00"/>
        <d v="2015-02-03T00:00:00"/>
        <d v="2015-02-04T00:00:00"/>
        <d v="2015-02-05T00:00:00"/>
        <d v="2015-02-06T00:00:00"/>
        <d v="2015-02-07T00:00:00"/>
        <d v="2015-02-08T00:00:00"/>
        <d v="2015-02-09T00:00:00"/>
        <d v="2015-02-10T00:00:00"/>
        <d v="2015-02-11T00:00:00"/>
        <d v="2015-02-13T00:00:00"/>
        <d v="2015-02-14T00:00:00"/>
        <d v="2015-02-16T00:00:00"/>
        <d v="2015-02-17T00:00:00"/>
        <d v="2015-02-18T00:00:00"/>
        <d v="2015-02-19T00:00:00"/>
        <d v="2015-02-21T00:00:00"/>
        <d v="2015-02-22T00:00:00"/>
        <d v="2015-02-24T00:00:00"/>
        <d v="2015-02-25T00:00:00"/>
        <d v="2015-02-26T00:00:00"/>
        <d v="2015-02-27T00:00:00"/>
        <d v="2015-02-28T00:00:00"/>
        <d v="2015-03-01T00:00:00"/>
        <d v="2015-03-02T00:00:00"/>
        <d v="2015-03-03T00:00:00"/>
        <d v="2015-03-04T00:00:00"/>
        <d v="2015-03-05T00:00:00"/>
        <d v="2015-03-06T00:00:00"/>
        <d v="2015-03-07T00:00:00"/>
        <d v="2015-03-09T00:00:00"/>
        <d v="2015-03-10T00:00:00"/>
        <d v="2015-03-11T00:00:00"/>
        <d v="2015-03-12T00:00:00"/>
        <d v="2015-03-13T00:00:00"/>
        <d v="2015-03-14T00:00:00"/>
        <d v="2015-03-15T00:00:00"/>
        <d v="2015-03-16T00:00:00"/>
        <d v="2015-03-17T00:00:00"/>
        <d v="2015-03-18T00:00:00"/>
        <d v="2015-03-19T00:00:00"/>
        <d v="2015-03-20T00:00:00"/>
        <d v="2015-03-21T00:00:00"/>
        <d v="2015-03-25T00:00:00"/>
        <d v="2015-03-26T00:00:00"/>
        <d v="2015-03-27T00:00:00"/>
        <d v="2015-03-28T00:00:00"/>
        <d v="2015-03-29T00:00:00"/>
        <d v="2015-03-30T00:00:00"/>
        <d v="2015-03-31T00:00:00"/>
        <d v="2015-04-01T00:00:00"/>
        <d v="2015-04-07T00:00:00"/>
        <d v="2015-04-08T00:00:00"/>
        <d v="2015-04-09T00:00:00"/>
        <d v="2015-04-10T00:00:00"/>
        <d v="2015-04-11T00:00:00"/>
        <d v="2015-04-12T00:00:00"/>
        <d v="2015-04-13T00:00:00"/>
        <d v="2015-04-14T00:00:00"/>
        <d v="2015-04-15T00:00:00"/>
        <d v="2015-04-16T00:00:00"/>
        <d v="2015-04-17T00:00:00"/>
        <d v="2015-04-18T00:00:00"/>
        <d v="2015-04-21T00:00:00"/>
        <d v="2015-04-22T00:00:00"/>
        <d v="2015-04-23T00:00:00"/>
        <d v="2015-04-24T00:00:00"/>
        <d v="2015-04-25T00:00:00"/>
        <d v="2015-04-28T00:00:00"/>
        <d v="2015-04-29T00:00:00"/>
        <d v="2015-04-30T00:00:00"/>
        <d v="2015-05-01T00:00:00"/>
        <d v="2015-05-04T00:00:00"/>
        <d v="2015-05-05T00:00:00"/>
        <d v="2015-05-06T00:00:00"/>
        <d v="2015-05-08T00:00:00"/>
        <d v="2015-05-09T00:00:00"/>
        <d v="2015-05-12T00:00:00"/>
        <d v="2015-05-13T00:00:00"/>
        <d v="2015-05-15T00:00:00"/>
        <d v="2015-05-16T00:00:00"/>
        <d v="2015-05-20T00:00:00"/>
        <d v="2015-05-21T00:00:00"/>
        <d v="2015-05-22T00:00:00"/>
        <d v="2015-05-23T00:00:00"/>
        <d v="2015-05-27T00:00:00"/>
        <d v="2015-05-28T00:00:00"/>
        <d v="2015-05-29T00:00:00"/>
        <d v="2015-05-30T00:00:00"/>
        <d v="2015-06-03T00:00:00"/>
        <d v="2015-06-04T00:00:00"/>
        <d v="2015-06-05T00:00:00"/>
        <d v="2015-06-06T00:00:00"/>
        <d v="2015-06-11T00:00:00"/>
        <d v="2015-06-12T00:00:00"/>
        <d v="2015-06-13T00:00:00"/>
        <d v="2015-06-14T00:00:00"/>
        <d v="2015-06-17T00:00:00"/>
        <d v="2015-06-18T00:00:00"/>
        <d v="2015-06-19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13T00:00:00"/>
        <d v="2015-08-14T00:00:00"/>
        <d v="2015-08-15T00:00:00"/>
        <d v="2015-08-16T00:00:00"/>
        <d v="2015-08-17T00:00:00"/>
        <d v="2015-08-18T00:00:00"/>
        <d v="2015-08-19T00:00:00"/>
        <d v="2015-08-20T00:00:00"/>
        <d v="2015-08-21T00:00:00"/>
        <d v="2015-08-22T00:00:00"/>
        <d v="2015-08-24T00:00:00"/>
        <d v="2015-08-25T00:00:00"/>
        <d v="2015-08-26T00:00:00"/>
        <d v="2015-08-27T00:00:00"/>
        <d v="2015-08-28T00:00:00"/>
        <d v="2015-08-29T00:00:00"/>
        <d v="2015-08-31T00:00:00"/>
        <d v="2015-09-01T00:00:00"/>
        <d v="2015-09-02T00:00:00"/>
        <d v="2015-09-03T00:00:00"/>
        <d v="2015-09-04T00:00:00"/>
        <d v="2015-09-05T00:00:00"/>
        <d v="2015-09-08T00:00:00"/>
        <d v="2015-09-09T00:00:00"/>
        <d v="2015-09-10T00:00:00"/>
        <d v="2015-09-11T00:00:00"/>
        <d v="2015-09-12T00:00:00"/>
        <d v="2015-09-14T00:00:00"/>
        <d v="2015-09-15T00:00:00"/>
        <d v="2015-09-16T00:00:00"/>
        <d v="2015-09-17T00:00:00"/>
        <d v="2015-09-18T00:00:00"/>
        <d v="2015-09-19T00:00:00"/>
        <d v="2015-09-22T00:00:00"/>
        <d v="2015-09-23T00:00:00"/>
        <d v="2015-09-24T00:00:00"/>
        <d v="2015-09-25T00:00:00"/>
        <d v="2015-09-26T00:00:00"/>
        <d v="2015-09-28T00:00:00"/>
        <d v="2015-09-29T00:00:00"/>
        <d v="2015-09-30T00:00:00"/>
        <d v="2015-10-01T00:00:00"/>
        <d v="2015-10-02T00:00:00"/>
        <d v="2015-10-03T00:00:00"/>
        <d v="2015-10-06T00:00:00"/>
        <d v="2015-10-07T00:00:00"/>
        <d v="2015-10-08T00:00:00"/>
        <d v="2015-10-09T00:00:00"/>
        <d v="2015-10-10T00:00:00"/>
        <d v="2015-10-13T00:00:00"/>
        <d v="2015-10-14T00:00:00"/>
        <d v="2015-10-15T00:00:00"/>
        <d v="2015-10-16T00:00:00"/>
        <d v="2015-10-17T00:00:00"/>
        <d v="2015-10-19T00:00:00"/>
        <d v="2015-10-20T00:00:00"/>
        <d v="2015-10-21T00:00:00"/>
        <d v="2015-10-22T00:00:00"/>
        <d v="2015-10-23T00:00:00"/>
        <d v="2015-10-24T00:00:00"/>
        <d v="2015-10-26T00:00:00"/>
        <d v="2015-10-27T00:00:00"/>
        <d v="2015-10-28T00:00:00"/>
        <d v="2015-10-29T00:00:00"/>
        <d v="2015-10-30T00:00:00"/>
        <d v="2015-10-31T00:00:00"/>
        <d v="2015-11-01T00:00:00"/>
        <d v="2015-11-02T00:00:00"/>
        <d v="2015-11-03T00:00:00"/>
        <d v="2015-11-04T00:00:00"/>
        <d v="2015-11-05T00:00:00"/>
        <d v="2015-11-06T00:00:00"/>
        <d v="2015-11-07T00:00:00"/>
        <d v="2015-11-09T00:00:00"/>
        <d v="2015-11-10T00:00:00"/>
        <d v="2015-11-12T00:00:00"/>
        <d v="2015-11-13T00:00:00"/>
        <d v="2015-11-14T00:00:00"/>
        <d v="2015-11-18T00:00:00"/>
        <d v="2015-11-19T00:00:00"/>
        <d v="2015-11-20T00:00:00"/>
        <d v="2015-11-21T00:00:00"/>
        <d v="2015-11-24T00:00:00"/>
        <d v="2015-11-25T00:00:00"/>
        <d v="2015-11-26T00:00:00"/>
        <d v="2015-11-27T00:00:00"/>
        <d v="2015-11-28T00:00:00"/>
        <d v="2015-11-30T00:00:00"/>
        <d v="2015-12-01T00:00:00"/>
        <d v="2015-12-02T00:00:00"/>
        <d v="2015-12-03T00:00:00"/>
        <d v="2015-12-04T00:00:00"/>
        <d v="2015-12-05T00:00:00"/>
        <d v="2015-12-07T00:00:00"/>
        <d v="2015-12-09T00:00:00"/>
        <d v="2015-12-10T00:00:00"/>
        <d v="2015-12-11T00:00:00"/>
        <d v="2015-12-12T00:00:00"/>
        <d v="2015-12-15T00:00:00"/>
        <d v="2015-12-16T00:00:00"/>
        <d v="2015-12-17T00:00:00"/>
        <d v="2015-12-18T00:00:00"/>
        <d v="2015-12-19T00:00:00"/>
        <d v="2015-12-22T00:00:00"/>
        <d v="2015-12-23T00:00:00"/>
        <d v="2015-12-24T00:00:00"/>
        <d v="2015-12-25T00:00:00"/>
        <d v="2015-12-26T00:00:00"/>
        <d v="2015-12-28T00:00:00"/>
        <d v="2015-12-29T00:00:00"/>
        <d v="2015-12-30T00:00:00"/>
        <d v="2015-12-31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6T00:00:00"/>
        <d v="2016-01-27T00:00:00"/>
        <d v="2016-01-28T00:00:00"/>
        <d v="2016-01-29T00:00:00"/>
        <d v="2016-01-30T00:00:00"/>
        <d v="2016-02-02T00:00:00"/>
        <d v="2016-02-03T00:00:00"/>
        <d v="2016-02-04T00:00:00"/>
        <d v="2016-02-05T00:00:00"/>
        <d v="2016-02-06T00:00:00"/>
        <d v="2016-02-09T00:00:00"/>
        <d v="2016-02-10T00:00:00"/>
        <d v="2016-02-11T00:00:00"/>
        <d v="2016-02-12T00:00:00"/>
        <d v="2016-02-13T00:00:00"/>
        <d v="2016-02-14T00:00:00"/>
        <d v="2016-02-15T00:00:00"/>
        <d v="2016-02-16T00:00:00"/>
        <d v="2016-02-17T00:00:00"/>
        <d v="2016-02-18T00:00:00"/>
        <d v="2016-02-19T00:00:00"/>
        <d v="2016-02-20T00:00:00"/>
        <d v="2016-02-23T00:00:00"/>
        <d v="2016-02-24T00:00:00"/>
        <d v="2016-02-25T00:00:00"/>
        <d v="2016-02-26T00:00:00"/>
        <d v="2016-02-29T00:00:00"/>
        <d v="2016-03-01T00:00:00"/>
        <d v="2016-03-02T00:00:00"/>
        <d v="2016-03-03T00:00:00"/>
        <d v="2016-03-04T00:00:00"/>
        <d v="2016-03-05T00:00:00"/>
        <d v="2016-03-07T00:00:00"/>
        <d v="2016-03-08T00:00:00"/>
        <d v="2016-03-09T00:00:00"/>
        <d v="2016-03-10T00:00:00"/>
        <d v="2016-03-11T00:00:00"/>
        <d v="2016-03-12T00:00:00"/>
        <d v="2016-03-13T00:00:00"/>
        <d v="2016-03-14T00:00:00"/>
        <d v="2016-03-15T00:00:00"/>
        <d v="2016-03-16T00:00:00"/>
        <d v="2016-03-17T00:00:00"/>
        <d v="2016-03-18T00:00:00"/>
        <d v="2016-03-19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9T00:00:00"/>
        <d v="2016-04-20T00:00:00"/>
        <d v="2016-04-21T00:00:00"/>
        <d v="2016-04-22T00:00:00"/>
        <d v="2016-04-23T00:00:00"/>
        <d v="2016-04-26T00:00:00"/>
        <d v="2016-04-27T00:00:00"/>
        <d v="2016-04-28T00:00:00"/>
        <d v="2016-04-29T00:00:00"/>
        <d v="2016-04-30T00:00:00"/>
        <d v="2016-05-03T00:00:00"/>
        <d v="2016-05-04T00:00:00"/>
        <d v="2016-05-05T00:00:00"/>
        <d v="2016-05-06T00:00:00"/>
        <d v="2016-05-07T00:00:00"/>
        <d v="2016-05-11T00:00:00"/>
        <d v="2016-05-12T00:00:00"/>
        <d v="2016-05-13T00:00:00"/>
        <d v="2016-05-14T00:00:00"/>
        <d v="2016-05-15T00:00:00"/>
        <d v="2016-05-17T00:00:00"/>
        <d v="2016-05-18T00:00:00"/>
        <d v="2016-05-19T00:00:00"/>
        <d v="2016-05-21T00:00:00"/>
        <d v="2016-05-24T00:00:00"/>
        <d v="2016-05-25T00:00:00"/>
        <d v="2016-05-26T00:00:00"/>
        <d v="2016-05-28T00:00:00"/>
        <d v="2016-05-31T00:00:00"/>
        <d v="2016-06-01T00:00:00"/>
        <d v="2016-06-02T00:00:00"/>
        <d v="2016-06-03T00:00:00"/>
        <d v="2016-06-04T00:00:00"/>
        <d v="2016-06-08T00:00:00"/>
        <d v="2016-06-09T00:00:00"/>
        <d v="2016-06-10T00:00:00"/>
        <d v="2016-06-11T00:00:00"/>
        <d v="2016-06-13T00:00:00"/>
        <d v="2016-06-14T00:00:00"/>
        <d v="2016-06-15T00:00:00"/>
        <d v="2016-06-16T00:00:00"/>
        <d v="2016-06-17T00:00:00"/>
        <d v="2016-06-18T00:00:00"/>
        <d v="2016-06-20T00:00:00"/>
        <d v="2016-06-21T00:00:00"/>
        <d v="2016-06-22T00:00:00"/>
        <d v="2016-06-23T00:00:00"/>
        <d v="2016-06-24T00:00:00"/>
        <d v="2016-06-25T00:00:00"/>
        <d v="2016-06-27T00:00:00"/>
        <d v="2016-06-28T00:00:00"/>
        <d v="2016-06-29T00:00:00"/>
        <d v="2016-06-30T00:00:00"/>
        <d v="2016-07-01T00:00:00"/>
        <d v="2016-07-02T00:00:00"/>
        <d v="2016-07-06T00:00:00"/>
        <d v="2016-07-07T00:00:00"/>
        <d v="2016-07-08T00:00:00"/>
        <d v="2016-07-09T00:00:00"/>
        <d v="2016-07-10T00:00:00"/>
        <d v="2016-07-12T00:00:00"/>
        <d v="2016-07-13T00:00:00"/>
        <d v="2016-07-14T00:00:00"/>
        <d v="2016-07-15T00:00:00"/>
        <d v="2016-07-16T00:00:00"/>
        <d v="2016-07-19T00:00:00"/>
        <d v="2016-07-21T00:00:00"/>
        <d v="2016-07-22T00:00:00"/>
        <d v="2016-07-23T00:00:00"/>
        <d v="2016-07-26T00:00:00"/>
        <d v="2016-07-27T00:00:00"/>
        <d v="2016-07-28T00:00:00"/>
        <d v="2016-07-29T00:00:00"/>
        <d v="2016-07-30T00:00:00"/>
        <d v="2016-08-01T00:00:00"/>
        <d v="2016-08-02T00:00:00"/>
        <d v="2016-08-03T00:00:00"/>
        <d v="2016-08-04T00:00:00"/>
        <d v="2016-08-05T00:00:00"/>
        <d v="2016-08-06T00:00:00"/>
        <d v="2016-08-08T00:00:00"/>
        <d v="2016-08-09T00:00:00"/>
        <d v="2016-08-10T00:00:00"/>
        <d v="2016-08-11T00:00:00"/>
        <d v="2016-08-12T00:00:00"/>
        <d v="2016-08-13T00:00:00"/>
        <d v="2016-08-16T00:00:00"/>
        <d v="2016-08-17T00:00:00"/>
        <d v="2016-08-18T00:00:00"/>
        <d v="2016-08-19T00:00:00"/>
        <d v="2016-08-20T00:00:00"/>
        <d v="2016-08-22T00:00:00"/>
        <d v="2016-08-23T00:00:00"/>
        <d v="2016-08-24T00:00:00"/>
        <d v="2016-08-25T00:00:00"/>
        <d v="2016-08-26T00:00:00"/>
        <d v="2016-08-27T00:00:00"/>
        <d v="2016-08-29T00:00:00"/>
        <d v="2016-08-30T00:00:00"/>
        <d v="2016-08-31T00:00:00"/>
        <d v="2016-09-01T00:00:00"/>
        <d v="2016-09-02T00:00:00"/>
        <d v="2016-09-03T00:00:00"/>
        <d v="2016-09-05T00:00:00"/>
        <d v="2016-09-06T00:00:00"/>
        <d v="2016-09-07T00:00:00"/>
        <d v="2016-09-08T00:00:00"/>
        <d v="2016-09-09T00:00:00"/>
        <d v="2016-09-10T00:00:00"/>
        <d v="2016-09-12T00:00:00"/>
        <d v="2016-09-13T00:00:00"/>
        <d v="2016-09-14T00:00:00"/>
        <d v="2016-09-15T00:00:00"/>
        <d v="2016-09-16T00:00:00"/>
        <d v="2016-09-17T00:00:00"/>
        <d v="2016-09-19T00:00:00"/>
        <d v="2016-09-20T00:00:00"/>
        <d v="2016-09-21T00:00:00"/>
        <d v="2016-09-22T00:00:00"/>
        <d v="2016-09-23T00:00:00"/>
        <d v="2016-09-24T00:00:00"/>
        <d v="2016-09-28T00:00:00"/>
        <d v="2016-09-30T00:00:00"/>
        <d v="2016-10-01T00:00:00"/>
        <d v="2016-10-06T00:00:00"/>
        <d v="2016-10-08T00:00:00"/>
        <d v="2016-10-07T00:00:00"/>
        <d v="2016-10-12T00:00:00"/>
        <d v="2016-10-14T00:00:00"/>
        <d v="2016-10-18T00:00:00"/>
        <d v="2016-10-20T00:00:00"/>
        <d v="2016-10-21T00:00:00"/>
        <d v="2016-10-22T00:00:00"/>
        <d v="2016-10-25T00:00:00"/>
        <d v="2016-10-28T00:00:00"/>
        <d v="2016-11-01T00:00:00"/>
        <d v="2016-11-03T00:00:00"/>
        <d v="2016-11-05T00:00:00"/>
        <d v="2016-11-11T00:00:00"/>
        <d v="2016-11-16T00:00:00"/>
        <d v="2016-11-18T00:00:00"/>
        <d v="2016-11-19T00:00:00"/>
        <d v="2016-11-23T00:00:00"/>
        <d v="2016-11-25T00:00:00"/>
        <d v="2016-11-26T00:00:00"/>
        <d v="2016-11-29T00:00:00"/>
        <d v="2016-11-30T00:00:00"/>
        <d v="2016-12-02T00:00:00"/>
        <d v="2016-12-06T00:00:00"/>
        <d v="2016-12-09T00:00:00"/>
        <d v="2016-12-10T00:00:00"/>
        <d v="2016-12-13T00:00:00"/>
        <d v="2016-12-14T00:00:00"/>
        <d v="2016-12-15T00:00:00"/>
        <d v="2016-12-16T00:00:00"/>
        <d v="2016-12-17T00:00:00"/>
        <d v="2017-01-04T00:00:00"/>
        <d v="2017-01-05T00:00:00"/>
        <d v="2017-01-06T00:00:00"/>
        <d v="2017-01-07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8T00:00:00"/>
        <d v="2017-04-19T00:00:00"/>
        <d v="2017-04-20T00:00:00"/>
        <d v="2017-04-21T00:00:00"/>
        <d v="2017-04-22T00:00:00"/>
        <d v="2017-04-23T00:00:00"/>
        <d v="2017-04-25T00:00:00"/>
        <d v="2017-04-26T00:00:00"/>
        <d v="2017-04-27T00:00:00"/>
        <d v="2017-04-28T00:00:00"/>
        <d v="2017-04-29T00:00:00"/>
        <d v="2017-04-30T00:00:00"/>
        <d v="2017-05-01T00:00:00"/>
        <d v="2017-05-02T00:00:00"/>
        <d v="2017-05-03T00:00:00"/>
        <d v="2017-05-04T00:00:00"/>
        <d v="2017-05-05T00:00:00"/>
        <d v="2017-05-06T00:00:00"/>
        <d v="2017-05-09T00:00:00"/>
        <d v="2017-05-10T00:00:00"/>
        <d v="2017-05-11T00:00:00"/>
        <d v="2017-05-12T00:00:00"/>
        <d v="2017-05-13T00:00:00"/>
        <d v="2017-05-15T00:00:00"/>
        <d v="2017-05-16T00:00:00"/>
        <d v="2017-05-17T00:00:00"/>
        <d v="2017-05-18T00:00:00"/>
        <d v="2017-05-19T00:00:00"/>
        <d v="2017-05-20T00:00:00"/>
        <d v="2017-05-22T00:00:00"/>
        <d v="2017-05-23T00:00:00"/>
        <d v="2017-05-24T00:00:00"/>
        <d v="2017-05-25T00:00:00"/>
        <d v="2017-05-26T00:00:00"/>
        <d v="2017-05-27T00:00:00"/>
        <d v="2017-05-28T00:00:00"/>
        <d v="2017-05-30T00:00:00"/>
        <d v="2017-05-31T00:00:00"/>
        <d v="2017-06-01T00:00:00"/>
        <d v="2017-06-02T00:00:00"/>
        <d v="2017-06-03T00:00:00"/>
        <d v="2017-06-05T00:00:00"/>
        <d v="2017-06-06T00:00:00"/>
        <d v="2017-06-07T00:00:00"/>
        <d v="2017-06-08T00:00:00"/>
        <d v="2017-06-09T00:00:00"/>
        <d v="2017-06-10T00:00:00"/>
        <d v="2017-06-13T00:00:00"/>
        <d v="2017-06-14T00:00:00"/>
        <d v="2017-06-15T00:00:00"/>
        <d v="2017-06-16T00:00:00"/>
        <d v="2017-06-17T00:00:00"/>
        <d v="2017-06-21T00:00:00"/>
        <d v="2017-06-23T00:00:00"/>
        <d v="2017-06-24T00:00:00"/>
        <d v="2017-06-27T00:00:00"/>
        <d v="2017-06-28T00:00:00"/>
        <d v="2017-06-29T00:00:00"/>
        <d v="2017-06-30T00:00:00"/>
        <d v="2017-07-01T00:00:00"/>
        <d v="2017-07-02T00:00:00"/>
        <d v="2017-07-05T00:00:00"/>
        <d v="2017-07-06T00:00:00"/>
        <d v="2017-07-07T00:00:00"/>
        <d v="2017-07-08T00:00:00"/>
        <d v="2017-07-11T00:00:00"/>
        <d v="2017-07-13T00:00:00"/>
        <d v="2017-07-14T00:00:00"/>
        <d v="2017-07-15T00:00:00"/>
        <d v="2017-07-17T00:00:00"/>
        <d v="2017-07-18T00:00:00"/>
        <d v="2017-07-19T00:00:00"/>
        <d v="2017-07-21T00:00:00"/>
        <d v="2017-07-22T00:00:00"/>
        <d v="2017-07-26T00:00:00"/>
        <d v="2017-07-27T00:00:00"/>
        <d v="2017-07-28T00:00:00"/>
        <d v="2017-07-29T00:00:00"/>
        <d v="2017-07-31T00:00:00"/>
        <d v="2017-08-01T00:00:00"/>
        <d v="2017-08-02T00:00:00"/>
        <d v="2017-08-03T00:00:00"/>
        <d v="2017-08-04T00:00:00"/>
        <d v="2017-08-10T00:00:00"/>
        <d v="2017-08-11T00:00:00"/>
        <d v="2017-08-12T00:00:00"/>
        <d v="2017-08-14T00:00:00"/>
        <d v="2017-08-15T00:00:00"/>
        <d v="2017-08-16T00:00:00"/>
        <d v="2017-08-17T00:00:00"/>
        <d v="2017-08-18T00:00:00"/>
        <d v="2017-08-19T00:00:00"/>
        <d v="2017-08-22T00:00:00"/>
        <d v="2017-08-23T00:00:00"/>
        <d v="2017-08-24T00:00:00"/>
        <d v="2017-08-25T00:00:00"/>
        <d v="2017-08-26T00:00:00"/>
        <d v="2017-08-28T00:00:00"/>
        <d v="2017-08-29T00:00:00"/>
        <d v="2017-08-30T00:00:00"/>
        <d v="2017-08-31T00:00:00"/>
        <d v="2017-09-01T00:00:00"/>
        <d v="2017-09-02T00:00:00"/>
        <d v="2017-09-04T00:00:00"/>
        <d v="2017-09-05T00:00:00"/>
        <d v="2017-09-06T00:00:00"/>
        <d v="2017-09-07T00:00:00"/>
        <d v="2017-09-08T00:00:00"/>
        <d v="2017-09-09T00:00:00"/>
        <d v="2017-09-12T00:00:00"/>
        <d v="2017-09-13T00:00:00"/>
        <d v="2017-09-14T00:00:00"/>
        <d v="2017-09-16T00:00:00"/>
        <d v="2017-09-18T00:00:00"/>
        <d v="2017-09-19T00:00:00"/>
        <d v="2017-09-20T00:00:00"/>
        <d v="2017-09-21T00:00:00"/>
        <d v="2017-09-22T00:00:00"/>
        <d v="2017-09-23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9T00:00:00"/>
        <d v="2017-10-20T00:00:00"/>
        <d v="2017-10-21T00:00:00"/>
        <d v="2017-10-23T00:00:00"/>
        <d v="2017-10-24T00:00:00"/>
        <d v="2017-10-25T00:00:00"/>
        <d v="2017-10-26T00:00:00"/>
        <d v="2017-10-27T00:00:00"/>
        <d v="2017-10-28T00:00:00"/>
        <d v="2017-10-30T00:00:00"/>
        <d v="2017-10-31T00:00:00"/>
        <d v="2017-11-01T00:00:00"/>
        <d v="2017-11-02T00:00:00"/>
        <d v="2017-11-03T00:00:00"/>
        <d v="2017-11-04T00:00:00"/>
        <d v="2017-11-07T00:00:00"/>
        <d v="2017-11-08T00:00:00"/>
        <d v="2017-11-09T00:00:00"/>
      </sharedItems>
      <fieldGroup par="13" base="0">
        <rangePr groupBy="months" startDate="2014-07-01T00:00:00" endDate="2017-11-10T00:00:00"/>
        <groupItems count="14">
          <s v="&lt;1/07/2014"/>
          <s v="ene"/>
          <s v="feb"/>
          <s v="mar"/>
          <s v="abr"/>
          <s v="may"/>
          <s v="jun"/>
          <s v="jul"/>
          <s v="ago"/>
          <s v="sept"/>
          <s v="oct"/>
          <s v="nov"/>
          <s v="dic"/>
          <s v="&gt;10/11/2017"/>
        </groupItems>
      </fieldGroup>
    </cacheField>
    <cacheField name="AÑO" numFmtId="1">
      <sharedItems containsSemiMixedTypes="0" containsString="0" containsNumber="1" containsInteger="1" minValue="2001" maxValue="2017" count="6">
        <n v="2014"/>
        <n v="2015"/>
        <n v="2016"/>
        <n v="2017"/>
        <n v="2001" u="1"/>
        <n v="2013" u="1"/>
      </sharedItems>
    </cacheField>
    <cacheField name="MES" numFmtId="1">
      <sharedItems containsSemiMixedTypes="0" containsString="0" containsNumber="1" containsInteger="1" minValue="1" maxValue="12" count="12">
        <n v="7"/>
        <n v="8"/>
        <n v="9"/>
        <n v="10"/>
        <n v="11"/>
        <n v="12"/>
        <n v="1"/>
        <n v="2"/>
        <n v="3"/>
        <n v="4"/>
        <n v="5"/>
        <n v="6"/>
      </sharedItems>
    </cacheField>
    <cacheField name="HORA INICIO" numFmtId="0">
      <sharedItems containsNonDate="0" containsDate="1" containsString="0" containsBlank="1" minDate="1899-12-30T00:00:00" maxDate="1899-12-31T00:48:00"/>
    </cacheField>
    <cacheField name="HORA FINAL" numFmtId="0">
      <sharedItems containsNonDate="0" containsDate="1" containsString="0" containsBlank="1" minDate="1899-12-30T00:10:00" maxDate="1900-01-24T00:00:00"/>
    </cacheField>
    <cacheField name="DURACIÓN (h)" numFmtId="2">
      <sharedItems containsSemiMixedTypes="0" containsString="0" containsNumber="1" minValue="0" maxValue="17.983333333333334"/>
    </cacheField>
    <cacheField name="CLASE" numFmtId="0">
      <sharedItems containsBlank="1" count="4">
        <s v="No programada"/>
        <s v="Programada"/>
        <m u="1"/>
        <s v="," u="1"/>
      </sharedItems>
    </cacheField>
    <cacheField name="TIPO I" numFmtId="0">
      <sharedItems containsBlank="1" count="11">
        <s v="Por mantenimiento"/>
        <s v="Operativa"/>
        <s v="Programada"/>
        <s v="Externa"/>
        <s v="Operativa "/>
        <s v="Externa "/>
        <m u="1"/>
        <s v="Otra" u="1"/>
        <s v="No programada" u="1"/>
        <s v="," u="1"/>
        <s v="Arranque" u="1"/>
      </sharedItems>
    </cacheField>
    <cacheField name="TIPO II" numFmtId="0">
      <sharedItems containsBlank="1"/>
    </cacheField>
    <cacheField name="SECCIÓN" numFmtId="0">
      <sharedItems/>
    </cacheField>
    <cacheField name="EQUIPO" numFmtId="0">
      <sharedItems containsBlank="1" count="351">
        <s v="Transportador de torta"/>
        <s v="Transportador sinfín alimentador a elevador de fruto "/>
        <s v="Tambor desfrutador "/>
        <s v="Tanque aceite humedo"/>
        <s v="Falta de fruto esterilizado"/>
        <s v="Planta general"/>
        <s v="Elevador de nuez humeda "/>
        <s v="Redler principal de fruta fresca"/>
        <s v="Elevador de fruto "/>
        <s v="Transportador sinfín fibras alimentacion a caldera"/>
        <s v="Tanque alimentacion lodos centrifugas"/>
        <s v="Tamiz DE CRUDO 1"/>
        <s v="Tambor de Volteo"/>
        <s v="Prensa 1"/>
        <s v="Redler de fruta esterelizada N°1"/>
        <s v="Puente movil linea N°1"/>
        <s v="Centrifuga 1"/>
        <s v="Redler transversal a fracturadora de racimos "/>
        <s v="Redler de fruta esterelizada N°2"/>
        <s v="Transportador sinfín bajo desfrutador "/>
        <s v="Bomba desarenadora 1"/>
        <s v="Transportador sinfín nuez humeda a silo de secado"/>
        <s v="Caldera VR 16 "/>
        <s v="Vagoneta N°1"/>
        <s v="Ventilador inyeccion de fibras"/>
        <s v="Unidad hidraulica linea N°1"/>
        <s v="Tablero de control y automatizacion esterilizacion"/>
        <s v="Transportador sinfín de afrecho"/>
        <s v="Transportador sinfín distribuidor de fruto "/>
        <s v="Fracturadora de racimos "/>
        <s v="Valvula modulante de agua retorno a desaireador "/>
        <s v="Transportador sinfín retorno de fruta"/>
        <s v="Autoclave N°2"/>
        <s v="Bomba aceite terminado"/>
        <s v="Compresor caldera"/>
        <s v="Filtros cepillos N°1"/>
        <s v="Tolvas de pesaje de fruto N°1"/>
        <s v="Ciclon desarenador simplex"/>
        <s v="Unidad hidraulica prensa 1"/>
        <s v="Bomba lodos preclarificador"/>
        <s v="Tanque distribuidor de calor "/>
        <s v="Ciclon desarenador duplex"/>
        <s v="Bomba reservorio a suavizadores N°1"/>
        <s v="Tanque lodos preclarificador"/>
        <s v="Vagoneta N°2"/>
        <s v="Secador de vacio"/>
        <s v="Esclusa de fibras "/>
        <s v="Bomba bocatoma N°1"/>
        <s v="Centrifuga 2"/>
        <s v="Bomba aceite humedo"/>
        <s v="Transportador de banda para raquis "/>
        <s v="Planta electrica"/>
        <s v="Autoclave N°1"/>
        <s v="Bomba agua clarificada"/>
        <s v="Elevador de nuez seca "/>
        <s v="Tamiz lodos"/>
        <s v="Redler a tolva de pesaje "/>
        <s v="Digestor 1"/>
        <s v="Indexer N° 1"/>
        <s v="Valvula modulante de agua caldera "/>
        <s v="Clarificador"/>
        <s v="Transportador sinfín fibras bajo ciclones "/>
        <s v="Moto reductor elevador de nuez seca "/>
        <s v="Unidad hidraulica linea N°2"/>
        <s v="Ciclon de fibras"/>
        <s v="Tanque de agua caliente "/>
        <s v="Ventilador tiro inducido"/>
        <s v="Vagoneta N°3"/>
        <s v="Indexer N° 3"/>
        <s v="Tableros electricos"/>
        <s v="Moto reductor transportador de torta"/>
        <s v="Tanque elevado "/>
        <s v="Tambor pulidor "/>
        <s v="Indexer N° 4"/>
        <s v="Bomba tanque elevado"/>
        <s v="Suavizador N° 2"/>
        <s v="Redler retorno de fibras (caldera)"/>
        <s v="Bomba alimentacion de agua a caldera N°2"/>
        <s v="Tolva de fruto esterelizado N°1"/>
        <s v="Parrilla viajera caldera"/>
        <s v="Centrifuga 3"/>
        <s v="Ventilador aire primario "/>
        <s v="Digestor 2"/>
        <s v="Tanque reservorio"/>
        <s v="Unidad hidraulica prensa 2"/>
        <s v="Indexer N° 2"/>
        <s v="Prensa 2"/>
        <s v="Bomba aceite preclarificador"/>
        <s v="Bomba lodos a Florentinos"/>
        <s v="Tanque condensados dilución"/>
        <s v="Bomba transferencia"/>
        <s v="Bomba recuperado centrifugas"/>
        <s v="Tolvas de pesaje de fruto N°2"/>
        <s v="Silo secado de nuez "/>
        <s v="Prensa de tusas KH -777"/>
        <s v="Tanque desaireador"/>
        <s v="Compresor esterilización"/>
        <s v="Transportador sinfín fibras inclinado"/>
        <s v="Columna neumatica de fibras"/>
        <s v="Bomba prensa de tusas"/>
        <s v="Tamiz DE CRUDO 2"/>
        <s v="Redler transversal de fruta esterilizada "/>
        <s v="Vagoneta N°4"/>
        <s v="Unidad hidraulica tolva de pesaje y tolva de fruto esterelizado N°1"/>
        <s v="Bomba alimentacion de agua a caldera N°1"/>
        <s v="Tamiz de lodos"/>
        <s v="Cámaras de video"/>
        <s v="Filtros cepillos N°2"/>
        <s v="Moto reductor prensa SP-15"/>
        <s v="Colector licor de prensa"/>
        <s v="Bomba condensados N° 2"/>
        <s v="Vagoneta #2" u="1"/>
        <s v="Indexer linea 2" u="1"/>
        <s v="Redler a Fracturadora" u="1"/>
        <s v="esterilizacion linea 2" u="1"/>
        <s v="Ventilador de tiro inducido" u="1"/>
        <s v="Válvula modulante distribuidor" u="1"/>
        <m u="1"/>
        <s v="Digestor 2 " u="1"/>
        <s v="Redler nuez" u="1"/>
        <s v="Esclusa fibras" u="1"/>
        <s v="Bomba aceite húmedo" u="1"/>
        <s v="Bomba de aceite humedo" u="1"/>
        <s v="Bomba de aceite del pre" u="1"/>
        <s v="Prensa P-15" u="1"/>
        <s v="Tuberia de lodos" u="1"/>
        <s v="Columna desfibrado" u="1"/>
        <s v="Tk de lodo del pre" u="1"/>
        <s v="Colector Pepa suelta Redler 1" u="1"/>
        <s v="AutoclaveNo.2" u="1"/>
        <s v="Motor Rompetorta" u="1"/>
        <s v="Redler alimentra tolvaa" u="1"/>
        <s v="tanque de agua caliente" u="1"/>
        <s v="Digestor" u="1"/>
        <s v="linea #2" u="1"/>
        <s v="Suavizador No.2" u="1"/>
        <s v="Redler # 1" u="1"/>
        <s v="Tolvas de pesaje" u="1"/>
        <s v="Prensa de tusa" u="1"/>
        <s v="Tamiz de licor prensa" u="1"/>
        <s v="Ducto alimeta desfrutador" u="1"/>
        <s v="Limpieza parrilla caldera" u="1"/>
        <s v="Transportador de fibra# 2" u="1"/>
        <s v="Sinfín de nuez humeda a silo" u="1"/>
        <s v="otra" u="1"/>
        <s v="Vagoneta #3" u="1"/>
        <s v="Valvula distribuidor" u="1"/>
        <s v="Bomba de agua lodosa" u="1"/>
        <s v="Prensa P15" u="1"/>
        <s v="parrilla caldera" u="1"/>
        <s v="Elevador nueces secas" u="1"/>
        <s v="Caldera" u="1"/>
        <s v="Redler # 2" u="1"/>
        <s v="Fluído eléctrico" u="1"/>
        <s v="Bomba de florentinos " u="1"/>
        <s v="Mesa de Volteo" u="1"/>
        <s v="Tuberia de aceite " u="1"/>
        <s v="bomba a florentinos" u="1"/>
        <s v="Planta " u="1"/>
        <s v="Tambor volteo #1" u="1"/>
        <s v="Transportador torta" u="1"/>
        <s v="parrila viajera fuera de servicio, caldera en limpieza " u="1"/>
        <s v="Prensa #2" u="1"/>
        <s v="Linea 34,5 kv" u="1"/>
        <s v="Exclusa de fibra" u="1"/>
        <s v="Compresor de la caldera" u="1"/>
        <s v="Transportador de fruto bajo desfrutador" u="1"/>
        <s v="Tuberia licor de prensa" u="1"/>
        <s v="Tamiz licor prensa" u="1"/>
        <s v="unidad hidraulica P15" u="1"/>
        <s v="Parrilla viajera" u="1"/>
        <s v="Inicio de prensado" u="1"/>
        <s v="Vagoneta" u="1"/>
        <s v="Automatizacion" u="1"/>
        <s v="Redler No.1 y No.2" u="1"/>
        <s v="Ducto de alimentación" u="1"/>
        <s v="Bomba de lodos preclarificador" u="1"/>
        <s v="Sinfín de alimentacion a elevador " u="1"/>
        <s v="Sinfín retorno caldera" u="1"/>
        <s v="Centrífugas" u="1"/>
        <s v="Taponamiento fracturadora" u="1"/>
        <s v="Sinfín alimentación a desfrutador" u="1"/>
        <s v="Redler #2" u="1"/>
        <s v="Autoclave # 1" u="1"/>
        <s v="Sinfín de retorno" u="1"/>
        <s v="Falla en redler #1" u="1"/>
        <s v="Tableros eléctricos" u="1"/>
        <s v="parrilla fuera de servico se hace limpieza" u="1"/>
        <s v="planta" u="1"/>
        <s v="Preclarificador" u="1"/>
        <s v="Sinfín a elevador " u="1"/>
        <s v="Tuberias de aceite humedo" u="1"/>
        <s v="Vagoneta " u="1"/>
        <s v="Centrifuga" u="1"/>
        <s v="Deaireador" u="1"/>
        <s v="Planta eléctrica" u="1"/>
        <s v="Bomba prensa tusa" u="1"/>
        <s v="Tambor volteo #2" u="1"/>
        <s v="Tolva dosificación" u="1"/>
        <s v="Elevador" u="1"/>
        <s v="Redler de fracturadora" u="1"/>
        <s v="Transportador a elevador de fruto" u="1"/>
        <s v="Transportador de fruto hacia elevador" u="1"/>
        <s v="Centrífuga #1" u="1"/>
        <s v="Ciclon de fibra" u="1"/>
        <s v="Sinfín rompetorta" u="1"/>
        <s v="Transportador de nuez húmeda" u="1"/>
        <s v="Planta en General" u="1"/>
        <s v="Redler Fracturadora" u="1"/>
        <s v="Tanque pulmon de lodos" u="1"/>
        <s v="Tamiz" u="1"/>
        <s v="Mtto programado" u="1"/>
        <s v="Terninacion de proceso" u="1"/>
        <s v="Centrífuga 3" u="1"/>
        <s v="Filtro cepillo #1" u="1"/>
        <s v="Bomba de suavizadores " u="1"/>
        <s v="Compresor esterilizacion" u="1"/>
        <s v="Falta de fruta esterilizado" u="1"/>
        <s v="Redler caldera" u="1"/>
        <s v="Ciclon desarenador 1" u="1"/>
        <s v="ventilador aire primario" u="1"/>
        <s v="transportador bajo ciclones" u="1"/>
        <s v="Bomba de lodos del preclarificador" u="1"/>
        <s v="Proceso" u="1"/>
        <s v="Prensa #1" u="1"/>
        <s v="Ampliación" u="1"/>
        <s v="Tambor volteo" u="1"/>
        <s v="Desarenador N°2" u="1"/>
        <s v="Sin fin bajo desfrutador" u="1"/>
        <s v="Prensa tusas " u="1"/>
        <s v="Filtros cepillo" u="1"/>
        <s v="Bomba de clarificador de agua" u="1"/>
        <s v="Reservorio" u="1"/>
        <s v="procesos planta" u="1"/>
        <s v="Transportador rompedor de torta" u="1"/>
        <s v="Transformador red publica" u="1"/>
        <s v="Redler de fruto esterilizado #1" u="1"/>
        <s v="Sinfín de fibra" u="1"/>
        <s v="Tanque de lodos" u="1"/>
        <s v="Ducto de alimentación a caldera" u="1"/>
        <s v="Redler Principal" u="1"/>
        <s v="Distribuidor de vapor" u="1"/>
        <s v="Hidrociclon desarenador" u="1"/>
        <s v="," u="1"/>
        <s v="Arranca" u="1"/>
        <s v="Indexer" u="1"/>
        <s v="Silo de nuez " u="1"/>
        <s v="Esterilizador N° 1" u="1"/>
        <s v="Automático Tanque Elevado" u="1"/>
        <s v="Centrifuga #3" u="1"/>
        <s v="Transportador de fibra# 3 " u="1"/>
        <s v="Indexer #1" u="1"/>
        <s v="Tablero de control" u="1"/>
        <s v="válvula desarenadora" u="1"/>
        <s v="Bomba de aceite seco " u="1"/>
        <s v="Unidad hidraulica prensa P15" u="1"/>
        <s v="Unidad hidraulica de la autoclave N°1" u="1"/>
        <s v="Redler #1" u="1"/>
        <s v="clarificacion" u="1"/>
        <s v="Bomba bocatoma" u="1"/>
        <s v="Sinfín a caldera" u="1"/>
        <s v="Tuberia aceite terminado" u="1"/>
        <s v="Unidad hidraulica de la autoclave N°2" u="1"/>
        <s v="AutoclaveNo.1" u="1"/>
        <s v="Falta de fruta" u="1"/>
        <s v="Transportador de fibra" u="1"/>
        <s v="Bomba de agua suavizada" u="1"/>
        <s v="Bomba alimentacion caldera" u="1"/>
        <s v="Redler  de fruto esterilizado #2 " u="1"/>
        <s v="Bomba de efluentes" u="1"/>
        <s v="linea 1" u="1"/>
        <s v="Tuberia " u="1"/>
        <s v="Banda de tusa" u="1"/>
        <s v="Centrifuga # 1" u="1"/>
        <s v="Sinfín bajo desfrutador" u="1"/>
        <s v="Unidad de la tolva No.1 " u="1"/>
        <s v="Redler " u="1"/>
        <s v="cenipalma" u="1"/>
        <s v="indexer #1 , 2 ,3 ,4" u="1"/>
        <s v="Indexer #2" u="1"/>
        <s v="Autoclave # 2" u="1"/>
        <s v="Redler transversal" u="1"/>
        <s v="Redler alimentra fracturadora" u="1"/>
        <s v="Arranque" u="1"/>
        <s v="Banda de raquis" u="1"/>
        <s v="Transportador distribuidor" u="1"/>
        <s v="centrifugas" u="1"/>
        <s v="Fracturadora RFF" u="1"/>
        <s v="redler alimenta tolvas" u="1"/>
        <s v="Pajarita" u="1"/>
        <s v="Elevador de nueces" u="1"/>
        <s v="Ventilador de fibra" u="1"/>
        <s v="digestor #2" u="1"/>
        <s v="Planta de emergencia" u="1"/>
        <s v="Compresor" u="1"/>
        <s v="Redler Tolvas" u="1"/>
        <s v="Bomba desarenador" u="1"/>
        <s v="Sinfín hacia el elevador" u="1"/>
        <s v="Indexer #3" u="1"/>
        <s v="Centrifuga  3" u="1"/>
        <s v="Tanque pulmon" u="1"/>
        <s v="vagoneta linea 2" u="1"/>
        <s v="vagoneta de 12 ton" u="1"/>
        <s v="Banda transportadora" u="1"/>
        <s v="Sinfín distribuidor fruto" u="1"/>
        <s v="Unidad hidraulica Prensa P15 #2" u="1"/>
        <s v="Centrífuga #2" u="1"/>
        <s v="Válvula distribuidor" u="1"/>
        <s v="Sinfín de afrecho tamiz licor prensa" u="1"/>
        <s v="Bomba de lodos al ciclon desarenador N°1" u="1"/>
        <s v="Arranque " u="1"/>
        <s v="Tanque condensados" u="1"/>
        <s v="Válvula alivio distribuidor" u="1"/>
        <s v="Rompetorta" u="1"/>
        <s v="Tanque agua caliente" u="1"/>
        <s v="Redler 2" u="1"/>
        <s v="Centrifuga #1" u="1"/>
        <s v="Puente Autoclave #1" u="1"/>
        <s v="Bomba de recuperados de centrifugas" u="1"/>
        <s v="Ninguno" u="1"/>
        <s v="Tambor pulidor" u="1"/>
        <s v="Redler" u="1"/>
        <s v="Indexer #4" u="1"/>
        <s v="Vagoneta #1" u="1"/>
        <s v="Bomba de aceite húmedo" u="1"/>
        <s v="Falta de Fruta en planta" u="1"/>
        <s v="Variador desfrutador" u="1"/>
        <s v="unidad hidraulica prensa" u="1"/>
        <s v="Sin fin q alimenta digestor" u="1"/>
        <s v="Sinfín alimentacion caldera" u="1"/>
        <s v="Bomba alimentacion de agua #2" u="1"/>
        <s v="Tolva de fruto esterilizado linea #1" u="1"/>
        <s v="Elevador de fruto" u="1"/>
        <s v="ciclon desarenador 2" u="1"/>
        <s v="Bomba de transferencia " u="1"/>
        <s v="Elevador nueces humedas" u="1"/>
        <s v="Redler Transversal de fruto crudo" u="1"/>
        <s v="externa" u="1"/>
        <s v="Desfrutador" u="1"/>
        <s v="Digestor 1 " u="1"/>
        <s v="sinfin de afrecho" u="1"/>
        <s v="Sinfín de afrecho" u="1"/>
        <s v="Tableros de barrajes" u="1"/>
        <s v="motor del elevador de nuez" u="1"/>
        <s v="Redler Transversal de fruto cocido" u="1"/>
        <s v="centrífuga" u="1"/>
        <s v="Sinfín a digestor" u="1"/>
        <s v="Tableros control esterilización" u="1"/>
        <s v="Transportador de fibra bajo ciclones" u="1"/>
        <s v="Redler de la caldera" u="1"/>
        <s v="Tuberia de desarenados a tanque  de lodos" u="1"/>
      </sharedItems>
    </cacheField>
    <cacheField name="DESCRIPCIÓN" numFmtId="0">
      <sharedItems containsBlank="1" longText="1"/>
    </cacheField>
    <cacheField name="Trimestres" numFmtId="0" databaseField="0">
      <fieldGroup base="0">
        <rangePr groupBy="quarters" startDate="2014-07-01T00:00:00" endDate="2017-11-10T00:00:00"/>
        <groupItems count="6">
          <s v="&lt;1/07/2014"/>
          <s v="Trim.1"/>
          <s v="Trim.2"/>
          <s v="Trim.3"/>
          <s v="Trim.4"/>
          <s v="&gt;10/11/2017"/>
        </groupItems>
      </fieldGroup>
    </cacheField>
    <cacheField name="Años" numFmtId="0" databaseField="0">
      <fieldGroup base="0">
        <rangePr groupBy="years" startDate="2014-07-01T00:00:00" endDate="2017-11-10T00:00:00"/>
        <groupItems count="6">
          <s v="&lt;1/07/2014"/>
          <s v="2014"/>
          <s v="2015"/>
          <s v="2016"/>
          <s v="2017"/>
          <s v="&gt;10/11/2017"/>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lanner de Mtto" refreshedDate="46205.384914930553" createdVersion="7" refreshedVersion="8" minRefreshableVersion="3" recordCount="540" xr:uid="{0FDF6535-F8B2-472E-BCBE-53612CB8B25D}">
  <cacheSource type="worksheet">
    <worksheetSource name="Tabla13"/>
  </cacheSource>
  <cacheFields count="12">
    <cacheField name="Fecha" numFmtId="14">
      <sharedItems containsNonDate="0" containsDate="1" containsString="0" containsBlank="1" minDate="2025-10-07T00:00:00" maxDate="2026-07-01T00:00:00" count="229">
        <d v="2025-10-07T00:00:00"/>
        <d v="2025-10-08T00:00:00"/>
        <d v="2025-10-09T00:00:00"/>
        <d v="2025-10-10T00:00:00"/>
        <d v="2025-10-11T00:00:00"/>
        <d v="2025-10-14T00:00:00"/>
        <d v="2025-10-15T00:00:00"/>
        <d v="2025-10-16T00:00:00"/>
        <d v="2025-10-17T00:00:00"/>
        <d v="2025-10-18T00:00:00"/>
        <d v="2025-10-19T00:00:00"/>
        <d v="2025-10-21T00:00:00"/>
        <d v="2025-10-22T00:00:00"/>
        <d v="2025-10-23T00:00:00"/>
        <d v="2025-10-24T00:00:00"/>
        <d v="2025-10-25T00:00:00"/>
        <d v="2025-10-26T00:00:00"/>
        <d v="2025-10-27T00:00:00"/>
        <d v="2025-10-28T00:00:00"/>
        <d v="2025-10-29T00:00:00"/>
        <d v="2025-10-30T00:00:00"/>
        <d v="2025-10-31T00:00:00"/>
        <d v="2025-11-04T00:00:00"/>
        <d v="2025-11-05T00:00:00"/>
        <d v="2025-11-06T00:00:00"/>
        <d v="2025-11-07T00:00:00"/>
        <d v="2025-11-08T00:00:00"/>
        <d v="2025-11-09T00:00:00"/>
        <d v="2025-11-10T00:00:00"/>
        <d v="2025-11-14T00:00:00"/>
        <d v="2025-11-15T00:00:00"/>
        <d v="2025-11-16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9T00:00:00"/>
        <d v="2025-12-10T00:00:00"/>
        <d v="2025-12-12T00:00:00"/>
        <d v="2025-12-13T00:00:00"/>
        <d v="2025-12-14T00:00:00"/>
        <d v="2025-12-15T00:00:00"/>
        <d v="2025-12-16T00:00:00"/>
        <d v="2025-12-17T00:00:00"/>
        <d v="2025-12-18T00:00:00"/>
        <d v="2025-12-19T00:00:00"/>
        <d v="2025-12-22T00:00:00"/>
        <d v="2025-12-23T00:00:00"/>
        <d v="2025-12-24T00:00:00"/>
        <d v="2025-12-26T00:00:00"/>
        <d v="2025-12-27T00:00:00"/>
        <d v="2025-12-29T00:00:00"/>
        <d v="2025-12-30T00:00:00"/>
        <d v="2025-12-3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2T00:00:00"/>
        <d v="2026-05-03T00:00:00"/>
        <d v="2026-05-04T00:00:00"/>
        <d v="2026-05-05T00:00:00"/>
        <d v="2026-05-06T00:00:00"/>
        <d v="2026-05-07T00:00:00"/>
        <d v="2026-05-08T00:00:00"/>
        <d v="2026-05-09T00:00:00"/>
        <d v="2026-05-11T00:00:00"/>
        <d v="2026-05-12T00:00:00"/>
        <d v="2026-05-13T00:00:00"/>
        <d v="2026-05-14T00:00:00"/>
        <d v="2026-05-15T00:00:00"/>
        <d v="2026-05-16T00:00:00"/>
        <d v="2026-05-17T00:00:00"/>
        <d v="2026-05-18T00:00:00"/>
        <d v="2026-05-19T00:00:00"/>
        <d v="2026-05-20T00:00:00"/>
        <d v="2026-05-21T00:00:00"/>
        <d v="2026-05-23T00:00:00"/>
        <d v="2026-05-25T00:00:00"/>
        <d v="2026-05-26T00:00:00"/>
        <d v="2026-05-27T00:00:00"/>
        <d v="2026-05-29T00:00:00"/>
        <d v="2026-05-30T00:00:00"/>
        <d v="2026-06-01T00:00:00"/>
        <d v="2026-06-02T00:00:00"/>
        <d v="2026-06-03T00:00:00"/>
        <d v="2026-06-04T00:00:00"/>
        <d v="2026-06-05T00:00:00"/>
        <d v="2026-06-06T00:00:00"/>
        <d v="2026-06-07T00:00:00"/>
        <d v="2026-06-08T00:00:00"/>
        <d v="2026-06-09T00:00:00"/>
        <d v="2026-06-10T00:00:00"/>
        <d v="2026-06-11T00:00:00"/>
        <d v="2026-06-13T00:00:00"/>
        <d v="2026-06-14T00:00:00"/>
        <d v="2026-06-15T00:00:00"/>
        <d v="2026-06-17T00:00:00"/>
        <d v="2026-06-18T00:00:00"/>
        <d v="2026-06-19T00:00:00"/>
        <d v="2026-06-22T00:00:00"/>
        <d v="2026-06-23T00:00:00"/>
        <d v="2026-06-24T00:00:00"/>
        <d v="2026-06-25T00:00:00"/>
        <d v="2026-06-26T00:00:00"/>
        <d v="2026-06-27T00:00:00"/>
        <d v="2026-06-28T00:00:00"/>
        <d v="2026-06-30T00:00:00"/>
        <m/>
      </sharedItems>
    </cacheField>
    <cacheField name="Día" numFmtId="0">
      <sharedItems containsBlank="1"/>
    </cacheField>
    <cacheField name="Mes" numFmtId="0">
      <sharedItems containsBlank="1" count="16">
        <s v="octubre"/>
        <s v="noviembre"/>
        <s v="diciembre"/>
        <s v="enero"/>
        <s v="febrero"/>
        <s v="marzo"/>
        <s v="abril"/>
        <s v="mayo"/>
        <s v="junio"/>
        <s v=""/>
        <m u="1"/>
        <s v="julio" u="1"/>
        <s v="agosto" u="1"/>
        <s v="septiembre" u="1"/>
        <s v=" " u="1"/>
        <s v="February" u="1"/>
      </sharedItems>
    </cacheField>
    <cacheField name="Hora inicio" numFmtId="0">
      <sharedItems containsNonDate="0" containsDate="1" containsString="0" containsBlank="1" minDate="1899-12-30T00:00:00" maxDate="1899-12-30T23:56:00"/>
    </cacheField>
    <cacheField name="Hora fin " numFmtId="0">
      <sharedItems containsNonDate="0" containsDate="1" containsString="0" containsBlank="1" minDate="1899-12-30T00:09:00" maxDate="1906-02-27T00:00:00"/>
    </cacheField>
    <cacheField name="Tiempo paro (horas)" numFmtId="2">
      <sharedItems containsSemiMixedTypes="0" containsString="0" containsNumber="1" minValue="0" maxValue="23.983333333333334"/>
    </cacheField>
    <cacheField name="Tipo I" numFmtId="0">
      <sharedItems containsBlank="1"/>
    </cacheField>
    <cacheField name="Tipo II" numFmtId="0">
      <sharedItems containsBlank="1"/>
    </cacheField>
    <cacheField name="Sección" numFmtId="0">
      <sharedItems containsBlank="1" count="26">
        <s v="Extracción"/>
        <s v="Generacion electrica "/>
        <s v="Esterilización "/>
        <s v="Desfibrado"/>
        <s v="Raquis"/>
        <s v="Generación de vapor"/>
        <s v="Planta general"/>
        <s v="Recepción fruta"/>
        <s v="Clarificación"/>
        <s v="Desfrutado"/>
        <s v="Palmistería"/>
        <m/>
        <s v="Otra" u="1"/>
        <s v="Servicios industriales" u="1"/>
        <s v="Tratamiento efluentes" u="1"/>
        <s v="Laboratorio" u="1"/>
        <s v="Recepción de fruta" u="1"/>
        <s v="Esterilización" u="1"/>
        <s v="esterilizacion" u="1"/>
        <s v="prensado" u="1"/>
        <s v="Generacion de Vapor" u="1"/>
        <s v="Clarificacion" u="1"/>
        <s v="extraccion" u="1"/>
        <s v="palmisteria" u="1"/>
        <s v="calderas" u="1"/>
        <s v="Maquinaria" u="1"/>
      </sharedItems>
    </cacheField>
    <cacheField name="Equipo" numFmtId="0">
      <sharedItems containsBlank="1" count="238">
        <s v="Prensa de doble tornillo"/>
        <s v="Planta eléctrica de 1250 Kva"/>
        <s v="Esterilizador Oblicuo Automático"/>
        <s v="Redler #3 para Combustible"/>
        <s v="Banda #1 para Racimos Vacíos"/>
        <s v="Planta eléctrica de 72 Kva"/>
        <s v="Redler #4 para Combustible a Caldera "/>
        <s v="Caldera bomba agua #1"/>
        <s v="Elevador de Fruto"/>
        <s v="Comedor"/>
        <s v="Tolva para Fruto Esterilizado Dosificador"/>
        <s v="Prensa para Racimos Vacíos"/>
        <s v="Turbina"/>
        <s v="Digestor Vertical"/>
        <s v="Redler #1 "/>
        <s v="Ventilador del Silo de Almendras"/>
        <s v="Sinfin de Sólidos Paleables del Tricanter"/>
        <s v="Sinfín para Fruto Suelto"/>
        <s v="Redler de Fruto Esterilizado"/>
        <s v="Caldera sinfín alimentador"/>
        <s v="ELEVADOR DE NUEZ"/>
        <s v="Tanque de Lodos Desarenados"/>
        <s v="Tricanter"/>
        <s v="Bomba Tanque de Lodos Desarenados. Segunda Etapa"/>
        <s v="Tolva para recepción de fruto fresco  "/>
        <s v="Bomba para Aceite del Preclarificador"/>
        <s v="Elevador de Nueces"/>
        <s v="Esclusa del Sistema Neumático de Desfibración"/>
        <s v="Mantenimiento programado"/>
        <s v="Dosificador de Fruto Cosido"/>
        <s v="Esclusa del Sistema Neumático de Cascaras y Finos"/>
        <s v="Tanque de Aceite Recuperado de Florentino"/>
        <s v="Molino tipo Ripple Mill"/>
        <s v="Tanque almacenamiento No. 1"/>
        <s v="Tanque almacenamiento No. 2"/>
        <s v="Tambor Pulidor Sin Eje"/>
        <s v="Caldera Refrigeración parrilla"/>
        <s v="Tamiz Circular en Acero Inoxidable"/>
        <s v="Desarenador # 1"/>
        <s v="Tableros CCM"/>
        <s v="Desfrutador Sin Eje "/>
        <s v="Bomba para Purgas del Foso de la Clarificación"/>
        <s v="Transportador de Torta"/>
        <s v="Bomba de lodos del preclarificador"/>
        <s v="Unidad hidráulica tolva recepción"/>
        <s v="Redler #2 de Fruta a Esterilizadores"/>
        <s v="Filtro Cepillo "/>
        <m/>
        <s v="Nave esterilización" u="1"/>
        <s v="Nave central" u="1"/>
        <s v="Nave caldera" u="1"/>
        <s v="Exclusa de fibras" u="1"/>
        <s v="Prensa 1" u="1"/>
        <s v="Pulidor nuez" u="1"/>
        <s v="Transportador fibra 2" u="1"/>
        <s v="Desfrutador 1" u="1"/>
        <s v="Columna desfibrado" u="1"/>
        <s v="Red externa" u="1"/>
        <s v="Transportador fruta entera" u="1"/>
        <s v="Caldera 1" u="1"/>
        <s v="Tambor pulidor" u="1"/>
        <s v="Prensas 1,2 y 3" u="1"/>
        <s v=" red externa y Taco 220 V" u="1"/>
        <s v="Todos los equipos" u="1"/>
        <s v="Bomba lodos tamiz preclarificador" u="1"/>
        <s v="Bomba aceite preclarificado" u="1"/>
        <s v="transportador de torta 2" u="1"/>
        <s v="Sinfín alimentador calderas 1 y 2" u="1"/>
        <s v="Elevador de fruto 1" u="1"/>
        <s v="Elevador de fruto 2" u="1"/>
        <s v="Digestor T12, Prensa 2 P9" u="1"/>
        <s v="Piñon motor sisfin bajo desgranadora" u="1"/>
        <s v="Transportadores de fibra 1 y 2" u="1"/>
        <s v="Sinfín bajo desfrutador" u="1"/>
        <s v="Esterilizadores oblicuos" u="1"/>
        <s v="Oblicuas" u="1"/>
        <s v="Oblicua 1" u="1"/>
        <s v="Caldera Nueva" u="1"/>
        <s v="dosificador Oblicua 2" u="1"/>
        <s v="Tanque Clarificador" u="1"/>
        <s v="Banda tusa 3" u="1"/>
        <s v="Tuberia descarga florentinos a tamiz" u="1"/>
        <s v="Desfrutador nuevo" u="1"/>
        <s v="Oblicuo 2" u="1"/>
        <s v="Ducto desgranadora 1 y redler corto" u="1"/>
        <s v="Esclusa ciclon fibras" u="1"/>
        <s v="Prensado, sinfín fibra rechazada" u="1"/>
        <s v="Autoclaves" u="1"/>
        <s v="Sinfín nueces a elevador" u="1"/>
        <s v="Sinfín fibra rechazada" u="1"/>
        <s v="Redler y fracturadora" u="1"/>
        <s v="esclusa de fibras" u="1"/>
        <s v="Banda tusa 1" u="1"/>
        <s v="Banda tusa 2" u="1"/>
        <s v="sinfín rompetorta 2" u="1"/>
        <s v="bandas de raquis 4 y 3" u="1"/>
        <s v="Prensa p9 #2" u="1"/>
        <s v="Red xeterna" u="1"/>
        <s v="Banda 1" u="1"/>
        <s v="Sinfín tranasversal de fruto" u="1"/>
        <s v="sinfín de fibra rechazada" u="1"/>
        <s v="caldera full oil" u="1"/>
        <s v="redller fruto " u="1"/>
        <s v="Caldera 500 BHP" u="1"/>
        <s v="Banda 2" u="1"/>
        <s v="Falta energía red" u="1"/>
        <s v="Transportador fruta esterilizada" u="1"/>
        <s v="Elevador fruto 1" u="1"/>
        <s v="Oblicuo  1" u="1"/>
        <s v="Caldera 3" u="1"/>
        <s v="Banda de raquis 1" u="1"/>
        <s v="Digestor 2" u="1"/>
        <s v="Desfrutador 2" u="1"/>
        <s v="Tanque de lodos" u="1"/>
        <s v="Tambor clasificador" u="1"/>
        <s v="Clarificador" u="1"/>
        <s v="Sistema oblicuas" u="1"/>
        <s v="Oblicuo  3" u="1"/>
        <s v="Planta general" u="1"/>
        <s v="Cargador WACKER" u="1"/>
        <s v="banda de raquis 3" u="1"/>
        <s v="Sinfín alimentador elevador" u="1"/>
        <s v="Secador al vacío" u="1"/>
        <s v="Ciclón fibras" u="1"/>
        <s v="Digestor 1" u="1"/>
        <s v="Elevador nuez " u="1"/>
        <s v="breaker principal" u="1"/>
        <s v="Preclarificador" u="1"/>
        <s v="Otro" u="1"/>
        <s v="prensa 3" u="1"/>
        <s v="Fracturador RFF" u="1"/>
        <s v="Sinfín alimentador digestores" u="1"/>
        <s v="Centrífuga 1" u="1"/>
        <s v="Florentino" u="1"/>
        <s v="Caldera fuel oil" u="1"/>
        <s v="Sinfín retorno fruto" u="1"/>
        <s v="Transportador torta" u="1"/>
        <s v="Transportador fruta fracturada" u="1"/>
        <s v="Digestor 3" u="1"/>
        <s v="Caldera diesel" u="1"/>
        <s v="Falta de fruta fresca" u="1"/>
        <s v="Bobcat 2" u="1"/>
        <s v="Cargador SEM" u="1"/>
        <s v="Bomba lodos pre" u="1"/>
        <s v="Tanque agua caliente" u="1"/>
        <s v="bomba purgas" u="1"/>
        <s v="Bobcat 1" u="1"/>
        <s v="Oblicuo  2" u="1"/>
        <s v="Bomba Aceite seco" u="1"/>
        <s v="Bomba de lodos" u="1"/>
        <s v="Sinfín elevador almendra" u="1"/>
        <s v="Bocat 1" u="1"/>
        <s v="Esterilización " u="1"/>
        <s v="Centrifuga 1" u="1"/>
        <s v="Transportador torta 2" u="1"/>
        <s v="centrifuga" u="1"/>
        <s v="bandas de raquis 1-2" u="1"/>
        <s v="control plc oblicuas" u="1"/>
        <s v="Transportador torta 1" u="1"/>
        <s v="Tamiz crudo" u="1"/>
        <s v="Bomba condensados" u="1"/>
        <s v="Compresor" u="1"/>
        <s v="Transportador fibra 1" u="1"/>
        <s v="Sinfín mezcla triturada" u="1"/>
        <s v="Centrífuga 2" u="1"/>
        <s v="Panel control oblicuos" u="1"/>
        <s v="Unidad hidráulica oblicuos" u="1"/>
        <s v="Elevador fruto 2" u="1"/>
        <s v="Rompe torta 2" u="1"/>
        <s v="Tamiz de lodos" u="1"/>
        <s v="Desgranadora" u="1"/>
        <s v="Prensa de raquis" u="1"/>
        <s v="Caldera 2" u="1"/>
        <s v="Prensado" u="1"/>
        <s v="Bomba aceite húmedo" u="1"/>
        <s v="Falta de fruta esterilizada" u="1"/>
        <s v="Generador CAT 600KVA" u="1"/>
        <s v="Elevador de fruta 1" u="1"/>
        <s v="bomba de fosa de purgas" u="1"/>
        <s v="Vapor" u="1"/>
        <s v="Sinfín bajo tambores pulidores" u="1"/>
        <s v="Secador de vacio" u="1"/>
        <s v="Tambor poludor" u="1"/>
        <s v="redller hacia elevadores de fruto" u="1"/>
        <s v="digestor t12" u="1"/>
        <s v="Cladera 500 BHP" u="1"/>
        <s v="sinfín del elevador de almentra" u="1"/>
        <s v="Sinfín torta 1" u="1"/>
        <s v="tiro inducido" u="1"/>
        <s v="Caldera" u="1"/>
        <s v="Rompetortas" u="1"/>
        <s v="Digestor - prensa 1" u="1"/>
        <s v="centrifuga 1, valvula reguladora de presion, elevador de nuez, elevador 2 fruto esterilizado." u="1"/>
        <s v="Banda - desgranadora" u="1"/>
        <s v="EQUIPOS" u="1"/>
        <s v="Elevador de fruta 1 y 2" u="1"/>
        <s v="desfrutadora" u="1"/>
        <s v="Tanque lodos preclarificados" u="1"/>
        <s v="centrifuga 1 y 2" u="1"/>
        <s v="Breaker generación a ccm" u="1"/>
        <s v="sin fin alimenta a digestores" u="1"/>
        <s v="Tambor pulidor 1" u="1"/>
        <s v=" banda-desgranadora" u="1"/>
        <s v="Planta en general" u="1"/>
        <s v="Generación de energía" u="1"/>
        <s v="tanque pulmon de lodos" u="1"/>
        <s v="Alimentador 2" u="1"/>
        <s v="Valvula auxiliar entrada vapor oblicua 2." u="1"/>
        <s v="compresor oblicuas" u="1"/>
        <s v="banda 3" u="1"/>
        <s v="Ningun equipo" u="1"/>
        <s v="Sinfin Alimentador Elevador" u="1"/>
        <s v="Prensa cpo #3" u="1"/>
        <s v="Digestor P9 #2" u="1"/>
        <s v="Bajante licor de prensa " u="1"/>
        <s v="Elevador de nuez y banda 1" u="1"/>
        <s v="Bocat" u="1"/>
        <s v="Puente grúa 1" u="1"/>
        <s v="Dosificador Oblicua 1" u="1"/>
        <s v="esclusa de fibras, sinfín de fibra rechazada" u="1"/>
        <s v="oblicua 3" u="1"/>
        <s v="Sinfín Alimentador elevadores" u="1"/>
        <s v="cañuelas" u="1"/>
        <s v="ducto ciclon de fibras" u="1"/>
        <s v="anillo puerta oblicua 2." u="1"/>
        <s v="docificador oblicua 2" u="1"/>
        <s v="Elevador 1" u="1"/>
        <s v="Banda-Desfrutador" u="1"/>
        <s v="Desfrutador - banda" u="1"/>
        <s v="Prensa 2" u="1"/>
        <s v="Rompetorta 2" u="1"/>
        <s v="Bomba de aceite preclarificador" u="1"/>
        <s v="Rompetorta" u="1"/>
        <s v="Esterilizador 4" u="1"/>
        <s v="control en esterilizacion" u="1"/>
        <s v="fracturador" u="1"/>
        <s v="Desfrutador" u="1"/>
        <s v="desfrutador-banda" u="1"/>
      </sharedItems>
    </cacheField>
    <cacheField name="Causa de falla / Observación" numFmtId="0">
      <sharedItems containsBlank="1"/>
    </cacheField>
    <cacheField name="Responsable diligenciamiento"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lanner de Mtto" refreshedDate="46205.446229398149" createdVersion="8" refreshedVersion="8" minRefreshableVersion="3" recordCount="8" xr:uid="{7482AD7E-851F-4352-A4CE-E32F20916122}">
  <cacheSource type="worksheet">
    <worksheetSource ref="E6:G14" sheet="MTTR"/>
  </cacheSource>
  <cacheFields count="3">
    <cacheField name="TIPO DE FALLA" numFmtId="49">
      <sharedItems count="2">
        <s v="ELECTRICA"/>
        <s v="MECANICA"/>
      </sharedItems>
    </cacheField>
    <cacheField name="Tiempo paro (horas)" numFmtId="2">
      <sharedItems containsSemiMixedTypes="0" containsString="0" containsNumber="1" minValue="6.6666666666666666E-2" maxValue="8.4"/>
    </cacheField>
    <cacheField name="Equipo" numFmtId="49">
      <sharedItems count="8">
        <s v="Esterilizador Oblicuo Automático"/>
        <s v="Turbina"/>
        <s v="Planta eléctrica de 1250 Kva"/>
        <s v="Elevador de Fruto"/>
        <s v="Filtro Cepillo "/>
        <s v="Prensa para Racimos Vacíos"/>
        <s v="Prensa de doble tornillo"/>
        <s v="Sinfín para Fruto Suelt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5">
  <r>
    <x v="0"/>
    <x v="0"/>
    <x v="0"/>
    <d v="1899-12-30T08:00:00"/>
    <d v="1899-12-30T08:20:00"/>
    <n v="0.33333333333333331"/>
    <x v="0"/>
    <x v="0"/>
    <s v="Falla eléctrica"/>
    <s v="Desfibración"/>
    <x v="0"/>
    <s v="Se dispara breaker"/>
  </r>
  <r>
    <x v="0"/>
    <x v="0"/>
    <x v="0"/>
    <d v="1899-12-30T08:35:00"/>
    <d v="1899-12-30T09:10:00"/>
    <n v="0.58333333333333337"/>
    <x v="0"/>
    <x v="1"/>
    <s v="Falla operativa"/>
    <s v="Desfrutado"/>
    <x v="1"/>
    <s v="Se atascó"/>
  </r>
  <r>
    <x v="0"/>
    <x v="0"/>
    <x v="0"/>
    <d v="1899-12-30T10:50:00"/>
    <d v="1899-12-30T13:40:00"/>
    <n v="2.8333333333333335"/>
    <x v="0"/>
    <x v="0"/>
    <s v="Falla mecánica"/>
    <s v="Desfrutado"/>
    <x v="2"/>
    <s v="Averia en rodamiento de patin"/>
  </r>
  <r>
    <x v="1"/>
    <x v="0"/>
    <x v="0"/>
    <d v="1899-12-30T08:45:00"/>
    <d v="1899-12-30T09:14:00"/>
    <n v="0.48333333333333334"/>
    <x v="0"/>
    <x v="1"/>
    <s v="Falla operativa"/>
    <s v="Desfrutado"/>
    <x v="2"/>
    <s v="Tapados ranuras"/>
  </r>
  <r>
    <x v="1"/>
    <x v="0"/>
    <x v="0"/>
    <d v="1899-12-30T14:00:00"/>
    <d v="1899-12-30T14:25:00"/>
    <n v="0.41666666666666669"/>
    <x v="0"/>
    <x v="1"/>
    <s v="Falla operativa"/>
    <s v="Desfrutado"/>
    <x v="2"/>
    <s v="Tapados ranuras"/>
  </r>
  <r>
    <x v="1"/>
    <x v="0"/>
    <x v="0"/>
    <d v="1899-12-30T15:00:00"/>
    <d v="1899-12-30T16:25:00"/>
    <n v="1.4166666666666667"/>
    <x v="0"/>
    <x v="0"/>
    <s v="Falla mecánica"/>
    <s v="Clarificación"/>
    <x v="3"/>
    <s v="Tuberia y valvula tapada"/>
  </r>
  <r>
    <x v="1"/>
    <x v="0"/>
    <x v="0"/>
    <d v="1899-12-30T19:30:00"/>
    <d v="1899-12-30T19:42:00"/>
    <n v="0.2"/>
    <x v="0"/>
    <x v="1"/>
    <s v="Falta Fruta esterilizada"/>
    <s v="Esterilización "/>
    <x v="4"/>
    <s v="Falta de fruto esterilizado"/>
  </r>
  <r>
    <x v="2"/>
    <x v="0"/>
    <x v="0"/>
    <d v="1899-12-30T09:03:00"/>
    <d v="1899-12-30T09:27:00"/>
    <n v="0.4"/>
    <x v="0"/>
    <x v="1"/>
    <s v="Falla operativa"/>
    <s v="Desfrutado"/>
    <x v="2"/>
    <s v="Tapados ranuras"/>
  </r>
  <r>
    <x v="2"/>
    <x v="0"/>
    <x v="0"/>
    <d v="1899-12-30T09:40:00"/>
    <d v="1899-12-30T10:05:00"/>
    <n v="0.41666666666666669"/>
    <x v="1"/>
    <x v="2"/>
    <s v="Fluído eléctrico"/>
    <s v="Planta general"/>
    <x v="5"/>
    <s v="Se va la energia"/>
  </r>
  <r>
    <x v="2"/>
    <x v="0"/>
    <x v="0"/>
    <d v="1899-12-30T11:00:00"/>
    <d v="1899-12-30T11:30:00"/>
    <n v="0.5"/>
    <x v="0"/>
    <x v="1"/>
    <s v="Falla operativa"/>
    <s v="Desfrutado"/>
    <x v="2"/>
    <s v="Tapados ranuras"/>
  </r>
  <r>
    <x v="2"/>
    <x v="0"/>
    <x v="0"/>
    <d v="1899-12-30T11:50:00"/>
    <d v="1899-12-30T12:10:00"/>
    <n v="0.33333333333333331"/>
    <x v="0"/>
    <x v="1"/>
    <s v="Falla operativa"/>
    <s v="Palmistería"/>
    <x v="6"/>
    <s v="Elevador se tapo"/>
  </r>
  <r>
    <x v="2"/>
    <x v="0"/>
    <x v="0"/>
    <d v="1899-12-30T13:35:00"/>
    <d v="1899-12-30T13:58:00"/>
    <n v="0.38333333333333336"/>
    <x v="0"/>
    <x v="1"/>
    <s v="Falla operativa"/>
    <s v="Desfrutado"/>
    <x v="2"/>
    <s v="Tapados ranuras"/>
  </r>
  <r>
    <x v="2"/>
    <x v="0"/>
    <x v="0"/>
    <d v="1899-12-30T14:10:00"/>
    <d v="1899-12-30T15:10:00"/>
    <n v="1"/>
    <x v="1"/>
    <x v="2"/>
    <s v="Mantenimiento programado"/>
    <s v="Planta general"/>
    <x v="5"/>
    <s v="reunion"/>
  </r>
  <r>
    <x v="3"/>
    <x v="0"/>
    <x v="0"/>
    <d v="1899-12-30T09:00:00"/>
    <d v="1899-12-30T09:45:00"/>
    <n v="0.75"/>
    <x v="0"/>
    <x v="1"/>
    <s v="Falla operativa"/>
    <s v="Desfrutado"/>
    <x v="2"/>
    <s v="Tapados ranuras"/>
  </r>
  <r>
    <x v="4"/>
    <x v="0"/>
    <x v="0"/>
    <d v="1899-12-30T12:50:00"/>
    <d v="1899-12-30T13:10:00"/>
    <n v="0.33333333333333331"/>
    <x v="0"/>
    <x v="0"/>
    <s v="Falla mecánica"/>
    <s v="Recepción"/>
    <x v="7"/>
    <s v="Traviesa suelta"/>
  </r>
  <r>
    <x v="4"/>
    <x v="0"/>
    <x v="0"/>
    <d v="1899-12-30T14:50:00"/>
    <d v="1899-12-30T15:11:00"/>
    <n v="0.35"/>
    <x v="0"/>
    <x v="1"/>
    <s v="Falla operativa"/>
    <s v="Desfrutado"/>
    <x v="8"/>
    <s v="Tapado"/>
  </r>
  <r>
    <x v="4"/>
    <x v="0"/>
    <x v="0"/>
    <d v="1899-12-30T19:00:00"/>
    <d v="1899-12-30T19:36:00"/>
    <n v="0.6"/>
    <x v="0"/>
    <x v="0"/>
    <s v="Falla eléctrica"/>
    <s v="Desfrutado"/>
    <x v="2"/>
    <s v="Falla automatico de proteccion"/>
  </r>
  <r>
    <x v="5"/>
    <x v="0"/>
    <x v="0"/>
    <d v="1899-12-30T06:00:00"/>
    <d v="1899-12-30T08:55:00"/>
    <n v="2.9166666666666665"/>
    <x v="1"/>
    <x v="2"/>
    <s v="Arranque planta"/>
    <s v="Planta general"/>
    <x v="5"/>
    <s v="Inicio de proceso"/>
  </r>
  <r>
    <x v="5"/>
    <x v="0"/>
    <x v="0"/>
    <d v="1899-12-30T10:35:00"/>
    <d v="1899-12-30T11:00:00"/>
    <n v="0.41666666666666669"/>
    <x v="0"/>
    <x v="1"/>
    <s v="Falta Fruta esterilizada"/>
    <s v="Esterilización "/>
    <x v="4"/>
    <s v="Falta de fruto esterilizado"/>
  </r>
  <r>
    <x v="5"/>
    <x v="0"/>
    <x v="0"/>
    <d v="1899-12-30T11:05:00"/>
    <d v="1899-12-30T11:12:00"/>
    <n v="0.11666666666666667"/>
    <x v="0"/>
    <x v="3"/>
    <s v="Fluído eléctrico"/>
    <s v="Planta general"/>
    <x v="5"/>
    <s v="Se va la energia"/>
  </r>
  <r>
    <x v="5"/>
    <x v="0"/>
    <x v="0"/>
    <d v="1899-12-30T12:07:00"/>
    <d v="1899-12-30T12:13:00"/>
    <n v="0.1"/>
    <x v="0"/>
    <x v="3"/>
    <s v="Fluído eléctrico"/>
    <s v="Planta general"/>
    <x v="5"/>
    <s v="Se va la energia"/>
  </r>
  <r>
    <x v="5"/>
    <x v="0"/>
    <x v="0"/>
    <d v="1899-12-30T12:40:00"/>
    <d v="1899-12-30T17:00:00"/>
    <n v="4.333333333333333"/>
    <x v="0"/>
    <x v="0"/>
    <s v="Falla eléctrica"/>
    <s v="Planta generación de vapor"/>
    <x v="9"/>
    <s v="Se quema motor"/>
  </r>
  <r>
    <x v="5"/>
    <x v="0"/>
    <x v="0"/>
    <d v="1899-12-30T18:19:00"/>
    <d v="1899-12-30T18:40:00"/>
    <n v="0.35"/>
    <x v="0"/>
    <x v="1"/>
    <s v="Falla operativa"/>
    <s v="Clarificación"/>
    <x v="10"/>
    <s v="Tanque pulmon se llena de lodo"/>
  </r>
  <r>
    <x v="6"/>
    <x v="0"/>
    <x v="0"/>
    <d v="1899-12-30T06:00:00"/>
    <d v="1899-12-30T08:00:00"/>
    <n v="2"/>
    <x v="1"/>
    <x v="2"/>
    <s v="Arranque planta"/>
    <s v="Planta general"/>
    <x v="5"/>
    <s v="Inicio de proceso"/>
  </r>
  <r>
    <x v="6"/>
    <x v="0"/>
    <x v="0"/>
    <d v="1899-12-30T10:34:00"/>
    <d v="1899-12-30T11:15:00"/>
    <n v="0.68333333333333335"/>
    <x v="0"/>
    <x v="0"/>
    <s v="Falla mecánica"/>
    <s v="Desfrutado"/>
    <x v="8"/>
    <s v="Elevador se desencadenó"/>
  </r>
  <r>
    <x v="6"/>
    <x v="0"/>
    <x v="0"/>
    <d v="1899-12-30T11:00:00"/>
    <d v="1899-12-30T11:30:00"/>
    <n v="0.5"/>
    <x v="0"/>
    <x v="1"/>
    <s v="Falla operativa"/>
    <s v="Clarificación"/>
    <x v="10"/>
    <s v="Tanque pulmon se llena de lodo"/>
  </r>
  <r>
    <x v="7"/>
    <x v="0"/>
    <x v="0"/>
    <d v="1899-12-30T06:00:00"/>
    <d v="1899-12-30T08:20:00"/>
    <n v="2.3333333333333335"/>
    <x v="1"/>
    <x v="2"/>
    <s v="Arranque planta"/>
    <s v="Planta general"/>
    <x v="5"/>
    <s v="Reunion e inicio de proceso"/>
  </r>
  <r>
    <x v="7"/>
    <x v="0"/>
    <x v="0"/>
    <d v="1899-12-30T08:25:00"/>
    <d v="1899-12-30T09:20:00"/>
    <n v="0.91666666666666663"/>
    <x v="0"/>
    <x v="1"/>
    <s v="Falla operativa"/>
    <s v="Clarificación"/>
    <x v="3"/>
    <s v="Tapada tuberia"/>
  </r>
  <r>
    <x v="7"/>
    <x v="0"/>
    <x v="0"/>
    <d v="1899-12-30T17:00:00"/>
    <d v="1899-12-30T19:40:00"/>
    <n v="2.6666666666666665"/>
    <x v="0"/>
    <x v="0"/>
    <s v="Falla mecánica"/>
    <s v="Recepción"/>
    <x v="7"/>
    <s v="Redler se desencadena "/>
  </r>
  <r>
    <x v="8"/>
    <x v="0"/>
    <x v="0"/>
    <d v="1899-12-30T06:00:00"/>
    <d v="1899-12-30T08:37:00"/>
    <n v="2.6166666666666667"/>
    <x v="1"/>
    <x v="2"/>
    <s v="Mantenimiento programado"/>
    <s v="Planta general"/>
    <x v="5"/>
    <s v="Mantenimiento y arranque"/>
  </r>
  <r>
    <x v="8"/>
    <x v="0"/>
    <x v="0"/>
    <d v="1899-12-30T10:05:00"/>
    <d v="1899-12-30T10:50:00"/>
    <n v="0.75"/>
    <x v="0"/>
    <x v="0"/>
    <s v="Falla mecánica"/>
    <s v="Clarificación"/>
    <x v="11"/>
    <s v="Rotura de malla"/>
  </r>
  <r>
    <x v="8"/>
    <x v="0"/>
    <x v="0"/>
    <d v="1899-12-30T12:20:00"/>
    <d v="1899-12-30T16:00:00"/>
    <n v="3.6666666666666665"/>
    <x v="0"/>
    <x v="0"/>
    <s v="Falla mecánica"/>
    <s v="Esterilización "/>
    <x v="12"/>
    <s v="Unidad hidraulica de volteo"/>
  </r>
  <r>
    <x v="8"/>
    <x v="0"/>
    <x v="0"/>
    <d v="1899-12-30T17:40:00"/>
    <d v="1899-12-30T18:00:00"/>
    <n v="0.33333333333333331"/>
    <x v="0"/>
    <x v="1"/>
    <s v="Falla operativa"/>
    <s v="Clarificación"/>
    <x v="10"/>
    <s v="Tanque pulmon se llena de lodo"/>
  </r>
  <r>
    <x v="8"/>
    <x v="0"/>
    <x v="0"/>
    <d v="1899-12-30T21:40:00"/>
    <d v="1899-12-30T22:35:00"/>
    <n v="0.91666666666666663"/>
    <x v="0"/>
    <x v="1"/>
    <s v="Falla operativa"/>
    <s v="Desfrutado"/>
    <x v="2"/>
    <s v="Tapados ranuras"/>
  </r>
  <r>
    <x v="8"/>
    <x v="0"/>
    <x v="0"/>
    <d v="1899-12-30T23:10:00"/>
    <d v="1899-12-30T23:22:00"/>
    <n v="0.2"/>
    <x v="0"/>
    <x v="3"/>
    <s v="Fluído eléctrico"/>
    <s v="Planta general"/>
    <x v="5"/>
    <s v="Se va la energia"/>
  </r>
  <r>
    <x v="9"/>
    <x v="0"/>
    <x v="0"/>
    <d v="1899-12-30T06:00:00"/>
    <d v="1899-12-30T08:27:00"/>
    <n v="2.4500000000000002"/>
    <x v="1"/>
    <x v="2"/>
    <s v="Arranque planta"/>
    <s v="Planta general"/>
    <x v="5"/>
    <s v="Inicio de proceso"/>
  </r>
  <r>
    <x v="9"/>
    <x v="0"/>
    <x v="0"/>
    <d v="1899-12-30T09:13:00"/>
    <d v="1899-12-30T10:05:00"/>
    <n v="0.8666666666666667"/>
    <x v="0"/>
    <x v="1"/>
    <s v="Falla operativa"/>
    <s v="Desfrutado"/>
    <x v="2"/>
    <s v="Tapados ranuras"/>
  </r>
  <r>
    <x v="10"/>
    <x v="0"/>
    <x v="0"/>
    <d v="1899-12-30T06:00:00"/>
    <d v="1899-12-30T15:52:00"/>
    <n v="9.8666666666666671"/>
    <x v="1"/>
    <x v="2"/>
    <s v="Arranque planta"/>
    <s v="Planta general"/>
    <x v="5"/>
    <s v="Inicio de proceso"/>
  </r>
  <r>
    <x v="10"/>
    <x v="0"/>
    <x v="0"/>
    <d v="1899-12-30T16:24:00"/>
    <d v="1899-12-30T16:50:00"/>
    <n v="0.43333333333333335"/>
    <x v="0"/>
    <x v="1"/>
    <s v="Falta Fruta esterilizada"/>
    <s v="Esterilización "/>
    <x v="4"/>
    <s v="Falta de fruto esterilizado"/>
  </r>
  <r>
    <x v="10"/>
    <x v="0"/>
    <x v="0"/>
    <d v="1899-12-30T17:15:00"/>
    <d v="1899-12-30T17:21:00"/>
    <n v="0.1"/>
    <x v="0"/>
    <x v="1"/>
    <s v="Falla operativa"/>
    <s v="Palmistería"/>
    <x v="6"/>
    <s v="Elevador se tapo"/>
  </r>
  <r>
    <x v="10"/>
    <x v="0"/>
    <x v="0"/>
    <d v="1899-12-30T17:30:00"/>
    <d v="1899-12-30T17:39:00"/>
    <n v="0.15"/>
    <x v="0"/>
    <x v="1"/>
    <s v="Falla operativa"/>
    <s v="Palmistería"/>
    <x v="6"/>
    <s v="Elevador se tapo"/>
  </r>
  <r>
    <x v="10"/>
    <x v="0"/>
    <x v="0"/>
    <d v="1899-12-30T19:57:00"/>
    <d v="1899-12-30T20:14:00"/>
    <n v="0.28333333333333333"/>
    <x v="0"/>
    <x v="0"/>
    <s v="Falla mecánica"/>
    <s v="Digestión y prensado"/>
    <x v="13"/>
    <s v="Mal funcionamiento"/>
  </r>
  <r>
    <x v="11"/>
    <x v="0"/>
    <x v="0"/>
    <d v="1899-12-30T14:20:00"/>
    <d v="1899-12-30T14:48:00"/>
    <n v="0.46666666666666667"/>
    <x v="0"/>
    <x v="1"/>
    <s v="Falla operativa"/>
    <s v="Desfrutado"/>
    <x v="2"/>
    <s v="Tapados ranuras"/>
  </r>
  <r>
    <x v="11"/>
    <x v="0"/>
    <x v="0"/>
    <d v="1899-12-30T21:20:00"/>
    <d v="1899-12-30T21:28:00"/>
    <n v="0.13333333333333333"/>
    <x v="0"/>
    <x v="0"/>
    <s v="Falla mecánica"/>
    <s v="Desfrutado"/>
    <x v="14"/>
    <s v="Se cae traviesas "/>
  </r>
  <r>
    <x v="12"/>
    <x v="0"/>
    <x v="0"/>
    <d v="1899-12-30T16:00:00"/>
    <d v="1899-12-30T19:15:00"/>
    <n v="3.25"/>
    <x v="0"/>
    <x v="0"/>
    <s v="Falla mecánica"/>
    <s v="Esterilización "/>
    <x v="12"/>
    <s v="Rodamiento en mal estado"/>
  </r>
  <r>
    <x v="13"/>
    <x v="0"/>
    <x v="0"/>
    <d v="1899-12-30T13:45:00"/>
    <d v="1899-12-30T14:44:00"/>
    <n v="0.98333333333333328"/>
    <x v="0"/>
    <x v="1"/>
    <s v="Falla operativa"/>
    <s v="Desfrutado"/>
    <x v="2"/>
    <s v="Tapados ranuras"/>
  </r>
  <r>
    <x v="13"/>
    <x v="0"/>
    <x v="0"/>
    <d v="1899-12-30T15:08:00"/>
    <d v="1899-12-30T17:44:00"/>
    <n v="2.6"/>
    <x v="0"/>
    <x v="0"/>
    <s v="Falla mecánica"/>
    <s v="Desfrutado"/>
    <x v="2"/>
    <s v="Averia en rodamiento de patin"/>
  </r>
  <r>
    <x v="14"/>
    <x v="0"/>
    <x v="0"/>
    <d v="1899-12-30T16:07:00"/>
    <d v="1899-12-30T16:33:00"/>
    <n v="0.43333333333333335"/>
    <x v="0"/>
    <x v="1"/>
    <s v="Falla operativa"/>
    <s v="Desfrutado"/>
    <x v="2"/>
    <s v="Tapados ranuras"/>
  </r>
  <r>
    <x v="15"/>
    <x v="0"/>
    <x v="0"/>
    <d v="1899-12-30T06:00:00"/>
    <d v="1899-12-30T08:00:00"/>
    <n v="2"/>
    <x v="0"/>
    <x v="0"/>
    <s v="Falla mecánica"/>
    <s v="Esterilización "/>
    <x v="15"/>
    <s v="Manguera del puente rota"/>
  </r>
  <r>
    <x v="16"/>
    <x v="0"/>
    <x v="0"/>
    <d v="1899-12-30T06:00:00"/>
    <d v="1899-12-30T08:15:00"/>
    <n v="2.25"/>
    <x v="1"/>
    <x v="2"/>
    <s v="Arranque planta"/>
    <s v="Planta general"/>
    <x v="5"/>
    <s v="Inicio de proceso"/>
  </r>
  <r>
    <x v="16"/>
    <x v="0"/>
    <x v="0"/>
    <d v="1899-12-30T07:00:00"/>
    <d v="1899-12-30T07:30:00"/>
    <n v="0.5"/>
    <x v="0"/>
    <x v="1"/>
    <s v="Falla operativa"/>
    <s v="Palmistería"/>
    <x v="6"/>
    <s v="Elevador se tapo"/>
  </r>
  <r>
    <x v="16"/>
    <x v="0"/>
    <x v="0"/>
    <d v="1899-12-30T18:10:00"/>
    <d v="1899-12-30T18:21:00"/>
    <n v="0.18333333333333332"/>
    <x v="0"/>
    <x v="1"/>
    <s v="Falla operativa"/>
    <s v="Palmistería"/>
    <x v="6"/>
    <s v="Elevador se tapo"/>
  </r>
  <r>
    <x v="16"/>
    <x v="0"/>
    <x v="0"/>
    <d v="1899-12-30T19:30:00"/>
    <d v="1899-12-30T20:10:00"/>
    <n v="0.66666666666666663"/>
    <x v="0"/>
    <x v="1"/>
    <s v="Falla operativa"/>
    <s v="Clarificación"/>
    <x v="16"/>
    <s v="Centrifugas tapadas"/>
  </r>
  <r>
    <x v="17"/>
    <x v="0"/>
    <x v="0"/>
    <d v="1899-12-30T06:00:00"/>
    <d v="1899-12-30T08:20:00"/>
    <n v="2.3333333333333335"/>
    <x v="1"/>
    <x v="2"/>
    <s v="Arranque planta"/>
    <s v="Planta general"/>
    <x v="5"/>
    <s v="Inicio de proceso"/>
  </r>
  <r>
    <x v="17"/>
    <x v="0"/>
    <x v="0"/>
    <d v="1899-12-30T09:00:00"/>
    <d v="1899-12-30T10:05:00"/>
    <n v="1.0833333333333333"/>
    <x v="0"/>
    <x v="3"/>
    <s v="Falta de fruta fresca"/>
    <s v="Planta general"/>
    <x v="5"/>
    <s v="Descargue De Tractomulas"/>
  </r>
  <r>
    <x v="17"/>
    <x v="0"/>
    <x v="0"/>
    <d v="1899-12-30T12:30:00"/>
    <d v="1899-12-30T13:50:00"/>
    <n v="1.3333333333333333"/>
    <x v="0"/>
    <x v="1"/>
    <s v="Falla operativa"/>
    <s v="Clarificación"/>
    <x v="16"/>
    <s v="Centrifugas tapadas"/>
  </r>
  <r>
    <x v="17"/>
    <x v="0"/>
    <x v="0"/>
    <d v="1899-12-30T16:00:00"/>
    <d v="1899-12-30T17:20:00"/>
    <n v="1.3333333333333333"/>
    <x v="0"/>
    <x v="1"/>
    <s v="Falla operativa"/>
    <s v="Clarificación"/>
    <x v="16"/>
    <s v="Centrifugas tapadas"/>
  </r>
  <r>
    <x v="17"/>
    <x v="0"/>
    <x v="0"/>
    <d v="1899-12-30T19:20:00"/>
    <d v="1899-12-30T19:50:00"/>
    <n v="0.5"/>
    <x v="0"/>
    <x v="1"/>
    <s v="Falla operativa"/>
    <s v="Palmistería"/>
    <x v="6"/>
    <s v="Elevador se tapo"/>
  </r>
  <r>
    <x v="18"/>
    <x v="0"/>
    <x v="0"/>
    <d v="1899-12-30T06:00:00"/>
    <d v="1899-12-30T08:38:00"/>
    <n v="2.6333333333333333"/>
    <x v="0"/>
    <x v="1"/>
    <s v="Falla operativa"/>
    <s v="Clarificación"/>
    <x v="16"/>
    <s v="Centrifugas tapadas"/>
  </r>
  <r>
    <x v="18"/>
    <x v="0"/>
    <x v="0"/>
    <d v="1899-12-30T14:40:00"/>
    <d v="1899-12-30T15:50:00"/>
    <n v="1.1666666666666667"/>
    <x v="0"/>
    <x v="1"/>
    <s v="Falla operativa"/>
    <s v="Clarificación"/>
    <x v="16"/>
    <s v="Centrifugas tapadas"/>
  </r>
  <r>
    <x v="18"/>
    <x v="0"/>
    <x v="0"/>
    <d v="1899-12-30T16:30:00"/>
    <d v="1899-12-30T16:50:00"/>
    <n v="0.33333333333333331"/>
    <x v="0"/>
    <x v="1"/>
    <s v="Falla operativa"/>
    <s v="Clarificación"/>
    <x v="16"/>
    <s v="Centrifugas tapadas"/>
  </r>
  <r>
    <x v="18"/>
    <x v="0"/>
    <x v="0"/>
    <d v="1899-12-30T19:05:00"/>
    <d v="1899-12-30T19:30:00"/>
    <n v="0.41666666666666669"/>
    <x v="0"/>
    <x v="1"/>
    <s v="Falla operativa"/>
    <s v="Clarificación"/>
    <x v="16"/>
    <s v="Centrifugas tapadas"/>
  </r>
  <r>
    <x v="19"/>
    <x v="0"/>
    <x v="0"/>
    <d v="1899-12-30T06:00:00"/>
    <d v="1899-12-30T08:00:00"/>
    <n v="2"/>
    <x v="1"/>
    <x v="2"/>
    <s v="Arranque planta"/>
    <s v="Planta general"/>
    <x v="5"/>
    <s v="Inicio de proceso"/>
  </r>
  <r>
    <x v="19"/>
    <x v="0"/>
    <x v="0"/>
    <d v="1899-12-30T10:27:00"/>
    <d v="1899-12-30T11:50:00"/>
    <n v="1.3833333333333333"/>
    <x v="0"/>
    <x v="0"/>
    <s v="Falla mecánica"/>
    <s v="Desfrutado"/>
    <x v="8"/>
    <s v="Cadena muy larga… Se recortó"/>
  </r>
  <r>
    <x v="20"/>
    <x v="0"/>
    <x v="0"/>
    <d v="1899-12-30T06:00:00"/>
    <d v="1899-12-30T08:00:00"/>
    <n v="2"/>
    <x v="1"/>
    <x v="2"/>
    <s v="Arranque planta"/>
    <s v="Planta general"/>
    <x v="5"/>
    <s v="Inicio de proceso"/>
  </r>
  <r>
    <x v="20"/>
    <x v="0"/>
    <x v="0"/>
    <d v="1899-12-30T16:00:00"/>
    <d v="1899-12-30T18:00:00"/>
    <n v="2"/>
    <x v="0"/>
    <x v="0"/>
    <s v="Falla mecánica"/>
    <s v="Desfrutado"/>
    <x v="7"/>
    <s v="Se rompre cadena de redler"/>
  </r>
  <r>
    <x v="21"/>
    <x v="0"/>
    <x v="0"/>
    <d v="1899-12-30T19:00:00"/>
    <d v="1899-12-30T20:00:00"/>
    <n v="1"/>
    <x v="0"/>
    <x v="0"/>
    <s v="Falla mecánica"/>
    <s v="Digestión y prensado"/>
    <x v="13"/>
    <s v="Mal funcionamiento, Tonillo izq. Mal estado"/>
  </r>
  <r>
    <x v="21"/>
    <x v="0"/>
    <x v="0"/>
    <d v="1899-12-30T00:00:00"/>
    <d v="1899-12-30T01:20:00"/>
    <n v="1.3333333333333333"/>
    <x v="0"/>
    <x v="0"/>
    <s v="Falla mecánica"/>
    <s v="Digestión y prensado"/>
    <x v="13"/>
    <s v="Mal funcionamiento, Tonillo izq. Mal estado"/>
  </r>
  <r>
    <x v="21"/>
    <x v="0"/>
    <x v="0"/>
    <d v="1899-12-30T05:00:00"/>
    <d v="1899-12-30T05:35:00"/>
    <n v="0.58333333333333337"/>
    <x v="0"/>
    <x v="1"/>
    <s v="Falla operativa"/>
    <s v="Clarificación"/>
    <x v="16"/>
    <s v="Centrifugas tapadas"/>
  </r>
  <r>
    <x v="22"/>
    <x v="0"/>
    <x v="0"/>
    <d v="1899-12-30T12:48:00"/>
    <d v="1899-12-30T13:00:00"/>
    <n v="0.2"/>
    <x v="0"/>
    <x v="1"/>
    <s v="Falla operativa"/>
    <s v="Clarificación"/>
    <x v="16"/>
    <s v="Centrifugas tapadas"/>
  </r>
  <r>
    <x v="22"/>
    <x v="0"/>
    <x v="0"/>
    <d v="1899-12-30T18:35:00"/>
    <d v="1899-12-30T19:05:00"/>
    <n v="0.5"/>
    <x v="0"/>
    <x v="0"/>
    <s v="Falla mecánica"/>
    <s v="Desfibración"/>
    <x v="0"/>
    <s v="Se avería un puente y paletas sueltas"/>
  </r>
  <r>
    <x v="22"/>
    <x v="0"/>
    <x v="0"/>
    <d v="1899-12-30T00:30:00"/>
    <d v="1899-12-30T01:15:00"/>
    <n v="0.75"/>
    <x v="0"/>
    <x v="1"/>
    <s v="Falla operativa"/>
    <s v="Palmistería"/>
    <x v="6"/>
    <s v="Elevador se tapo"/>
  </r>
  <r>
    <x v="22"/>
    <x v="0"/>
    <x v="0"/>
    <d v="1899-12-30T03:10:00"/>
    <d v="1899-12-30T06:00:00"/>
    <n v="2.8333333333333335"/>
    <x v="0"/>
    <x v="0"/>
    <s v="Falla mecánica"/>
    <s v="Digestión y prensado"/>
    <x v="13"/>
    <s v="Averia de tornillo izquierdo"/>
  </r>
  <r>
    <x v="23"/>
    <x v="0"/>
    <x v="0"/>
    <d v="1899-12-30T18:05:00"/>
    <d v="1899-12-30T18:40:00"/>
    <n v="0.58333333333333337"/>
    <x v="0"/>
    <x v="0"/>
    <s v="Falla mecánica"/>
    <s v="Desfrutado"/>
    <x v="14"/>
    <s v="Traviesas se sueltas"/>
  </r>
  <r>
    <x v="23"/>
    <x v="0"/>
    <x v="0"/>
    <d v="1899-12-30T20:05:00"/>
    <d v="1899-12-30T20:35:00"/>
    <n v="0.5"/>
    <x v="0"/>
    <x v="0"/>
    <s v="Falla mecánica"/>
    <s v="Desfibración"/>
    <x v="0"/>
    <s v="Se avería un puente y paletas sueltas"/>
  </r>
  <r>
    <x v="24"/>
    <x v="0"/>
    <x v="1"/>
    <d v="1899-12-30T06:00:00"/>
    <d v="1899-12-30T06:10:00"/>
    <n v="0.16666666666666666"/>
    <x v="0"/>
    <x v="0"/>
    <s v="Falla mecánica"/>
    <s v="Recepción"/>
    <x v="17"/>
    <s v="Se sale travieza de redler y causa desencadenada"/>
  </r>
  <r>
    <x v="24"/>
    <x v="0"/>
    <x v="1"/>
    <d v="1899-12-30T08:20:00"/>
    <d v="1899-12-30T13:35:00"/>
    <n v="5.25"/>
    <x v="0"/>
    <x v="1"/>
    <s v="Falta Fruta esterilizada"/>
    <s v="Esterilización "/>
    <x v="4"/>
    <s v="Falta de fruto esterilizado"/>
  </r>
  <r>
    <x v="24"/>
    <x v="0"/>
    <x v="1"/>
    <d v="1899-12-30T14:24:00"/>
    <d v="1899-12-30T15:30:00"/>
    <n v="1.1000000000000001"/>
    <x v="0"/>
    <x v="1"/>
    <s v="Falta Fruta esterilizada"/>
    <s v="Esterilización "/>
    <x v="4"/>
    <s v="Falta de fruto esterilizado"/>
  </r>
  <r>
    <x v="24"/>
    <x v="0"/>
    <x v="1"/>
    <d v="1899-12-30T18:53:00"/>
    <d v="1899-12-30T19:55:00"/>
    <n v="1.0333333333333334"/>
    <x v="0"/>
    <x v="1"/>
    <s v="Falta Fruta esterilizada"/>
    <s v="Esterilización "/>
    <x v="4"/>
    <s v="Falta de fruto esterilizado"/>
  </r>
  <r>
    <x v="25"/>
    <x v="0"/>
    <x v="1"/>
    <d v="1899-12-30T09:20:00"/>
    <d v="1899-12-30T09:50:00"/>
    <n v="0.5"/>
    <x v="0"/>
    <x v="1"/>
    <s v="Falla operativa"/>
    <s v="Planta generación de vapor"/>
    <x v="9"/>
    <s v="Taponamiento de sinfín a caldera"/>
  </r>
  <r>
    <x v="26"/>
    <x v="0"/>
    <x v="1"/>
    <d v="1899-12-30T06:00:00"/>
    <d v="1899-12-30T16:00:00"/>
    <n v="10"/>
    <x v="1"/>
    <x v="2"/>
    <s v="Mantenimiento programado"/>
    <s v="Planta general"/>
    <x v="5"/>
    <s v="-"/>
  </r>
  <r>
    <x v="26"/>
    <x v="0"/>
    <x v="1"/>
    <d v="1899-12-30T17:40:00"/>
    <d v="1899-12-30T18:50:00"/>
    <n v="1.1666666666666667"/>
    <x v="0"/>
    <x v="0"/>
    <s v="Falla mecánica"/>
    <s v="Recepción"/>
    <x v="18"/>
    <s v="Se sale cadena de redler #2"/>
  </r>
  <r>
    <x v="26"/>
    <x v="0"/>
    <x v="1"/>
    <d v="1899-12-30T20:45:00"/>
    <d v="1899-12-30T21:06:00"/>
    <n v="0.35"/>
    <x v="0"/>
    <x v="3"/>
    <s v="Falta de fruta fresca"/>
    <s v="Planta general"/>
    <x v="5"/>
    <m/>
  </r>
  <r>
    <x v="27"/>
    <x v="0"/>
    <x v="1"/>
    <d v="1899-12-30T06:00:00"/>
    <d v="1899-12-30T16:00:00"/>
    <n v="10"/>
    <x v="1"/>
    <x v="2"/>
    <s v="Mantenimiento programado"/>
    <s v="Planta general"/>
    <x v="5"/>
    <s v="-"/>
  </r>
  <r>
    <x v="27"/>
    <x v="0"/>
    <x v="1"/>
    <d v="1899-12-30T17:40:00"/>
    <d v="1899-12-30T18:50:00"/>
    <n v="1.1666666666666667"/>
    <x v="0"/>
    <x v="0"/>
    <s v="Falla mecánica"/>
    <s v="Esterilización "/>
    <x v="14"/>
    <m/>
  </r>
  <r>
    <x v="27"/>
    <x v="0"/>
    <x v="1"/>
    <d v="1899-12-30T20:45:00"/>
    <d v="1899-12-30T21:06:00"/>
    <n v="0.35"/>
    <x v="0"/>
    <x v="0"/>
    <s v="Falla mecánica"/>
    <s v="Palmistería"/>
    <x v="6"/>
    <m/>
  </r>
  <r>
    <x v="28"/>
    <x v="0"/>
    <x v="1"/>
    <d v="1899-12-30T06:00:00"/>
    <d v="1899-12-30T08:19:00"/>
    <n v="2.3166666666666664"/>
    <x v="1"/>
    <x v="2"/>
    <s v="Arranque planta"/>
    <s v="Planta general"/>
    <x v="5"/>
    <s v="Inicio de proceso"/>
  </r>
  <r>
    <x v="28"/>
    <x v="0"/>
    <x v="1"/>
    <d v="1899-12-30T14:00:00"/>
    <d v="1899-12-30T16:38:00"/>
    <n v="2.6333333333333333"/>
    <x v="0"/>
    <x v="1"/>
    <s v="Falta Fruta esterilizada"/>
    <s v="Esterilización "/>
    <x v="4"/>
    <s v="Falta de fruto esterilizado"/>
  </r>
  <r>
    <x v="28"/>
    <x v="0"/>
    <x v="1"/>
    <d v="1899-12-30T20:50:00"/>
    <d v="1899-12-30T21:10:00"/>
    <n v="0.33333333333333331"/>
    <x v="0"/>
    <x v="1"/>
    <s v="Falta Fruta esterilizada"/>
    <s v="Esterilización "/>
    <x v="4"/>
    <s v="Falta de fruto esterilizado"/>
  </r>
  <r>
    <x v="29"/>
    <x v="0"/>
    <x v="1"/>
    <d v="1899-12-30T06:00:00"/>
    <d v="1899-12-30T09:00:00"/>
    <n v="3"/>
    <x v="0"/>
    <x v="0"/>
    <s v="Falla mecánica"/>
    <s v="Recepción"/>
    <x v="7"/>
    <s v="Se dañan los rodamientos"/>
  </r>
  <r>
    <x v="29"/>
    <x v="0"/>
    <x v="1"/>
    <d v="1899-12-30T14:25:00"/>
    <d v="1899-12-30T15:58:00"/>
    <n v="1.55"/>
    <x v="0"/>
    <x v="1"/>
    <s v="Falta Fruta esterilizada"/>
    <s v="Esterilización "/>
    <x v="4"/>
    <s v="Falta de fruto esterilizado"/>
  </r>
  <r>
    <x v="29"/>
    <x v="0"/>
    <x v="1"/>
    <d v="1899-12-30T18:20:00"/>
    <d v="1899-12-30T23:39:00"/>
    <n v="5.3166666666666664"/>
    <x v="0"/>
    <x v="0"/>
    <s v="Falla mecánica"/>
    <s v="Recepción"/>
    <x v="17"/>
    <s v="Cadena Rota"/>
  </r>
  <r>
    <x v="29"/>
    <x v="0"/>
    <x v="1"/>
    <d v="1899-12-30T15:30:00"/>
    <d v="1899-12-30T16:03:00"/>
    <n v="0.55000000000000004"/>
    <x v="0"/>
    <x v="1"/>
    <s v="Falla operativa"/>
    <s v="Desfrutado"/>
    <x v="2"/>
    <s v="Se tapa 3 anillos a desfrutador"/>
  </r>
  <r>
    <x v="30"/>
    <x v="0"/>
    <x v="1"/>
    <d v="1899-12-30T06:25:00"/>
    <d v="1899-12-30T06:50:00"/>
    <n v="0.41666666666666669"/>
    <x v="0"/>
    <x v="1"/>
    <s v="Falta Fruta esterilizada"/>
    <s v="Esterilización "/>
    <x v="4"/>
    <s v="Falta de fruto esterilizado"/>
  </r>
  <r>
    <x v="30"/>
    <x v="0"/>
    <x v="1"/>
    <d v="1899-12-30T10:40:00"/>
    <d v="1899-12-30T11:00:00"/>
    <n v="0.33333333333333331"/>
    <x v="0"/>
    <x v="1"/>
    <s v="Falla operativa"/>
    <s v="Desfrutado"/>
    <x v="2"/>
    <s v="Se tapa 3 anillos a desfrutador"/>
  </r>
  <r>
    <x v="31"/>
    <x v="0"/>
    <x v="1"/>
    <d v="1899-12-30T06:00:00"/>
    <d v="1899-12-30T12:34:00"/>
    <n v="6.5666666666666664"/>
    <x v="0"/>
    <x v="0"/>
    <s v="Falla mecánica"/>
    <s v="Recepción"/>
    <x v="18"/>
    <m/>
  </r>
  <r>
    <x v="31"/>
    <x v="0"/>
    <x v="1"/>
    <d v="1899-12-30T15:05:00"/>
    <d v="1899-12-30T15:39:00"/>
    <n v="0.56666666666666665"/>
    <x v="0"/>
    <x v="1"/>
    <s v="Falta Fruta esterilizada"/>
    <s v="Esterilización "/>
    <x v="4"/>
    <s v="Falta de fruto esterilizado"/>
  </r>
  <r>
    <x v="31"/>
    <x v="0"/>
    <x v="1"/>
    <d v="1899-12-30T18:25:00"/>
    <d v="1899-12-30T20:00:00"/>
    <n v="1.5833333333333335"/>
    <x v="0"/>
    <x v="0"/>
    <s v="Falla mecánica"/>
    <s v="Recepción"/>
    <x v="17"/>
    <s v="Cadena Rota"/>
  </r>
  <r>
    <x v="32"/>
    <x v="0"/>
    <x v="1"/>
    <d v="1899-12-30T18:00:00"/>
    <d v="1899-12-30T19:58:00"/>
    <n v="1.9666666666666668"/>
    <x v="0"/>
    <x v="1"/>
    <s v="Falla operativa"/>
    <s v="Desfrutado"/>
    <x v="19"/>
    <s v="Sobrecarga del Sinfín"/>
  </r>
  <r>
    <x v="32"/>
    <x v="0"/>
    <x v="1"/>
    <d v="1899-12-30T22:56:00"/>
    <d v="1899-12-31T00:05:00"/>
    <n v="1.1499999999999999"/>
    <x v="0"/>
    <x v="0"/>
    <s v="Falla mecánica"/>
    <s v="Clarificación"/>
    <x v="20"/>
    <s v="Fuga por el sello"/>
  </r>
  <r>
    <x v="32"/>
    <x v="0"/>
    <x v="1"/>
    <d v="1899-12-30T02:22:00"/>
    <d v="1899-12-30T03:18:00"/>
    <n v="0.93333333333333335"/>
    <x v="0"/>
    <x v="3"/>
    <s v="Fluído eléctrico"/>
    <s v="Planta general"/>
    <x v="5"/>
    <s v="Falta fluído eléctrico"/>
  </r>
  <r>
    <x v="33"/>
    <x v="0"/>
    <x v="1"/>
    <d v="1899-12-30T23:00:00"/>
    <d v="1899-12-30T23:10:00"/>
    <n v="0.16666666666666666"/>
    <x v="0"/>
    <x v="0"/>
    <s v="Falla mecánica"/>
    <s v="Esterilización "/>
    <x v="17"/>
    <s v="Traviesa suelta"/>
  </r>
  <r>
    <x v="33"/>
    <x v="0"/>
    <x v="1"/>
    <m/>
    <m/>
    <n v="0"/>
    <x v="0"/>
    <x v="0"/>
    <s v="Falla mecánica"/>
    <s v="Palmistería"/>
    <x v="21"/>
    <s v="Se parte pasador-puente"/>
  </r>
  <r>
    <x v="33"/>
    <x v="0"/>
    <x v="1"/>
    <d v="1899-12-30T04:02:00"/>
    <d v="1899-12-30T04:17:00"/>
    <n v="0.25"/>
    <x v="0"/>
    <x v="0"/>
    <s v="Falla mecánica"/>
    <s v="Desfibración"/>
    <x v="0"/>
    <s v="Caída del motor del ventilador"/>
  </r>
  <r>
    <x v="34"/>
    <x v="0"/>
    <x v="1"/>
    <d v="1899-12-30T18:40:00"/>
    <d v="1899-12-30T19:10:00"/>
    <n v="0.5"/>
    <x v="0"/>
    <x v="1"/>
    <s v="Falta Fruta esterilizada"/>
    <s v="Esterilización "/>
    <x v="4"/>
    <s v="Falta de fruta esterilizada"/>
  </r>
  <r>
    <x v="34"/>
    <x v="0"/>
    <x v="1"/>
    <d v="1899-12-30T20:02:00"/>
    <d v="1899-12-30T20:07:00"/>
    <n v="8.3333333333333329E-2"/>
    <x v="0"/>
    <x v="3"/>
    <s v="Fluído eléctrico"/>
    <s v="Planta general"/>
    <x v="5"/>
    <s v="Falta fluído eléctrico"/>
  </r>
  <r>
    <x v="34"/>
    <x v="0"/>
    <x v="1"/>
    <d v="1899-12-30T21:30:00"/>
    <d v="1899-12-30T21:58:00"/>
    <n v="0.46666666666666667"/>
    <x v="0"/>
    <x v="1"/>
    <s v="Falla operativa"/>
    <s v="Desfrutado"/>
    <x v="19"/>
    <s v="Sobrecarga del Sinfín"/>
  </r>
  <r>
    <x v="34"/>
    <x v="0"/>
    <x v="1"/>
    <d v="1899-12-30T01:30:00"/>
    <d v="1899-12-30T01:43:00"/>
    <n v="0.21666666666666667"/>
    <x v="0"/>
    <x v="3"/>
    <s v="Fluído eléctrico"/>
    <s v="Planta general"/>
    <x v="5"/>
    <s v="Falta fluído eléctrico"/>
  </r>
  <r>
    <x v="34"/>
    <x v="0"/>
    <x v="1"/>
    <d v="1899-12-30T02:50:00"/>
    <d v="1899-12-30T03:32:00"/>
    <n v="0.7"/>
    <x v="0"/>
    <x v="0"/>
    <s v="Falla mecánica"/>
    <s v="Planta generación de vapor"/>
    <x v="22"/>
    <s v="Se queman las correas del compresor"/>
  </r>
  <r>
    <x v="34"/>
    <x v="0"/>
    <x v="1"/>
    <d v="1899-12-30T04:07:00"/>
    <d v="1899-12-30T04:35:00"/>
    <n v="0.46666666666666667"/>
    <x v="0"/>
    <x v="1"/>
    <s v="Falta Fruta esterilizada"/>
    <s v="Esterilización "/>
    <x v="4"/>
    <s v="Falta de fruto esterilizado"/>
  </r>
  <r>
    <x v="35"/>
    <x v="0"/>
    <x v="1"/>
    <d v="1899-12-30T06:10:00"/>
    <d v="1899-12-30T06:30:00"/>
    <n v="0.33333333333333331"/>
    <x v="0"/>
    <x v="0"/>
    <s v="Falla mecánica"/>
    <s v="Esterilización "/>
    <x v="7"/>
    <s v="Se soltó una traviesa"/>
  </r>
  <r>
    <x v="35"/>
    <x v="0"/>
    <x v="1"/>
    <d v="1899-12-30T12:05:00"/>
    <d v="1899-12-30T12:30:00"/>
    <n v="0.41666666666666669"/>
    <x v="0"/>
    <x v="0"/>
    <s v="Falla mecánica"/>
    <s v="Palmistería"/>
    <x v="21"/>
    <s v="Daño de hélices"/>
  </r>
  <r>
    <x v="35"/>
    <x v="0"/>
    <x v="1"/>
    <d v="1899-12-30T13:50:00"/>
    <d v="1899-12-30T14:20:00"/>
    <n v="0.5"/>
    <x v="0"/>
    <x v="0"/>
    <s v="Falla mecánica"/>
    <s v="Palmistería"/>
    <x v="21"/>
    <s v="Daño de hélices"/>
  </r>
  <r>
    <x v="35"/>
    <x v="0"/>
    <x v="1"/>
    <d v="1899-12-30T18:50:00"/>
    <d v="1899-12-30T19:03:00"/>
    <n v="0.21666666666666667"/>
    <x v="0"/>
    <x v="0"/>
    <s v="Falla mecánica"/>
    <s v="Digestión y prensado"/>
    <x v="13"/>
    <s v="El amperaje no sube y empieza a salir fibra impregnada"/>
  </r>
  <r>
    <x v="35"/>
    <x v="0"/>
    <x v="1"/>
    <d v="1899-12-30T19:13:00"/>
    <d v="1899-12-30T19:37:00"/>
    <n v="0.4"/>
    <x v="0"/>
    <x v="0"/>
    <s v="Falla mecánica"/>
    <s v="Digestión y prensado"/>
    <x v="13"/>
    <s v="El amperaje no sube y empieza a salir fibra impregnada"/>
  </r>
  <r>
    <x v="36"/>
    <x v="0"/>
    <x v="1"/>
    <d v="1899-12-30T07:48:00"/>
    <d v="1899-12-30T08:47:00"/>
    <n v="0.98333333333333328"/>
    <x v="0"/>
    <x v="0"/>
    <s v="Falla mecánica"/>
    <s v="Desfrutado"/>
    <x v="8"/>
    <s v="Se desencadena del piñón"/>
  </r>
  <r>
    <x v="36"/>
    <x v="0"/>
    <x v="1"/>
    <d v="1899-12-30T05:27:00"/>
    <d v="1899-12-30T06:05:00"/>
    <n v="0.6333333333333333"/>
    <x v="0"/>
    <x v="1"/>
    <s v="Falla operativa"/>
    <s v="Clarificación"/>
    <x v="16"/>
    <s v="Tapadas"/>
  </r>
  <r>
    <x v="36"/>
    <x v="0"/>
    <x v="1"/>
    <d v="1899-12-30T08:20:00"/>
    <d v="1899-12-30T08:45:00"/>
    <n v="0.41666666666666669"/>
    <x v="0"/>
    <x v="0"/>
    <s v="Falla mecánica"/>
    <s v="Digestión y prensado"/>
    <x v="13"/>
    <s v="Pierde presión los conos"/>
  </r>
  <r>
    <x v="36"/>
    <x v="0"/>
    <x v="1"/>
    <d v="1899-12-30T10:23:00"/>
    <d v="1899-12-30T10:54:00"/>
    <n v="0.51666666666666672"/>
    <x v="0"/>
    <x v="0"/>
    <s v="Falla mecánica"/>
    <s v="Digestión y prensado"/>
    <x v="13"/>
    <s v="Tornillo izquierdo tapado"/>
  </r>
  <r>
    <x v="37"/>
    <x v="0"/>
    <x v="1"/>
    <d v="1899-12-30T06:00:00"/>
    <d v="1899-12-30T06:45:00"/>
    <n v="0.75"/>
    <x v="0"/>
    <x v="1"/>
    <s v="Falla operativa"/>
    <s v="Clarificación"/>
    <x v="16"/>
    <s v="Tapadas"/>
  </r>
  <r>
    <x v="37"/>
    <x v="0"/>
    <x v="1"/>
    <d v="1899-12-30T09:53:00"/>
    <d v="1899-12-30T12:27:00"/>
    <n v="2.5666666666666664"/>
    <x v="0"/>
    <x v="0"/>
    <s v="Falla mecánica"/>
    <s v="Esterilización "/>
    <x v="23"/>
    <s v="Se quiebra la pestaña de enganche en el fondo "/>
  </r>
  <r>
    <x v="37"/>
    <x v="0"/>
    <x v="1"/>
    <d v="1899-12-30T14:37:00"/>
    <d v="1899-12-30T14:47:00"/>
    <n v="0.16666666666666666"/>
    <x v="0"/>
    <x v="0"/>
    <s v="Falla eléctrica"/>
    <s v="Palmistería"/>
    <x v="21"/>
    <s v="Falla eléctrica por tormenta"/>
  </r>
  <r>
    <x v="37"/>
    <x v="0"/>
    <x v="1"/>
    <d v="1899-12-30T14:55:00"/>
    <d v="1899-12-30T15:10:00"/>
    <n v="0.25"/>
    <x v="0"/>
    <x v="0"/>
    <s v="Falla eléctrica"/>
    <s v="Desfibración"/>
    <x v="24"/>
    <s v="Se apagó debido a tormenta"/>
  </r>
  <r>
    <x v="37"/>
    <x v="0"/>
    <x v="1"/>
    <d v="1899-12-30T15:17:00"/>
    <d v="1899-12-30T16:20:00"/>
    <n v="1.05"/>
    <x v="0"/>
    <x v="1"/>
    <s v="Falla operativa"/>
    <s v="Desfrutado"/>
    <x v="2"/>
    <s v="Se frenaba al arrancar debido a un babero suelto"/>
  </r>
  <r>
    <x v="37"/>
    <x v="0"/>
    <x v="1"/>
    <d v="1899-12-30T19:00:00"/>
    <d v="1899-12-30T19:17:00"/>
    <n v="0.28333333333333333"/>
    <x v="0"/>
    <x v="1"/>
    <s v="Falla operativa"/>
    <s v="Clarificación"/>
    <x v="16"/>
    <s v="Tapadas"/>
  </r>
  <r>
    <x v="38"/>
    <x v="0"/>
    <x v="1"/>
    <d v="1899-12-30T06:00:00"/>
    <d v="1899-12-30T07:10:00"/>
    <n v="1.1666666666666667"/>
    <x v="0"/>
    <x v="1"/>
    <s v="Falla operativa"/>
    <s v="Desfrutado"/>
    <x v="2"/>
    <s v="Anillos tapados"/>
  </r>
  <r>
    <x v="38"/>
    <x v="0"/>
    <x v="1"/>
    <d v="1899-12-30T08:35:00"/>
    <d v="1899-12-30T10:23:00"/>
    <n v="1.8"/>
    <x v="0"/>
    <x v="0"/>
    <s v="Falla mecánica"/>
    <s v="Clarificación"/>
    <x v="20"/>
    <s v="Fuga por el sello"/>
  </r>
  <r>
    <x v="38"/>
    <x v="0"/>
    <x v="1"/>
    <d v="1899-12-30T14:35:00"/>
    <d v="1899-12-30T14:55:00"/>
    <n v="0.33333333333333331"/>
    <x v="1"/>
    <x v="2"/>
    <s v="Mantenimiento programado"/>
    <s v="Planta general"/>
    <x v="5"/>
    <s v="Instalación neutro en cuarto de control"/>
  </r>
  <r>
    <x v="38"/>
    <x v="0"/>
    <x v="1"/>
    <d v="1899-12-30T21:14:00"/>
    <d v="1899-12-30T21:40:00"/>
    <n v="0.43333333333333335"/>
    <x v="0"/>
    <x v="3"/>
    <s v="Falta de fruta fresca"/>
    <s v="Planta general"/>
    <x v="5"/>
    <s v="-"/>
  </r>
  <r>
    <x v="38"/>
    <x v="0"/>
    <x v="1"/>
    <d v="1899-12-30T23:34:00"/>
    <d v="1899-12-30T23:39:00"/>
    <n v="8.3333333333333329E-2"/>
    <x v="0"/>
    <x v="3"/>
    <s v="Fluído eléctrico"/>
    <s v="Planta general"/>
    <x v="5"/>
    <s v="-"/>
  </r>
  <r>
    <x v="39"/>
    <x v="0"/>
    <x v="1"/>
    <d v="1899-12-30T06:00:00"/>
    <d v="1899-12-30T12:16:00"/>
    <n v="6.2666666666666666"/>
    <x v="0"/>
    <x v="3"/>
    <s v="Falta de fruta fresca"/>
    <s v="Planta general"/>
    <x v="5"/>
    <s v="-"/>
  </r>
  <r>
    <x v="39"/>
    <x v="0"/>
    <x v="1"/>
    <d v="1899-12-30T14:14:00"/>
    <d v="1899-12-30T14:48:00"/>
    <n v="0.56666666666666665"/>
    <x v="0"/>
    <x v="1"/>
    <s v="Falta Fruta esterilizada"/>
    <s v="Esterilización "/>
    <x v="4"/>
    <s v="Falta de fruto esterilizado"/>
  </r>
  <r>
    <x v="39"/>
    <x v="0"/>
    <x v="1"/>
    <d v="1899-12-30T19:40:00"/>
    <d v="1899-12-30T19:55:00"/>
    <n v="0.25"/>
    <x v="0"/>
    <x v="3"/>
    <s v="Fluído eléctrico"/>
    <s v="Planta general"/>
    <x v="5"/>
    <s v="-"/>
  </r>
  <r>
    <x v="39"/>
    <x v="0"/>
    <x v="1"/>
    <d v="1899-12-30T21:09:00"/>
    <d v="1899-12-30T21:23:00"/>
    <n v="0.23333333333333334"/>
    <x v="0"/>
    <x v="3"/>
    <s v="Fluído eléctrico"/>
    <s v="Planta general"/>
    <x v="5"/>
    <s v="-"/>
  </r>
  <r>
    <x v="40"/>
    <x v="0"/>
    <x v="1"/>
    <d v="1899-12-30T03:17:00"/>
    <d v="1899-12-30T06:00:00"/>
    <n v="2.7166666666666668"/>
    <x v="0"/>
    <x v="3"/>
    <s v="Falta de fruta fresca"/>
    <s v="Planta general"/>
    <x v="5"/>
    <s v="-"/>
  </r>
  <r>
    <x v="41"/>
    <x v="0"/>
    <x v="1"/>
    <d v="1899-12-30T18:40:00"/>
    <d v="1899-12-30T19:00:00"/>
    <n v="0.33333333333333331"/>
    <x v="0"/>
    <x v="1"/>
    <s v="Falla operativa"/>
    <s v="Desfrutado"/>
    <x v="8"/>
    <s v="Taponamiento"/>
  </r>
  <r>
    <x v="41"/>
    <x v="0"/>
    <x v="1"/>
    <d v="1899-12-30T01:20:00"/>
    <d v="1899-12-30T01:55:00"/>
    <n v="0.58333333333333337"/>
    <x v="0"/>
    <x v="0"/>
    <s v="Falla eléctrica"/>
    <s v="Recepción"/>
    <x v="25"/>
    <s v="Cable suelto"/>
  </r>
  <r>
    <x v="42"/>
    <x v="0"/>
    <x v="1"/>
    <d v="1899-12-30T10:13:00"/>
    <d v="1899-12-30T11:21:00"/>
    <n v="1.1333333333333333"/>
    <x v="0"/>
    <x v="3"/>
    <s v="Falta de fruta fresca"/>
    <s v="Planta general"/>
    <x v="5"/>
    <s v="-"/>
  </r>
  <r>
    <x v="42"/>
    <x v="0"/>
    <x v="1"/>
    <d v="1899-12-30T10:38:00"/>
    <d v="1899-12-30T11:21:00"/>
    <n v="0.71666666666666667"/>
    <x v="0"/>
    <x v="0"/>
    <s v="Falla mecánica"/>
    <s v="Clarificación"/>
    <x v="11"/>
    <s v="Se corrió el tamiz"/>
  </r>
  <r>
    <x v="42"/>
    <x v="0"/>
    <x v="1"/>
    <d v="1899-12-30T05:49:00"/>
    <d v="1899-12-30T06:17:00"/>
    <n v="0.46666666666666667"/>
    <x v="0"/>
    <x v="1"/>
    <s v="Falta Fruta esterilizada"/>
    <s v="Esterilización "/>
    <x v="4"/>
    <s v="Falta de fruto esterilizado"/>
  </r>
  <r>
    <x v="42"/>
    <x v="0"/>
    <x v="1"/>
    <d v="1899-12-30T00:00:00"/>
    <d v="1899-12-30T02:30:00"/>
    <n v="2.5"/>
    <x v="0"/>
    <x v="0"/>
    <s v="Falla mecánica"/>
    <s v="Clarificación"/>
    <x v="11"/>
    <s v="Se corrió el tamiz-Malla rota "/>
  </r>
  <r>
    <x v="42"/>
    <x v="0"/>
    <x v="1"/>
    <d v="1899-12-30T03:10:00"/>
    <d v="1899-12-30T03:23:00"/>
    <n v="0.21666666666666667"/>
    <x v="0"/>
    <x v="0"/>
    <s v="Falla eléctrica"/>
    <s v="Esterilización "/>
    <x v="26"/>
    <s v="Se desconfigura el sistema por corte de energía"/>
  </r>
  <r>
    <x v="42"/>
    <x v="0"/>
    <x v="1"/>
    <d v="1899-12-30T03:23:00"/>
    <d v="1900-01-03T05:31:12"/>
    <n v="2.1333333333333333"/>
    <x v="0"/>
    <x v="3"/>
    <s v="Fluído eléctrico"/>
    <s v="Planta general"/>
    <x v="5"/>
    <s v="-"/>
  </r>
  <r>
    <x v="43"/>
    <x v="0"/>
    <x v="1"/>
    <d v="1899-12-30T10:08:00"/>
    <d v="1899-12-30T12:50:00"/>
    <n v="2.7"/>
    <x v="0"/>
    <x v="0"/>
    <s v="Falla mecánica"/>
    <s v="Clarificación"/>
    <x v="27"/>
    <s v="Se partió el sinfín de afrecho"/>
  </r>
  <r>
    <x v="43"/>
    <x v="0"/>
    <x v="1"/>
    <d v="1899-12-30T01:08:00"/>
    <d v="1899-12-30T01:40:00"/>
    <n v="0.53333333333333333"/>
    <x v="0"/>
    <x v="0"/>
    <s v="Falla mecánica"/>
    <s v="Clarificación"/>
    <x v="11"/>
    <m/>
  </r>
  <r>
    <x v="43"/>
    <x v="0"/>
    <x v="1"/>
    <d v="1899-12-30T03:10:00"/>
    <d v="1899-12-30T04:20:00"/>
    <n v="1.1666666666666667"/>
    <x v="0"/>
    <x v="0"/>
    <s v="Falla mecánica"/>
    <s v="Desfrutado"/>
    <x v="8"/>
    <s v="Se desencadena elevador"/>
  </r>
  <r>
    <x v="43"/>
    <x v="0"/>
    <x v="1"/>
    <d v="1899-12-30T17:28:00"/>
    <d v="1899-12-30T18:37:00"/>
    <n v="1.1499999999999999"/>
    <x v="0"/>
    <x v="0"/>
    <s v="Falla mecánica"/>
    <s v="Desfrutado"/>
    <x v="8"/>
    <s v="Se desencadena elevador"/>
  </r>
  <r>
    <x v="44"/>
    <x v="0"/>
    <x v="1"/>
    <d v="1899-12-30T06:00:00"/>
    <d v="1899-12-30T06:43:00"/>
    <n v="0.71666666666666667"/>
    <x v="0"/>
    <x v="0"/>
    <s v="Falla mecánica"/>
    <s v="Digestión y prensado"/>
    <x v="28"/>
    <s v="Se salió un cangilón y frenó el sinfín"/>
  </r>
  <r>
    <x v="44"/>
    <x v="0"/>
    <x v="1"/>
    <d v="1899-12-30T12:55:00"/>
    <d v="1899-12-30T13:57:00"/>
    <n v="1.0333333333333334"/>
    <x v="0"/>
    <x v="0"/>
    <s v="Falla mecánica"/>
    <s v="Recepción"/>
    <x v="29"/>
    <m/>
  </r>
  <r>
    <x v="45"/>
    <x v="0"/>
    <x v="1"/>
    <d v="1899-12-30T06:00:00"/>
    <d v="1899-12-30T07:00:00"/>
    <n v="1"/>
    <x v="0"/>
    <x v="3"/>
    <s v="Falta de fruta fresca"/>
    <s v="Planta general"/>
    <x v="5"/>
    <s v="-"/>
  </r>
  <r>
    <x v="45"/>
    <x v="0"/>
    <x v="1"/>
    <d v="1899-12-30T11:30:00"/>
    <d v="1899-12-30T14:10:00"/>
    <n v="2.6666666666666665"/>
    <x v="0"/>
    <x v="0"/>
    <s v="Falla mecánica"/>
    <s v="Planta generación de vapor"/>
    <x v="30"/>
    <s v="Se partió tubo"/>
  </r>
  <r>
    <x v="46"/>
    <x v="0"/>
    <x v="1"/>
    <d v="1899-12-30T08:20:00"/>
    <d v="1899-12-30T08:55:00"/>
    <n v="0.58333333333333337"/>
    <x v="0"/>
    <x v="1"/>
    <s v="Falla operativa"/>
    <s v="Desfrutado"/>
    <x v="2"/>
    <s v="Se tapan anillos a desfrutador"/>
  </r>
  <r>
    <x v="47"/>
    <x v="0"/>
    <x v="2"/>
    <d v="1899-12-30T15:10:00"/>
    <d v="1899-12-30T15:50:00"/>
    <n v="0.66666666666666663"/>
    <x v="0"/>
    <x v="1"/>
    <s v="Falla operativa"/>
    <s v="Digestión y prensado"/>
    <x v="31"/>
    <s v="Taponamiento por sobrecarga"/>
  </r>
  <r>
    <x v="47"/>
    <x v="0"/>
    <x v="2"/>
    <d v="1899-12-30T17:00:00"/>
    <d v="1899-12-30T17:45:00"/>
    <n v="0.75"/>
    <x v="0"/>
    <x v="1"/>
    <s v="Falta Fruta esterilizada"/>
    <s v="Esterilización "/>
    <x v="4"/>
    <s v="Falta de fruto esterilizado"/>
  </r>
  <r>
    <x v="48"/>
    <x v="0"/>
    <x v="2"/>
    <d v="1899-12-30T06:00:00"/>
    <d v="1899-12-30T09:10:00"/>
    <n v="3.1666666666666665"/>
    <x v="0"/>
    <x v="1"/>
    <s v="Falla operativa"/>
    <s v="Planta general"/>
    <x v="5"/>
    <m/>
  </r>
  <r>
    <x v="48"/>
    <x v="0"/>
    <x v="2"/>
    <d v="1899-12-30T14:38:00"/>
    <d v="1899-12-30T15:00:00"/>
    <n v="0.36666666666666664"/>
    <x v="0"/>
    <x v="0"/>
    <s v="Falla mecánica"/>
    <s v="Clarificación"/>
    <x v="20"/>
    <s v="Se dañó el cheque"/>
  </r>
  <r>
    <x v="48"/>
    <x v="0"/>
    <x v="2"/>
    <d v="1899-12-30T20:05:00"/>
    <d v="1899-12-30T21:15:00"/>
    <n v="1.1666666666666667"/>
    <x v="0"/>
    <x v="0"/>
    <s v="Falla mecánica"/>
    <s v="Esterilización "/>
    <x v="32"/>
    <s v="Se estalló manguera del puente"/>
  </r>
  <r>
    <x v="49"/>
    <x v="0"/>
    <x v="2"/>
    <d v="1899-12-30T06:00:00"/>
    <d v="1899-12-30T14:00:00"/>
    <n v="8"/>
    <x v="0"/>
    <x v="3"/>
    <s v="Falta de fruta fresca"/>
    <s v="Planta general"/>
    <x v="5"/>
    <s v="-"/>
  </r>
  <r>
    <x v="50"/>
    <x v="0"/>
    <x v="2"/>
    <d v="1899-12-30T06:00:00"/>
    <d v="1899-12-30T15:00:00"/>
    <n v="9"/>
    <x v="0"/>
    <x v="0"/>
    <s v="Falla mecánica"/>
    <s v="Recepción"/>
    <x v="7"/>
    <s v="Se rompe cadena en 3 tramos"/>
  </r>
  <r>
    <x v="50"/>
    <x v="0"/>
    <x v="2"/>
    <d v="1899-12-30T13:00:00"/>
    <d v="1899-12-30T13:15:00"/>
    <n v="0.25"/>
    <x v="0"/>
    <x v="1"/>
    <s v="Falta Fruta esterilizada"/>
    <s v="Esterilización "/>
    <x v="4"/>
    <s v="Falta de fruto esterilizado"/>
  </r>
  <r>
    <x v="51"/>
    <x v="0"/>
    <x v="2"/>
    <d v="1899-12-30T18:22:00"/>
    <d v="1899-12-30T18:39:00"/>
    <n v="0.28333333333333333"/>
    <x v="0"/>
    <x v="1"/>
    <s v="Falla operativa"/>
    <s v="Digestión y prensado"/>
    <x v="13"/>
    <s v="Tapado tornillo derecho"/>
  </r>
  <r>
    <x v="51"/>
    <x v="0"/>
    <x v="2"/>
    <d v="1899-12-30T20:06:00"/>
    <d v="1899-12-30T21:25:00"/>
    <n v="1.3166666666666667"/>
    <x v="0"/>
    <x v="0"/>
    <s v="Falla mecánica"/>
    <s v="Esterilización "/>
    <x v="18"/>
    <s v="Se partió la cadena"/>
  </r>
  <r>
    <x v="51"/>
    <x v="0"/>
    <x v="2"/>
    <d v="1899-12-30T03:25:00"/>
    <d v="1899-12-30T03:58:00"/>
    <n v="0.55000000000000004"/>
    <x v="0"/>
    <x v="1"/>
    <s v="Falla operativa"/>
    <s v="Planta generación de vapor"/>
    <x v="9"/>
    <s v="Se taparon los ductos de alimentación"/>
  </r>
  <r>
    <x v="52"/>
    <x v="0"/>
    <x v="2"/>
    <d v="1899-12-30T07:00:00"/>
    <d v="1899-12-30T08:00:00"/>
    <n v="1"/>
    <x v="0"/>
    <x v="0"/>
    <s v="Falla mecánica"/>
    <s v="Clarificación"/>
    <x v="33"/>
    <s v="Se dañó el acople de la bomba"/>
  </r>
  <r>
    <x v="52"/>
    <x v="0"/>
    <x v="2"/>
    <d v="1899-12-30T09:00:00"/>
    <d v="1899-12-30T09:35:00"/>
    <n v="0.58333333333333337"/>
    <x v="0"/>
    <x v="0"/>
    <s v="Falla mecánica"/>
    <s v="Planta generación de vapor"/>
    <x v="34"/>
    <s v="Se dañaron las correas"/>
  </r>
  <r>
    <x v="52"/>
    <x v="0"/>
    <x v="2"/>
    <d v="1899-12-30T01:47:00"/>
    <d v="1899-12-30T01:57:00"/>
    <n v="0.16666666666666666"/>
    <x v="0"/>
    <x v="3"/>
    <s v="Fluído eléctrico"/>
    <s v="Planta general"/>
    <x v="5"/>
    <s v="-"/>
  </r>
  <r>
    <x v="53"/>
    <x v="0"/>
    <x v="2"/>
    <d v="1899-12-30T11:08:00"/>
    <d v="1899-12-30T13:05:00"/>
    <n v="1.95"/>
    <x v="0"/>
    <x v="0"/>
    <s v="Falla mecánica"/>
    <s v="Clarificación"/>
    <x v="11"/>
    <s v="Se rompió malla"/>
  </r>
  <r>
    <x v="53"/>
    <x v="0"/>
    <x v="2"/>
    <d v="1899-12-30T16:20:00"/>
    <d v="1899-12-30T17:23:00"/>
    <n v="1.05"/>
    <x v="0"/>
    <x v="1"/>
    <s v="Falla operativa"/>
    <s v="Desfrutado"/>
    <x v="2"/>
    <s v="Se taparon 3 anillos"/>
  </r>
  <r>
    <x v="53"/>
    <x v="0"/>
    <x v="2"/>
    <d v="1899-12-30T19:20:00"/>
    <d v="1899-12-30T22:30:00"/>
    <n v="3.1666666666666665"/>
    <x v="0"/>
    <x v="0"/>
    <s v="Falla eléctrica"/>
    <s v="Clarificación"/>
    <x v="35"/>
    <s v="Se funden los motores"/>
  </r>
  <r>
    <x v="53"/>
    <x v="0"/>
    <x v="2"/>
    <d v="1899-12-30T00:00:00"/>
    <d v="1899-12-30T00:17:00"/>
    <n v="0.28333333333333333"/>
    <x v="0"/>
    <x v="3"/>
    <s v="Fluído eléctrico"/>
    <s v="Planta general"/>
    <x v="5"/>
    <s v="-"/>
  </r>
  <r>
    <x v="53"/>
    <x v="0"/>
    <x v="2"/>
    <d v="1899-12-30T01:08:00"/>
    <d v="1899-12-30T02:17:00"/>
    <n v="1.1499999999999999"/>
    <x v="0"/>
    <x v="0"/>
    <s v="Falla eléctrica"/>
    <s v="Clarificación"/>
    <x v="35"/>
    <s v="Se tapan las centrífugas"/>
  </r>
  <r>
    <x v="53"/>
    <x v="0"/>
    <x v="2"/>
    <d v="1899-12-30T03:20:00"/>
    <d v="1899-12-30T06:00:00"/>
    <n v="2.6666666666666665"/>
    <x v="0"/>
    <x v="0"/>
    <s v="Falla eléctrica"/>
    <s v="Clarificación"/>
    <x v="35"/>
    <s v="Se tapan las centrífugas"/>
  </r>
  <r>
    <x v="54"/>
    <x v="0"/>
    <x v="2"/>
    <d v="1899-12-30T18:00:00"/>
    <d v="1899-12-30T22:10:00"/>
    <n v="4.166666666666667"/>
    <x v="0"/>
    <x v="0"/>
    <s v="Falla mecánica"/>
    <s v="Esterilización "/>
    <x v="7"/>
    <s v="Se cayó"/>
  </r>
  <r>
    <x v="55"/>
    <x v="0"/>
    <x v="2"/>
    <d v="1899-12-30T07:50:00"/>
    <d v="1899-12-30T08:25:00"/>
    <n v="0.58333333333333337"/>
    <x v="0"/>
    <x v="1"/>
    <s v="Falla operativa"/>
    <s v="Desfrutado"/>
    <x v="8"/>
    <s v="Tapado por sobrecarga"/>
  </r>
  <r>
    <x v="55"/>
    <x v="0"/>
    <x v="2"/>
    <d v="1899-12-30T03:17:00"/>
    <d v="1899-12-30T03:48:00"/>
    <n v="0.51666666666666672"/>
    <x v="0"/>
    <x v="1"/>
    <s v="Falla operativa"/>
    <s v="Digestión y prensado"/>
    <x v="13"/>
    <s v="Se tapa tornillo derecho"/>
  </r>
  <r>
    <x v="56"/>
    <x v="0"/>
    <x v="2"/>
    <d v="1899-12-30T06:00:00"/>
    <d v="1899-12-30T13:30:00"/>
    <n v="7.5"/>
    <x v="0"/>
    <x v="0"/>
    <s v="Falla mecánica"/>
    <s v="Planta generación de vapor"/>
    <x v="22"/>
    <s v="Falla empaque manhall del pitorubo"/>
  </r>
  <r>
    <x v="56"/>
    <x v="0"/>
    <x v="2"/>
    <d v="1899-12-30T15:00:00"/>
    <d v="1899-12-30T15:40:00"/>
    <n v="0.66666666666666663"/>
    <x v="0"/>
    <x v="1"/>
    <s v="Falla operativa"/>
    <s v="Clarificación"/>
    <x v="16"/>
    <s v="Taponamiento"/>
  </r>
  <r>
    <x v="57"/>
    <x v="0"/>
    <x v="2"/>
    <d v="1899-12-30T11:24:00"/>
    <d v="1899-12-30T11:36:00"/>
    <n v="0.2"/>
    <x v="0"/>
    <x v="0"/>
    <s v="Falla eléctrica"/>
    <s v="Digestión y prensado"/>
    <x v="13"/>
    <s v="No estaba energizada"/>
  </r>
  <r>
    <x v="57"/>
    <x v="0"/>
    <x v="2"/>
    <d v="1899-12-30T21:06:00"/>
    <d v="1899-12-30T22:00:00"/>
    <n v="0.9"/>
    <x v="0"/>
    <x v="0"/>
    <s v="Falla mecánica"/>
    <s v="Esterilización "/>
    <x v="36"/>
    <s v="Se desacopló el gato de soporte"/>
  </r>
  <r>
    <x v="58"/>
    <x v="0"/>
    <x v="2"/>
    <d v="1899-12-30T06:00:00"/>
    <d v="1899-12-30T16:10:00"/>
    <n v="10.166666666666666"/>
    <x v="0"/>
    <x v="0"/>
    <s v="Falla mecánica"/>
    <s v="Recepción"/>
    <x v="7"/>
    <s v="Se cae traviesas "/>
  </r>
  <r>
    <x v="58"/>
    <x v="0"/>
    <x v="2"/>
    <d v="1899-12-30T17:15:00"/>
    <d v="1899-12-30T18:00:00"/>
    <n v="0.75"/>
    <x v="0"/>
    <x v="0"/>
    <s v="Falla mecánica"/>
    <s v="Clarificación"/>
    <x v="11"/>
    <s v="Se corrió"/>
  </r>
  <r>
    <x v="59"/>
    <x v="0"/>
    <x v="2"/>
    <d v="1899-12-30T22:35:00"/>
    <d v="1899-12-31T00:41:00"/>
    <n v="2.1"/>
    <x v="0"/>
    <x v="0"/>
    <s v="Falla mecánica"/>
    <s v="Planta generación de vapor"/>
    <x v="34"/>
    <s v="Distención de correas"/>
  </r>
  <r>
    <x v="60"/>
    <x v="0"/>
    <x v="2"/>
    <d v="1899-12-30T09:20:00"/>
    <d v="1899-12-30T10:05:00"/>
    <n v="0.75"/>
    <x v="0"/>
    <x v="0"/>
    <s v="Falla mecánica"/>
    <s v="Clarificación"/>
    <x v="37"/>
    <s v="Se cambió, estaba dañada"/>
  </r>
  <r>
    <x v="60"/>
    <x v="0"/>
    <x v="2"/>
    <d v="1899-12-30T11:00:00"/>
    <d v="1899-12-30T11:17:00"/>
    <n v="0.28333333333333333"/>
    <x v="0"/>
    <x v="1"/>
    <s v="Falla operativa"/>
    <s v="Palmistería"/>
    <x v="6"/>
    <s v="Se tapó"/>
  </r>
  <r>
    <x v="60"/>
    <x v="0"/>
    <x v="2"/>
    <d v="1899-12-30T11:54:00"/>
    <d v="1899-12-30T12:16:00"/>
    <n v="0.36666666666666664"/>
    <x v="0"/>
    <x v="0"/>
    <s v="Falla mecánica"/>
    <s v="Clarificación"/>
    <x v="11"/>
    <s v="Resortes en mal estado"/>
  </r>
  <r>
    <x v="61"/>
    <x v="0"/>
    <x v="2"/>
    <d v="1899-12-30T10:40:00"/>
    <d v="1899-12-30T18:00:00"/>
    <n v="7.333333333333333"/>
    <x v="0"/>
    <x v="0"/>
    <s v="Falla mecánica"/>
    <s v="Digestión y prensado"/>
    <x v="13"/>
    <s v="Se parte eje de alargadera"/>
  </r>
  <r>
    <x v="61"/>
    <x v="0"/>
    <x v="2"/>
    <d v="1899-12-30T18:00:00"/>
    <d v="1899-12-31T00:05:00"/>
    <n v="6.083333333333333"/>
    <x v="0"/>
    <x v="0"/>
    <s v="Falla mecánica"/>
    <s v="Planta generación de vapor"/>
    <x v="22"/>
    <s v="Falla empaque manhall del pitorubo"/>
  </r>
  <r>
    <x v="62"/>
    <x v="0"/>
    <x v="2"/>
    <d v="1899-12-30T02:13:00"/>
    <d v="1899-12-30T03:48:00"/>
    <n v="1.5833333333333335"/>
    <x v="0"/>
    <x v="0"/>
    <s v="Falla mecánica"/>
    <s v="Digestión y prensado"/>
    <x v="38"/>
    <s v="Se rompe racor qu une la unidad con la manguera "/>
  </r>
  <r>
    <x v="63"/>
    <x v="0"/>
    <x v="2"/>
    <d v="1899-12-30T06:45:00"/>
    <d v="1899-12-30T07:43:00"/>
    <n v="0.96666666666666667"/>
    <x v="0"/>
    <x v="0"/>
    <s v="Falla mecánica"/>
    <s v="Clarificación"/>
    <x v="39"/>
    <s v="Se sale cuña del acople y no presenta prisionero"/>
  </r>
  <r>
    <x v="64"/>
    <x v="0"/>
    <x v="2"/>
    <d v="1899-12-30T11:30:00"/>
    <d v="1899-12-30T12:00:00"/>
    <n v="0.5"/>
    <x v="0"/>
    <x v="0"/>
    <s v="Falla mecánica"/>
    <s v="Clarificación"/>
    <x v="39"/>
    <s v="Se sale cuña del acople y no presenta prisionero se solda y se programa cambio de cheque lo que acaciona dicha falla"/>
  </r>
  <r>
    <x v="65"/>
    <x v="0"/>
    <x v="2"/>
    <d v="1899-12-30T07:25:00"/>
    <d v="1899-12-30T07:50:00"/>
    <n v="0.41666666666666669"/>
    <x v="0"/>
    <x v="0"/>
    <s v="Falla mecánica"/>
    <s v="Desfrutado"/>
    <x v="8"/>
    <s v=" Se descadena elevador de fruto se encadena y continua proceso."/>
  </r>
  <r>
    <x v="65"/>
    <x v="0"/>
    <x v="2"/>
    <d v="1899-12-30T08:34:00"/>
    <d v="1899-12-30T09:52:00"/>
    <n v="1.3"/>
    <x v="0"/>
    <x v="0"/>
    <s v="Falla mecánica"/>
    <s v="Desfrutado"/>
    <x v="8"/>
    <s v="Se salta la cadena de arrastre del elevador se deside recortar para evitar descadenamiento."/>
  </r>
  <r>
    <x v="65"/>
    <x v="0"/>
    <x v="2"/>
    <d v="1899-12-30T10:25:00"/>
    <d v="1899-12-30T11:30:00"/>
    <n v="1.0833333333333333"/>
    <x v="0"/>
    <x v="0"/>
    <s v="Falla mecánica"/>
    <s v="Clarificación"/>
    <x v="27"/>
    <s v="se elimina seccion del sinfín transportador de afrecho ya que elicoide de dicho tornillo se encuentra desgastado y su transferencioa mecanica no funciona."/>
  </r>
  <r>
    <x v="65"/>
    <x v="0"/>
    <x v="2"/>
    <d v="1899-12-30T18:00:00"/>
    <d v="1899-12-30T18:35:00"/>
    <n v="0.58333333333333337"/>
    <x v="0"/>
    <x v="1"/>
    <s v="Falla operativa"/>
    <s v="Planta generación de vapor"/>
    <x v="9"/>
    <s v="Compuerta de ingreso de fibra de la caldera se atasca y operario no se percata, posteriormente se realiza taponamiento."/>
  </r>
  <r>
    <x v="65"/>
    <x v="0"/>
    <x v="2"/>
    <d v="1899-12-30T06:15:00"/>
    <d v="1899-12-30T12:35:00"/>
    <n v="6.333333333333333"/>
    <x v="0"/>
    <x v="0"/>
    <s v="Falla mecánica"/>
    <s v="Recepción"/>
    <x v="7"/>
    <s v="Se revienta cadena del redler principal"/>
  </r>
  <r>
    <x v="66"/>
    <x v="0"/>
    <x v="3"/>
    <d v="1899-12-30T00:04:00"/>
    <d v="1899-12-30T16:58:00"/>
    <n v="16.899999999999999"/>
    <x v="0"/>
    <x v="0"/>
    <s v="Falla mecánica"/>
    <s v="Desfrutado"/>
    <x v="8"/>
    <s v="Se tuerse  eje inferior y se revienta cadena, se cambia cadena, eje y cangilones."/>
  </r>
  <r>
    <x v="67"/>
    <x v="0"/>
    <x v="3"/>
    <d v="1899-12-30T01:25:00"/>
    <d v="1899-12-30T05:00:00"/>
    <n v="3.5833333333333335"/>
    <x v="0"/>
    <x v="0"/>
    <s v="Falla mecánica"/>
    <s v="Recepción"/>
    <x v="17"/>
    <s v="Se parte cadena de dicho ledler."/>
  </r>
  <r>
    <x v="68"/>
    <x v="0"/>
    <x v="3"/>
    <d v="1899-12-30T07:20:00"/>
    <d v="1899-12-30T20:10:00"/>
    <n v="12.833333333333334"/>
    <x v="0"/>
    <x v="3"/>
    <s v="Falta de fruta fresca"/>
    <s v="Planta general"/>
    <x v="5"/>
    <s v="Sin fruta en tolva, se inica proceso con segundo turno."/>
  </r>
  <r>
    <x v="68"/>
    <x v="0"/>
    <x v="3"/>
    <d v="1899-12-30T01:02:00"/>
    <d v="1899-12-30T01:12:00"/>
    <n v="0.16666666666666666"/>
    <x v="0"/>
    <x v="3"/>
    <s v="Fluído eléctrico"/>
    <s v="Planta general"/>
    <x v="5"/>
    <s v="Falla fluido electrico se enciente motorgenerador y se reinicia proceso."/>
  </r>
  <r>
    <x v="69"/>
    <x v="0"/>
    <x v="3"/>
    <d v="1899-12-30T06:00:00"/>
    <d v="1899-12-30T10:30:00"/>
    <n v="4.5"/>
    <x v="1"/>
    <x v="2"/>
    <s v="Mantenimiento programado"/>
    <s v="Planta general"/>
    <x v="5"/>
    <s v="Se desmonta valvula moduladora con fines de calibración, se remplaza por muñeco de 6&quot; y se opera de forma manual."/>
  </r>
  <r>
    <x v="69"/>
    <x v="0"/>
    <x v="3"/>
    <d v="1899-12-30T01:57:00"/>
    <d v="1899-12-30T02:10:00"/>
    <n v="0.21666666666666667"/>
    <x v="0"/>
    <x v="3"/>
    <s v="Fluído eléctrico"/>
    <s v="Planta general"/>
    <x v="5"/>
    <s v="Falla fluido electrico se enciente motorgenerador y se reinicia proceso."/>
  </r>
  <r>
    <x v="70"/>
    <x v="0"/>
    <x v="3"/>
    <d v="1899-12-30T09:05:00"/>
    <d v="1899-12-30T18:00:00"/>
    <n v="8.9166666666666661"/>
    <x v="0"/>
    <x v="0"/>
    <s v="Falla mecánica"/>
    <s v="Digestión y prensado"/>
    <x v="13"/>
    <s v="Se parte eje de alargadera izquierdo, se cambian los dos ejes y conos, se reanuda proceso."/>
  </r>
  <r>
    <x v="70"/>
    <x v="0"/>
    <x v="3"/>
    <d v="1899-12-30T06:00:00"/>
    <d v="1899-12-30T15:35:00"/>
    <n v="9.5833333333333339"/>
    <x v="0"/>
    <x v="0"/>
    <s v="Falla mecánica"/>
    <s v="Digestión y prensado"/>
    <x v="13"/>
    <s v="Se parte eje de alargadera izquierdo, se cambian los dos ejes y conos, se reanuda proceso."/>
  </r>
  <r>
    <x v="71"/>
    <x v="0"/>
    <x v="3"/>
    <d v="1899-12-30T16:50:00"/>
    <d v="1899-12-30T17:50:00"/>
    <n v="1"/>
    <x v="0"/>
    <x v="0"/>
    <s v="Falla mecánica"/>
    <s v="Planta generación de vapor"/>
    <x v="9"/>
    <s v="Se levanta soporte colgante del sinfín lo que genero atascamiento del sin fin."/>
  </r>
  <r>
    <x v="72"/>
    <x v="0"/>
    <x v="3"/>
    <d v="1899-12-30T07:00:00"/>
    <d v="1899-12-30T09:50:00"/>
    <n v="2.8333333333333335"/>
    <x v="0"/>
    <x v="0"/>
    <s v="Falla mecánica"/>
    <s v="Planta generación de vapor"/>
    <x v="40"/>
    <s v="Empaque de la valvula de vapor a prensa se rompe."/>
  </r>
  <r>
    <x v="73"/>
    <x v="0"/>
    <x v="3"/>
    <d v="1899-12-30T06:00:00"/>
    <d v="1899-12-30T07:00:00"/>
    <n v="1"/>
    <x v="0"/>
    <x v="0"/>
    <s v="Falla mecánica"/>
    <s v="Planta generación de vapor"/>
    <x v="22"/>
    <s v="Demora en ganar nivel de agua en los pirotubos."/>
  </r>
  <r>
    <x v="73"/>
    <x v="0"/>
    <x v="3"/>
    <d v="1899-12-30T07:00:00"/>
    <d v="1899-12-30T09:58:00"/>
    <n v="2.9666666666666668"/>
    <x v="0"/>
    <x v="0"/>
    <s v="Falla mecánica"/>
    <s v="Clarificación"/>
    <x v="41"/>
    <s v="Ciclon desarenador N° 2 no funciona lo que ocaciona el taponamiento en centrifugas, se interviene y funciona"/>
  </r>
  <r>
    <x v="73"/>
    <x v="0"/>
    <x v="3"/>
    <d v="1899-12-30T10:54:00"/>
    <d v="1899-12-30T11:53:00"/>
    <n v="0.98333333333333328"/>
    <x v="0"/>
    <x v="0"/>
    <s v="Falla mecánica"/>
    <s v="Clarificación"/>
    <x v="41"/>
    <s v="Ciclon desarenador N° 2 no funciona lo que ocaciona el taponamiento en centrifugas, se interviene y funciona"/>
  </r>
  <r>
    <x v="73"/>
    <x v="0"/>
    <x v="3"/>
    <d v="1899-12-30T13:13:00"/>
    <d v="1899-12-30T15:22:00"/>
    <n v="2.15"/>
    <x v="0"/>
    <x v="0"/>
    <s v="Falla mecánica"/>
    <s v="Clarificación"/>
    <x v="41"/>
    <s v="Ciclon desarenador N° 2 no funciona lo que ocaciona el taponamiento en centrifugas, se interviene accionamiento de la apertura devalvula  y funciona."/>
  </r>
  <r>
    <x v="74"/>
    <x v="0"/>
    <x v="3"/>
    <d v="1899-12-30T06:00:00"/>
    <d v="1899-12-30T13:01:00"/>
    <n v="7.0166666666666666"/>
    <x v="1"/>
    <x v="2"/>
    <s v="Mantenimiento programado"/>
    <s v="Planta general"/>
    <x v="5"/>
    <s v="Se limpia y ajusta elevador y transportador de torta,  se limpia desfrutador entre otros."/>
  </r>
  <r>
    <x v="74"/>
    <x v="0"/>
    <x v="3"/>
    <d v="1899-12-30T15:30:00"/>
    <d v="1899-12-30T15:50:00"/>
    <n v="0.33333333333333331"/>
    <x v="0"/>
    <x v="1"/>
    <s v="Falla operativa"/>
    <s v="Desfrutado"/>
    <x v="8"/>
    <s v="Se sobrecarga el elevador de fruto y ostruye su trabajo."/>
  </r>
  <r>
    <x v="74"/>
    <x v="0"/>
    <x v="3"/>
    <d v="1899-12-30T16:50:00"/>
    <d v="1899-12-30T17:16:00"/>
    <n v="0.43333333333333335"/>
    <x v="0"/>
    <x v="0"/>
    <s v="Falla mecánica"/>
    <s v="Digestión y prensado"/>
    <x v="13"/>
    <s v="Tornillo izquierdo se atasca."/>
  </r>
  <r>
    <x v="74"/>
    <x v="0"/>
    <x v="3"/>
    <d v="1899-12-30T17:24:00"/>
    <d v="1899-12-30T20:01:00"/>
    <n v="2.6166666666666667"/>
    <x v="0"/>
    <x v="0"/>
    <s v="Falla eléctrica"/>
    <s v="Esterilización "/>
    <x v="32"/>
    <s v="Electrovalvula de la linea de vapor del esterilizador  N°2  falla se cambia por electrovalvula de condensados de la misma linea."/>
  </r>
  <r>
    <x v="75"/>
    <x v="0"/>
    <x v="3"/>
    <d v="1899-12-30T08:30:00"/>
    <d v="1899-12-30T09:00:00"/>
    <n v="0.5"/>
    <x v="0"/>
    <x v="0"/>
    <s v="Falla mecánica"/>
    <s v="Digestión y prensado"/>
    <x v="13"/>
    <s v="Se eleva amperaje de la prensa, se opera manual por un periodo corto de tiempo y se deja funcionando con normalidad."/>
  </r>
  <r>
    <x v="75"/>
    <x v="0"/>
    <x v="3"/>
    <d v="1899-12-30T10:10:00"/>
    <d v="1899-12-30T11:40:00"/>
    <n v="1.5"/>
    <x v="0"/>
    <x v="0"/>
    <s v="Falla mecánica"/>
    <s v="Desfrutado"/>
    <x v="31"/>
    <s v="Daño en rodamientos en el motor del sinfín que alimenta el desfrutador"/>
  </r>
  <r>
    <x v="75"/>
    <x v="0"/>
    <x v="3"/>
    <d v="1899-12-30T22:05:00"/>
    <d v="1899-12-30T23:00:00"/>
    <n v="0.91666666666666663"/>
    <x v="0"/>
    <x v="0"/>
    <s v="Falla mecánica"/>
    <s v="Digestión y prensado"/>
    <x v="13"/>
    <s v="Se sube el amperaje dela prensa tornillo izquierdo se atasca."/>
  </r>
  <r>
    <x v="75"/>
    <x v="0"/>
    <x v="3"/>
    <d v="1899-12-30T05:30:00"/>
    <d v="1899-12-30T06:00:00"/>
    <n v="0.5"/>
    <x v="0"/>
    <x v="0"/>
    <s v="Falla mecánica"/>
    <s v="Digestión y prensado"/>
    <x v="13"/>
    <s v="Se sube el amperaje dela prensa tornillo izquierdo se atasca."/>
  </r>
  <r>
    <x v="76"/>
    <x v="0"/>
    <x v="3"/>
    <d v="1899-12-30T06:00:00"/>
    <d v="1899-12-30T18:00:00"/>
    <n v="12"/>
    <x v="0"/>
    <x v="0"/>
    <s v="Falla mecánica"/>
    <s v="Digestión y prensado"/>
    <x v="13"/>
    <s v="Cambio de tornillos y retenedores."/>
  </r>
  <r>
    <x v="76"/>
    <x v="0"/>
    <x v="3"/>
    <d v="1899-12-30T18:00:00"/>
    <d v="1899-12-30T23:00:00"/>
    <n v="5"/>
    <x v="0"/>
    <x v="0"/>
    <s v="Falla mecánica"/>
    <s v="Planta generación de vapor"/>
    <x v="22"/>
    <s v="Manhal de los pirotubos revienta empaque por segundavez en el día."/>
  </r>
  <r>
    <x v="77"/>
    <x v="0"/>
    <x v="3"/>
    <d v="1899-12-30T06:00:00"/>
    <d v="1899-12-30T06:20:00"/>
    <n v="0.33333333333333331"/>
    <x v="0"/>
    <x v="1"/>
    <s v="Falla operativa"/>
    <s v="Desfrutado"/>
    <x v="2"/>
    <s v="Se atasca tambor de desfrutador, por sobrecarga."/>
  </r>
  <r>
    <x v="77"/>
    <x v="0"/>
    <x v="3"/>
    <d v="1899-12-30T10:38:00"/>
    <d v="1899-12-30T10:53:00"/>
    <n v="0.25"/>
    <x v="0"/>
    <x v="0"/>
    <s v="Falla eléctrica"/>
    <s v="Planta tratamiento de agua"/>
    <x v="42"/>
    <s v="Bomba presentava un cable suelto y baja el nivel de agua en la caldera lo que causa retrazo en los ciclos de estrerilización."/>
  </r>
  <r>
    <x v="77"/>
    <x v="0"/>
    <x v="3"/>
    <d v="1899-12-30T11:35:00"/>
    <d v="1899-12-30T13:12:00"/>
    <n v="1.6166666666666667"/>
    <x v="0"/>
    <x v="0"/>
    <s v="Falla mecánica"/>
    <s v="Clarificación"/>
    <x v="20"/>
    <s v="Bomba coje aire al no funcionar cheque, se cambia cheque y se reinicia proceso."/>
  </r>
  <r>
    <x v="77"/>
    <x v="0"/>
    <x v="3"/>
    <d v="1899-12-30T15:00:00"/>
    <d v="1899-12-30T16:03:00"/>
    <n v="1.05"/>
    <x v="0"/>
    <x v="0"/>
    <s v="Falla mecánica"/>
    <s v="Clarificación"/>
    <x v="16"/>
    <s v="Se tapan centrifugas, desarenador se no funciona."/>
  </r>
  <r>
    <x v="77"/>
    <x v="0"/>
    <x v="3"/>
    <d v="1899-12-30T23:00:00"/>
    <d v="1899-12-31T00:00:00"/>
    <n v="1"/>
    <x v="0"/>
    <x v="0"/>
    <s v="Falla mecánica"/>
    <s v="Digestión y prensado"/>
    <x v="13"/>
    <s v="Se eleva amperaje de la prensa, se opera manual por un periodo corto de tiempo y se deja funcionando con normalidad."/>
  </r>
  <r>
    <x v="78"/>
    <x v="0"/>
    <x v="3"/>
    <d v="1899-12-30T09:00:00"/>
    <d v="1899-12-30T09:20:00"/>
    <n v="0.33333333333333331"/>
    <x v="0"/>
    <x v="1"/>
    <s v="Falla operativa"/>
    <s v="Clarificación"/>
    <x v="43"/>
    <s v="Se llena tanque de lodos, lo que obliga a detener proceso."/>
  </r>
  <r>
    <x v="78"/>
    <x v="0"/>
    <x v="3"/>
    <d v="1899-12-30T12:20:00"/>
    <d v="1899-12-30T19:00:00"/>
    <n v="6.666666666666667"/>
    <x v="0"/>
    <x v="3"/>
    <s v="Falta de fruta fresca"/>
    <s v="Planta general"/>
    <x v="5"/>
    <s v="Falta de RFF en tolva."/>
  </r>
  <r>
    <x v="79"/>
    <x v="0"/>
    <x v="3"/>
    <d v="1899-12-30T06:00:00"/>
    <d v="1899-12-30T08:09:00"/>
    <n v="2.15"/>
    <x v="0"/>
    <x v="0"/>
    <s v="Falla mecánica"/>
    <s v="Recepción"/>
    <x v="7"/>
    <s v="Trabajo en redlerprincipal y se salta un paso la cadena."/>
  </r>
  <r>
    <x v="79"/>
    <x v="0"/>
    <x v="3"/>
    <d v="1899-12-30T08:50:00"/>
    <d v="1899-12-30T09:10:00"/>
    <n v="0.33333333333333331"/>
    <x v="0"/>
    <x v="0"/>
    <s v="Falla mecánica"/>
    <s v="Digestión y prensado"/>
    <x v="11"/>
    <s v="Se rompe tuberia de licor de prensa, se solda y reinicia proceso."/>
  </r>
  <r>
    <x v="79"/>
    <x v="0"/>
    <x v="3"/>
    <d v="1899-12-30T09:45:00"/>
    <d v="1899-12-30T11:40:00"/>
    <n v="1.9166666666666665"/>
    <x v="0"/>
    <x v="0"/>
    <s v="Falla mecánica"/>
    <s v="Esterilización "/>
    <x v="44"/>
    <s v="Se daña rodamientode vagoneta de la linea 2"/>
  </r>
  <r>
    <x v="79"/>
    <x v="0"/>
    <x v="3"/>
    <d v="1899-12-30T13:47:00"/>
    <d v="1899-12-30T16:13:00"/>
    <n v="2.4333333333333336"/>
    <x v="0"/>
    <x v="0"/>
    <s v="Falla mecánica"/>
    <s v="Clarificación"/>
    <x v="45"/>
    <s v="Se tapan boquillas del secador de vacio, se destapa equipo y  se limpian boquillas."/>
  </r>
  <r>
    <x v="79"/>
    <x v="0"/>
    <x v="3"/>
    <d v="1899-12-30T16:48:00"/>
    <d v="1899-12-30T16:57:00"/>
    <n v="0.15"/>
    <x v="0"/>
    <x v="0"/>
    <s v="Falla mecánica"/>
    <s v="Desfibración"/>
    <x v="46"/>
    <s v="Equipo presenta falla, se invierte motor  y funciona de nuevo."/>
  </r>
  <r>
    <x v="79"/>
    <x v="0"/>
    <x v="3"/>
    <d v="1899-12-30T21:20:00"/>
    <d v="1899-12-30T23:00:00"/>
    <n v="1.6666666666666665"/>
    <x v="0"/>
    <x v="1"/>
    <s v="Falla operativa"/>
    <s v="Clarificación"/>
    <x v="43"/>
    <s v="Columna de lodo del pre tapada, temperatura baja"/>
  </r>
  <r>
    <x v="79"/>
    <x v="0"/>
    <x v="3"/>
    <d v="1899-12-30T11:55:00"/>
    <d v="1899-12-30T13:55:00"/>
    <n v="2"/>
    <x v="0"/>
    <x v="1"/>
    <s v="Falla operativa"/>
    <s v="Clarificación"/>
    <x v="43"/>
    <s v="Columna de lodo del pre tapada, temperatura baja"/>
  </r>
  <r>
    <x v="80"/>
    <x v="0"/>
    <x v="3"/>
    <d v="1899-12-30T06:47:00"/>
    <d v="1899-12-30T09:00:00"/>
    <n v="2.2166666666666668"/>
    <x v="0"/>
    <x v="0"/>
    <s v="Falla eléctrica"/>
    <s v="Planta tratamiento de agua"/>
    <x v="47"/>
    <s v="Bomba de la cienega presenta falla electrica se dispara."/>
  </r>
  <r>
    <x v="80"/>
    <x v="0"/>
    <x v="3"/>
    <d v="1899-12-30T10:23:00"/>
    <d v="1899-12-30T12:03:00"/>
    <n v="1.6666666666666665"/>
    <x v="0"/>
    <x v="0"/>
    <s v="Falla mecánica"/>
    <s v="Clarificación"/>
    <x v="48"/>
    <s v="Centrifuga 2 presenta daño en tuberia de agua."/>
  </r>
  <r>
    <x v="80"/>
    <x v="0"/>
    <x v="3"/>
    <d v="1899-12-30T13:20:00"/>
    <d v="1899-12-30T14:58:00"/>
    <n v="1.6333333333333333"/>
    <x v="0"/>
    <x v="0"/>
    <s v="Falla mecánica"/>
    <s v="Esterilización "/>
    <x v="23"/>
    <s v="Se descarrila vagoneta de la linea  N°1"/>
  </r>
  <r>
    <x v="80"/>
    <x v="0"/>
    <x v="3"/>
    <d v="1899-12-30T06:05:00"/>
    <d v="1899-12-30T07:30:00"/>
    <n v="1.4166666666666667"/>
    <x v="0"/>
    <x v="0"/>
    <s v="Falla mecánica"/>
    <s v="Clarificación"/>
    <x v="49"/>
    <s v="Bomba no evacua aceite con la eficiencia normal"/>
  </r>
  <r>
    <x v="80"/>
    <x v="0"/>
    <x v="3"/>
    <d v="1899-12-30T12:45:00"/>
    <d v="1899-12-30T16:06:00"/>
    <n v="3.35"/>
    <x v="0"/>
    <x v="0"/>
    <s v="Falla mecánica"/>
    <s v="Clarificación"/>
    <x v="49"/>
    <s v="Bomba no evacua aceite con la eficiencia normal"/>
  </r>
  <r>
    <x v="81"/>
    <x v="0"/>
    <x v="3"/>
    <d v="1899-12-30T07:30:00"/>
    <d v="1899-12-30T11:30:00"/>
    <n v="4"/>
    <x v="0"/>
    <x v="0"/>
    <s v="Falla mecánica"/>
    <s v="Recepción"/>
    <x v="7"/>
    <s v="Se revienta cadena del redler principal"/>
  </r>
  <r>
    <x v="81"/>
    <x v="0"/>
    <x v="3"/>
    <d v="1899-12-30T11:30:00"/>
    <d v="1899-12-30T12:58:00"/>
    <n v="1.4666666666666668"/>
    <x v="0"/>
    <x v="0"/>
    <s v="Falla mecánica"/>
    <s v="Clarificación"/>
    <x v="49"/>
    <s v="Bomba no evacua aceite con la eficiencia normal"/>
  </r>
  <r>
    <x v="81"/>
    <x v="0"/>
    <x v="3"/>
    <d v="1899-12-30T14:06:00"/>
    <d v="1899-12-30T14:20:00"/>
    <n v="0.23333333333333334"/>
    <x v="0"/>
    <x v="0"/>
    <s v="Falla mecánica"/>
    <s v="Clarificación"/>
    <x v="48"/>
    <s v="Centrifugas tapadas y tanque de lodos llenos"/>
  </r>
  <r>
    <x v="81"/>
    <x v="0"/>
    <x v="3"/>
    <d v="1899-12-30T17:00:00"/>
    <d v="1899-12-30T17:25:00"/>
    <n v="0.41666666666666669"/>
    <x v="0"/>
    <x v="0"/>
    <s v="Falla eléctrica"/>
    <s v="Esterilización "/>
    <x v="32"/>
    <s v="Electrovalvula de la linea de vapor del esterilizador  N°2  falla."/>
  </r>
  <r>
    <x v="81"/>
    <x v="0"/>
    <x v="3"/>
    <d v="1899-12-30T06:08:00"/>
    <d v="1899-12-30T11:08:00"/>
    <n v="5"/>
    <x v="0"/>
    <x v="0"/>
    <s v="Falla mecánica"/>
    <s v="Recepción"/>
    <x v="7"/>
    <s v="Se revienta cadena del redler principal en tres partes."/>
  </r>
  <r>
    <x v="81"/>
    <x v="0"/>
    <x v="3"/>
    <d v="1899-12-30T04:05:00"/>
    <d v="1899-12-30T04:20:00"/>
    <n v="0.25"/>
    <x v="0"/>
    <x v="1"/>
    <s v="Falla operativa"/>
    <s v="Clarificación"/>
    <x v="43"/>
    <s v="Se rebosa tanque de lodo del pre"/>
  </r>
  <r>
    <x v="82"/>
    <x v="0"/>
    <x v="3"/>
    <d v="1899-12-30T09:28:00"/>
    <d v="1899-12-30T12:06:00"/>
    <n v="2.6333333333333333"/>
    <x v="0"/>
    <x v="0"/>
    <s v="Falla mecánica"/>
    <s v="Clarificación"/>
    <x v="37"/>
    <s v="Se cambia tuberia  del ciclon desarenador N°2 al tanque de lodos "/>
  </r>
  <r>
    <x v="82"/>
    <x v="0"/>
    <x v="3"/>
    <d v="1899-12-30T08:35:00"/>
    <d v="1899-12-30T09:21:00"/>
    <n v="0.76666666666666672"/>
    <x v="0"/>
    <x v="0"/>
    <s v="Falla mecánica"/>
    <s v="Planta generación de vapor"/>
    <x v="9"/>
    <s v="Sinfín de la caldera rosa elicoide con canoa y se atasca."/>
  </r>
  <r>
    <x v="82"/>
    <x v="0"/>
    <x v="3"/>
    <d v="1899-12-30T10:26:00"/>
    <d v="1899-12-30T11:22:00"/>
    <n v="0.93333333333333335"/>
    <x v="0"/>
    <x v="0"/>
    <s v="Falla mecánica"/>
    <s v="Planta generación de vapor"/>
    <x v="9"/>
    <s v="Sin fin al presentar falla se cae la presion de la caldera y atrasa los ciclos de esterilización lo que causa una ausencia de fruto cosido."/>
  </r>
  <r>
    <x v="83"/>
    <x v="0"/>
    <x v="3"/>
    <d v="1899-12-30T06:00:00"/>
    <d v="1899-12-30T10:20:00"/>
    <n v="4.333333333333333"/>
    <x v="0"/>
    <x v="0"/>
    <s v="Falla mecánica"/>
    <s v="Planta generación de vapor"/>
    <x v="9"/>
    <s v="Sinfín de la caldera rosa elicoide con canoa y se atasca, se corta cadena y se levanta soporte, pendiente pedir bujes para cambio."/>
  </r>
  <r>
    <x v="83"/>
    <x v="0"/>
    <x v="3"/>
    <d v="1899-12-30T11:15:00"/>
    <d v="1899-12-30T11:35:00"/>
    <n v="0.33333333333333331"/>
    <x v="0"/>
    <x v="0"/>
    <s v="Falla eléctrica"/>
    <s v="Esterilización "/>
    <x v="32"/>
    <s v="Electrovalvula 5/2 vias de la linea de vapor de la autoclave dos falla."/>
  </r>
  <r>
    <x v="83"/>
    <x v="0"/>
    <x v="3"/>
    <d v="1899-12-30T11:55:00"/>
    <d v="1899-12-30T13:30:00"/>
    <n v="1.5833333333333335"/>
    <x v="0"/>
    <x v="0"/>
    <s v="Falla eléctrica"/>
    <s v="Esterilización "/>
    <x v="32"/>
    <s v="Electrovalvula 5/2 vias de la linea de vapor de la autoclave dos falla."/>
  </r>
  <r>
    <x v="83"/>
    <x v="0"/>
    <x v="3"/>
    <d v="1899-12-30T13:20:00"/>
    <d v="1899-12-30T16:00:00"/>
    <n v="2.6666666666666665"/>
    <x v="0"/>
    <x v="0"/>
    <s v="Falla eléctrica"/>
    <s v="Esterilización "/>
    <x v="32"/>
    <s v="Electrovalvula 5/2 vias de la linea de vapor de la autoclave dos falla."/>
  </r>
  <r>
    <x v="83"/>
    <x v="0"/>
    <x v="3"/>
    <d v="1899-12-30T20:23:00"/>
    <d v="1899-12-30T21:20:00"/>
    <n v="0.95"/>
    <x v="0"/>
    <x v="0"/>
    <s v="Falla eléctrica"/>
    <s v="Esterilización "/>
    <x v="32"/>
    <s v="Electrovalvula 5/2 vias de la linea de vapor de la autoclave dos falla."/>
  </r>
  <r>
    <x v="84"/>
    <x v="0"/>
    <x v="3"/>
    <d v="1899-12-30T14:00:00"/>
    <d v="1899-12-30T14:18:00"/>
    <n v="0.3"/>
    <x v="1"/>
    <x v="2"/>
    <s v="Arranque planta"/>
    <s v="Planta general"/>
    <x v="5"/>
    <s v="Digestion de la fruta."/>
  </r>
  <r>
    <x v="85"/>
    <x v="0"/>
    <x v="3"/>
    <d v="1899-12-30T14:55:00"/>
    <d v="1899-12-30T23:13:00"/>
    <n v="8.3000000000000007"/>
    <x v="0"/>
    <x v="0"/>
    <s v="Falla mecánica"/>
    <s v="Clarificación"/>
    <x v="43"/>
    <s v="Falla de bomba de lodos del preclarificador."/>
  </r>
  <r>
    <x v="85"/>
    <x v="0"/>
    <x v="3"/>
    <d v="1899-12-30T01:20:00"/>
    <d v="1899-12-30T01:47:00"/>
    <n v="0.45"/>
    <x v="0"/>
    <x v="0"/>
    <s v="Falla mecánica"/>
    <s v="Desfrutado"/>
    <x v="50"/>
    <s v="Se moja banda y se resbala rodillo conductor."/>
  </r>
  <r>
    <x v="85"/>
    <x v="0"/>
    <x v="3"/>
    <d v="1899-12-30T04:48:00"/>
    <d v="1899-12-30T05:08:00"/>
    <n v="0.33333333333333331"/>
    <x v="0"/>
    <x v="3"/>
    <s v="Fluído eléctrico"/>
    <s v="Planta generación energía electrica"/>
    <x v="51"/>
    <s v="Falla fluido electrico en dos ocasiones seguidas."/>
  </r>
  <r>
    <x v="86"/>
    <x v="0"/>
    <x v="3"/>
    <d v="1899-12-30T18:20:00"/>
    <d v="1899-12-30T20:18:00"/>
    <n v="1.9666666666666668"/>
    <x v="1"/>
    <x v="2"/>
    <s v="Arranque planta"/>
    <s v="Planta general"/>
    <x v="5"/>
    <s v="Digestion de la fruta."/>
  </r>
  <r>
    <x v="86"/>
    <x v="0"/>
    <x v="3"/>
    <d v="1899-12-30T21:12:00"/>
    <d v="1899-12-30T21:45:00"/>
    <n v="0.55000000000000004"/>
    <x v="0"/>
    <x v="0"/>
    <s v="Falla mecánica"/>
    <s v="Esterilización "/>
    <x v="14"/>
    <s v="Se cae trabiesa y  se descarrila redler."/>
  </r>
  <r>
    <x v="87"/>
    <x v="0"/>
    <x v="4"/>
    <d v="1899-12-30T02:00:00"/>
    <d v="1899-12-30T03:05:00"/>
    <n v="1.0833333333333333"/>
    <x v="1"/>
    <x v="2"/>
    <s v="Arranque planta"/>
    <s v="Planta general"/>
    <x v="5"/>
    <s v="Al encender caldera  y haya presión"/>
  </r>
  <r>
    <x v="88"/>
    <x v="0"/>
    <x v="4"/>
    <d v="1899-12-30T08:00:00"/>
    <d v="1899-12-30T09:15:00"/>
    <n v="1.25"/>
    <x v="0"/>
    <x v="0"/>
    <s v="Falla mecánica"/>
    <s v="Esterilización "/>
    <x v="52"/>
    <s v="Se daña empaque de autoclave N°1"/>
  </r>
  <r>
    <x v="88"/>
    <x v="0"/>
    <x v="4"/>
    <d v="1899-12-30T09:55:00"/>
    <d v="1899-12-30T17:58:00"/>
    <n v="8.0500000000000007"/>
    <x v="0"/>
    <x v="0"/>
    <s v="Falla mecánica"/>
    <s v="Recepción"/>
    <x v="7"/>
    <s v="Se parte piñon conducido del redler principal, se cambia por piñon de redler de retorno."/>
  </r>
  <r>
    <x v="88"/>
    <x v="0"/>
    <x v="4"/>
    <d v="1899-12-30T18:58:00"/>
    <d v="1899-12-30T20:00:00"/>
    <n v="1.0333333333333334"/>
    <x v="0"/>
    <x v="0"/>
    <s v="Falla mecánica"/>
    <s v="Esterilización "/>
    <x v="32"/>
    <s v="Soporte de puerta autoclave dos presenta tornillos partidos, se sustituyen."/>
  </r>
  <r>
    <x v="88"/>
    <x v="0"/>
    <x v="4"/>
    <d v="1899-12-30T22:10:00"/>
    <d v="1899-12-30T23:59:00"/>
    <n v="1.8166666666666667"/>
    <x v="0"/>
    <x v="0"/>
    <s v="Falla mecánica"/>
    <s v="Recepción"/>
    <x v="7"/>
    <s v="Serevienta cadena del redler principal."/>
  </r>
  <r>
    <x v="89"/>
    <x v="0"/>
    <x v="4"/>
    <d v="1899-12-30T06:00:00"/>
    <d v="1899-12-30T08:38:00"/>
    <n v="2.6333333333333333"/>
    <x v="1"/>
    <x v="2"/>
    <s v="Arranque planta"/>
    <s v="Planta general"/>
    <x v="5"/>
    <s v="Al encender caldera  y haya presión"/>
  </r>
  <r>
    <x v="89"/>
    <x v="0"/>
    <x v="4"/>
    <d v="1899-12-30T11:12:00"/>
    <d v="1899-12-30T11:40:00"/>
    <n v="0.46666666666666667"/>
    <x v="0"/>
    <x v="0"/>
    <s v="Falla mecánica"/>
    <s v="Recepción"/>
    <x v="7"/>
    <s v="Se descadena redler, se suelta y encadena."/>
  </r>
  <r>
    <x v="89"/>
    <x v="0"/>
    <x v="4"/>
    <d v="1899-12-30T12:14:00"/>
    <d v="1899-12-30T16:00:00"/>
    <n v="3.7666666666666666"/>
    <x v="0"/>
    <x v="0"/>
    <s v="Falla eléctrica"/>
    <s v="Digestión y prensado"/>
    <x v="38"/>
    <s v="Falla eléctrica en cableado de cuarto de control a unidad hidrahulica de la prensa."/>
  </r>
  <r>
    <x v="89"/>
    <x v="0"/>
    <x v="4"/>
    <d v="1899-12-30T18:00:00"/>
    <d v="1899-12-30T18:50:00"/>
    <n v="0.83333333333333337"/>
    <x v="0"/>
    <x v="0"/>
    <s v="Falla mecánica"/>
    <s v="Desfrutado"/>
    <x v="2"/>
    <s v="Tapan anillos del desfrutador por tipo de fruta."/>
  </r>
  <r>
    <x v="89"/>
    <x v="0"/>
    <x v="4"/>
    <d v="1899-12-30T19:26:00"/>
    <d v="1899-12-30T22:38:00"/>
    <n v="3.2"/>
    <x v="0"/>
    <x v="0"/>
    <s v="Falla mecánica"/>
    <s v="Recepción"/>
    <x v="17"/>
    <s v="Se revienta cadena y se reconstruye tramo de guia de la cadena de dicho redler."/>
  </r>
  <r>
    <x v="90"/>
    <x v="0"/>
    <x v="4"/>
    <d v="1899-12-30T06:00:00"/>
    <d v="1899-12-30T08:20:00"/>
    <n v="2.3333333333333335"/>
    <x v="1"/>
    <x v="2"/>
    <s v="Arranque planta"/>
    <s v="Planta general"/>
    <x v="5"/>
    <s v="Al encender caldera  y haya presión"/>
  </r>
  <r>
    <x v="90"/>
    <x v="0"/>
    <x v="4"/>
    <d v="1899-12-30T10:45:00"/>
    <d v="1899-12-30T12:28:00"/>
    <n v="1.7166666666666668"/>
    <x v="0"/>
    <x v="0"/>
    <s v="Falla mecánica"/>
    <s v="Recepción"/>
    <x v="7"/>
    <s v="Se descadena redler, se suelta y encadena."/>
  </r>
  <r>
    <x v="90"/>
    <x v="0"/>
    <x v="4"/>
    <d v="1899-12-30T01:36:00"/>
    <d v="1899-12-30T01:50:00"/>
    <n v="0.23333333333333334"/>
    <x v="0"/>
    <x v="0"/>
    <s v="Falla mecánica"/>
    <s v="Recepción"/>
    <x v="7"/>
    <s v="Se revienta platina de traviesa."/>
  </r>
  <r>
    <x v="91"/>
    <x v="0"/>
    <x v="4"/>
    <d v="1899-12-30T06:00:00"/>
    <d v="1899-12-30T22:00:00"/>
    <n v="16"/>
    <x v="1"/>
    <x v="2"/>
    <s v="Mantenimiento programado"/>
    <s v="Planta general"/>
    <x v="5"/>
    <s v="Se trabaja en limpieza y aseo"/>
  </r>
  <r>
    <x v="92"/>
    <x v="0"/>
    <x v="4"/>
    <d v="1899-12-30T14:00:00"/>
    <d v="1899-12-30T18:55:00"/>
    <n v="4.916666666666667"/>
    <x v="0"/>
    <x v="0"/>
    <s v="Falla eléctrica"/>
    <s v="Planta tratamiento de agua"/>
    <x v="53"/>
    <s v="Se quema motor de la bomba de agua del clarificador de aguas."/>
  </r>
  <r>
    <x v="92"/>
    <x v="0"/>
    <x v="4"/>
    <d v="1899-12-30T19:30:00"/>
    <d v="1899-12-30T20:33:00"/>
    <n v="1.05"/>
    <x v="0"/>
    <x v="1"/>
    <s v="Falla operativa"/>
    <s v="Clarificación"/>
    <x v="3"/>
    <s v="tuberia congelada y obstruida por aceite solidificado."/>
  </r>
  <r>
    <x v="92"/>
    <x v="0"/>
    <x v="4"/>
    <d v="1899-12-30T12:00:00"/>
    <d v="1899-12-30T14:00:00"/>
    <n v="2"/>
    <x v="0"/>
    <x v="0"/>
    <s v="Falla mecánica"/>
    <s v="Recepción"/>
    <x v="7"/>
    <s v="Se revienta cadena "/>
  </r>
  <r>
    <x v="93"/>
    <x v="0"/>
    <x v="4"/>
    <d v="1899-12-30T06:00:00"/>
    <d v="1899-12-30T12:50:00"/>
    <n v="6.833333333333333"/>
    <x v="1"/>
    <x v="2"/>
    <s v="Mantenimiento programado"/>
    <s v="Planta general"/>
    <x v="5"/>
    <s v="Limpieza y aseo"/>
  </r>
  <r>
    <x v="93"/>
    <x v="0"/>
    <x v="4"/>
    <d v="1899-12-30T15:55:00"/>
    <d v="1899-12-30T21:36:00"/>
    <n v="5.6833333333333336"/>
    <x v="0"/>
    <x v="0"/>
    <s v="Falla mecánica"/>
    <s v="Recepción"/>
    <x v="7"/>
    <s v="Se revienta cadena"/>
  </r>
  <r>
    <x v="94"/>
    <x v="0"/>
    <x v="4"/>
    <d v="1899-12-30T06:00:00"/>
    <d v="1899-12-30T08:30:00"/>
    <n v="2.5"/>
    <x v="1"/>
    <x v="2"/>
    <s v="Arranque planta"/>
    <s v="Planta general"/>
    <x v="5"/>
    <s v="Al encender caldera  y haya presión"/>
  </r>
  <r>
    <x v="94"/>
    <x v="0"/>
    <x v="4"/>
    <d v="1899-12-30T20:03:00"/>
    <d v="1899-12-30T20:10:00"/>
    <n v="0.11666666666666667"/>
    <x v="0"/>
    <x v="1"/>
    <s v="Falla operativa"/>
    <s v="Palmistería"/>
    <x v="54"/>
    <s v="Taponamiento en elevador de nuez seca"/>
  </r>
  <r>
    <x v="95"/>
    <x v="0"/>
    <x v="4"/>
    <d v="1899-12-30T06:00:00"/>
    <d v="1899-12-30T14:00:00"/>
    <n v="8"/>
    <x v="1"/>
    <x v="2"/>
    <s v="Arranque planta"/>
    <s v="Planta general"/>
    <x v="5"/>
    <s v="Inicio de proceso"/>
  </r>
  <r>
    <x v="95"/>
    <x v="0"/>
    <x v="4"/>
    <d v="1899-12-30T14:00:00"/>
    <d v="1899-12-30T16:50:00"/>
    <n v="2.8333333333333335"/>
    <x v="1"/>
    <x v="2"/>
    <s v="Arranque planta"/>
    <s v="Planta general"/>
    <x v="5"/>
    <s v="Al encender caldera  y haya presión"/>
  </r>
  <r>
    <x v="95"/>
    <x v="0"/>
    <x v="4"/>
    <d v="1899-12-30T18:05:00"/>
    <d v="1899-12-30T18:45:00"/>
    <n v="0.66666666666666663"/>
    <x v="0"/>
    <x v="0"/>
    <s v="Falla mecánica"/>
    <s v="Desfrutado"/>
    <x v="2"/>
    <s v="Se tapan anillos a desfrutador"/>
  </r>
  <r>
    <x v="96"/>
    <x v="0"/>
    <x v="4"/>
    <d v="1899-12-30T06:00:00"/>
    <d v="1899-12-30T12:55:00"/>
    <n v="6.916666666666667"/>
    <x v="1"/>
    <x v="2"/>
    <s v="Mantenimiento programado"/>
    <s v="Planta general"/>
    <x v="5"/>
    <s v="-"/>
  </r>
  <r>
    <x v="96"/>
    <x v="0"/>
    <x v="4"/>
    <d v="1899-12-30T13:33:00"/>
    <d v="1899-12-30T14:00:00"/>
    <n v="0.45"/>
    <x v="0"/>
    <x v="0"/>
    <s v="Falla mecánica"/>
    <s v="Desfrutado"/>
    <x v="2"/>
    <s v="Se tapan anillos a desfrutador"/>
  </r>
  <r>
    <x v="96"/>
    <x v="0"/>
    <x v="4"/>
    <d v="1899-12-30T16:20:00"/>
    <d v="1899-12-30T17:26:00"/>
    <n v="1.1000000000000001"/>
    <x v="0"/>
    <x v="0"/>
    <s v="Falla mecánica"/>
    <s v="Desfrutado"/>
    <x v="19"/>
    <s v="Se parte tornillo de acople y produce atascamiento"/>
  </r>
  <r>
    <x v="96"/>
    <x v="0"/>
    <x v="4"/>
    <d v="1899-12-30T17:45:00"/>
    <d v="1899-12-30T18:01:00"/>
    <n v="0.26666666666666666"/>
    <x v="0"/>
    <x v="0"/>
    <s v="Falla mecánica"/>
    <s v="Clarificación"/>
    <x v="11"/>
    <s v="Se corre cuerpo de tamiz"/>
  </r>
  <r>
    <x v="97"/>
    <x v="0"/>
    <x v="4"/>
    <d v="1899-12-30T06:00:00"/>
    <d v="1899-12-30T08:35:00"/>
    <n v="2.5833333333333335"/>
    <x v="1"/>
    <x v="2"/>
    <s v="Arranque planta"/>
    <s v="Planta general"/>
    <x v="5"/>
    <s v="Inicio de proceso"/>
  </r>
  <r>
    <x v="97"/>
    <x v="0"/>
    <x v="4"/>
    <d v="1899-12-30T09:40:00"/>
    <d v="1899-12-30T10:30:00"/>
    <n v="0.83333333333333337"/>
    <x v="0"/>
    <x v="0"/>
    <s v="Falla mecánica"/>
    <s v="Recepción"/>
    <x v="14"/>
    <s v="Se  suelta travieza y descadena dicho equipo"/>
  </r>
  <r>
    <x v="97"/>
    <x v="0"/>
    <x v="4"/>
    <d v="1899-12-30T10:10:00"/>
    <d v="1899-12-30T10:30:00"/>
    <n v="0.33333333333333331"/>
    <x v="0"/>
    <x v="3"/>
    <s v="Fluído eléctrico"/>
    <s v="Planta general"/>
    <x v="5"/>
    <s v="Se va la energia en seguidas ocaciones."/>
  </r>
  <r>
    <x v="97"/>
    <x v="0"/>
    <x v="4"/>
    <d v="1899-12-30T00:38:00"/>
    <d v="1899-12-30T00:45:00"/>
    <n v="0.11666666666666667"/>
    <x v="0"/>
    <x v="1"/>
    <s v="Falla operativa"/>
    <s v="Palmistería"/>
    <x v="54"/>
    <s v="Taponamiento en elevador de nuez seca"/>
  </r>
  <r>
    <x v="98"/>
    <x v="0"/>
    <x v="4"/>
    <d v="1899-12-30T06:00:00"/>
    <d v="1899-12-30T09:45:00"/>
    <n v="3.75"/>
    <x v="1"/>
    <x v="2"/>
    <s v="Arranque planta"/>
    <s v="Planta general"/>
    <x v="5"/>
    <s v="Al encender caldera  y haya presión"/>
  </r>
  <r>
    <x v="98"/>
    <x v="0"/>
    <x v="4"/>
    <d v="1899-12-30T10:15:00"/>
    <d v="1899-12-30T11:48:00"/>
    <n v="1.55"/>
    <x v="0"/>
    <x v="1"/>
    <s v="Falla operativa"/>
    <s v="Clarificación"/>
    <x v="3"/>
    <s v="Aceite saturado en tuberia ocaciona taponamiento."/>
  </r>
  <r>
    <x v="98"/>
    <x v="0"/>
    <x v="4"/>
    <d v="1899-12-30T12:35:00"/>
    <d v="1899-12-30T13:15:00"/>
    <n v="0.66666666666666663"/>
    <x v="0"/>
    <x v="0"/>
    <s v="Falla mecánica"/>
    <s v="Desfrutado"/>
    <x v="14"/>
    <s v="Se revienta cadena del redler N°1 fruto cosido y el N° 2 descadenado"/>
  </r>
  <r>
    <x v="98"/>
    <x v="0"/>
    <x v="4"/>
    <d v="1899-12-30T13:39:00"/>
    <d v="1899-12-30T14:40:00"/>
    <n v="1.0166666666666666"/>
    <x v="0"/>
    <x v="0"/>
    <s v="Falla mecánica"/>
    <s v="Desfrutado"/>
    <x v="14"/>
    <s v="Se descadena redler, se suelta y encadena."/>
  </r>
  <r>
    <x v="98"/>
    <x v="0"/>
    <x v="4"/>
    <d v="1899-12-30T17:04:00"/>
    <d v="1899-12-30T20:15:00"/>
    <n v="3.1833333333333331"/>
    <x v="0"/>
    <x v="0"/>
    <s v="Falla mecánica"/>
    <s v="Desfrutado"/>
    <x v="14"/>
    <s v="Se parte rodamiento del piñon conducido del redler N°1 y se revienta cadena en dos pegas del redler N° 2  "/>
  </r>
  <r>
    <x v="99"/>
    <x v="0"/>
    <x v="4"/>
    <d v="1899-12-30T17:25:00"/>
    <d v="1899-12-30T18:55:00"/>
    <n v="1.5"/>
    <x v="0"/>
    <x v="0"/>
    <s v="Falla mecánica"/>
    <s v="Digestión y prensado"/>
    <x v="13"/>
    <s v="Se  ampera  y fibra sale impregnada, tornillo izquierdo se tapa, se evacua prensa y se revisa estado de los tornillos."/>
  </r>
  <r>
    <x v="100"/>
    <x v="0"/>
    <x v="4"/>
    <d v="1899-12-30T09:36:00"/>
    <d v="1899-12-30T09:52:00"/>
    <n v="0.26666666666666666"/>
    <x v="0"/>
    <x v="0"/>
    <s v="Falla mecánica"/>
    <s v="Clarificación"/>
    <x v="55"/>
    <s v="Se rompe maya tamiz de lodo,se suelta y remplaza."/>
  </r>
  <r>
    <x v="100"/>
    <x v="0"/>
    <x v="4"/>
    <d v="1899-12-30T10:25:00"/>
    <d v="1899-12-30T14:00:00"/>
    <n v="3.5833333333333335"/>
    <x v="1"/>
    <x v="2"/>
    <s v="Capacitaciones"/>
    <s v="Planta general"/>
    <x v="5"/>
    <s v="Capacitación piedralisi"/>
  </r>
  <r>
    <x v="101"/>
    <x v="0"/>
    <x v="4"/>
    <d v="1899-12-30T06:00:00"/>
    <d v="1899-12-30T16:00:00"/>
    <n v="10"/>
    <x v="0"/>
    <x v="3"/>
    <s v="Falta de fruta fresca"/>
    <s v="Planta general"/>
    <x v="5"/>
    <s v="Se limpia planta en general, se evacua aceite de tanque de palmiste y se lava, el aceite se reprocesa."/>
  </r>
  <r>
    <x v="102"/>
    <x v="0"/>
    <x v="4"/>
    <d v="1899-12-30T06:00:00"/>
    <d v="1899-12-30T08:00:00"/>
    <n v="2"/>
    <x v="1"/>
    <x v="2"/>
    <s v="Arranque planta"/>
    <s v="Planta general"/>
    <x v="5"/>
    <s v="arranque de proceso"/>
  </r>
  <r>
    <x v="102"/>
    <x v="0"/>
    <x v="4"/>
    <d v="1899-12-30T13:50:00"/>
    <d v="1899-12-30T14:14:00"/>
    <n v="0.4"/>
    <x v="0"/>
    <x v="0"/>
    <s v="Falla mecánica"/>
    <s v="Recepción"/>
    <x v="14"/>
    <s v="Se revienta cadena redler N° 2 fruto cosido y es imposible trabajar en el debido a riesgo del personal mecanico al  atender dicho equipo mientras se procesa, se programa para el día siguiente su montaje evitando riesgo, ya que este no detiene proceso se trabaja por redler n°2 fruto cosido."/>
  </r>
  <r>
    <x v="102"/>
    <x v="0"/>
    <x v="4"/>
    <d v="1899-12-30T16:41:00"/>
    <d v="1899-12-30T17:05:00"/>
    <n v="0.4"/>
    <x v="0"/>
    <x v="0"/>
    <s v="Falla mecánica"/>
    <s v="Recepción"/>
    <x v="18"/>
    <s v="Se descadena redler, se suelta y encadena."/>
  </r>
  <r>
    <x v="102"/>
    <x v="0"/>
    <x v="4"/>
    <d v="1899-12-30T18:43:00"/>
    <d v="1899-12-30T20:43:00"/>
    <n v="2"/>
    <x v="0"/>
    <x v="0"/>
    <s v="Falla mecánica"/>
    <s v="Recepción"/>
    <x v="18"/>
    <s v="Se descadena redler, se suelta y encadena."/>
  </r>
  <r>
    <x v="103"/>
    <x v="0"/>
    <x v="4"/>
    <d v="1899-12-30T06:00:00"/>
    <d v="1899-12-30T10:35:00"/>
    <n v="4.583333333333333"/>
    <x v="0"/>
    <x v="0"/>
    <s v="Falla mecánica"/>
    <s v="Esterilización "/>
    <x v="18"/>
    <s v="Desencadenamiento"/>
  </r>
  <r>
    <x v="103"/>
    <x v="0"/>
    <x v="4"/>
    <d v="1899-12-30T00:00:00"/>
    <d v="1899-12-30T02:00:00"/>
    <n v="2"/>
    <x v="0"/>
    <x v="1"/>
    <s v="Falla operativa"/>
    <s v="Desfrutado"/>
    <x v="19"/>
    <s v="Taponamiento"/>
  </r>
  <r>
    <x v="104"/>
    <x v="0"/>
    <x v="4"/>
    <d v="1899-12-30T06:00:00"/>
    <d v="1899-12-30T14:00:00"/>
    <n v="8"/>
    <x v="0"/>
    <x v="0"/>
    <s v="Falla mecánica"/>
    <s v="Planta generación de vapor"/>
    <x v="22"/>
    <s v="Em paque manhall pirotubo izq"/>
  </r>
  <r>
    <x v="105"/>
    <x v="0"/>
    <x v="4"/>
    <d v="1899-12-30T06:00:00"/>
    <d v="1899-12-30T08:45:00"/>
    <n v="2.75"/>
    <x v="1"/>
    <x v="2"/>
    <s v="Arranque planta"/>
    <s v="Planta general"/>
    <x v="5"/>
    <s v="arranque de proceso"/>
  </r>
  <r>
    <x v="105"/>
    <x v="0"/>
    <x v="4"/>
    <d v="1899-12-30T04:40:00"/>
    <d v="1899-12-30T05:42:00"/>
    <n v="1.0333333333333334"/>
    <x v="0"/>
    <x v="0"/>
    <s v="Falla mecánica"/>
    <s v="Desfrutado"/>
    <x v="8"/>
    <s v="Daño cangilón"/>
  </r>
  <r>
    <x v="105"/>
    <x v="0"/>
    <x v="4"/>
    <d v="1899-12-30T09:12:00"/>
    <d v="1899-12-30T10:07:00"/>
    <n v="0.91666666666666663"/>
    <x v="0"/>
    <x v="0"/>
    <s v="Falla mecánica"/>
    <s v="Recepción"/>
    <x v="56"/>
    <s v="Se parte cadena de dicho ledler."/>
  </r>
  <r>
    <x v="106"/>
    <x v="0"/>
    <x v="4"/>
    <d v="1899-12-30T06:00:00"/>
    <d v="1899-12-30T08:03:00"/>
    <n v="2.0499999999999998"/>
    <x v="1"/>
    <x v="2"/>
    <s v="Arranque planta"/>
    <s v="Planta general"/>
    <x v="5"/>
    <s v="arranque de proceso"/>
  </r>
  <r>
    <x v="107"/>
    <x v="0"/>
    <x v="5"/>
    <d v="1899-12-30T06:00:00"/>
    <d v="1899-12-30T14:00:00"/>
    <n v="8"/>
    <x v="1"/>
    <x v="2"/>
    <s v="Mantenimiento programado"/>
    <s v="Planta general"/>
    <x v="5"/>
    <s v="Mantenimiento Villanueva"/>
  </r>
  <r>
    <x v="107"/>
    <x v="0"/>
    <x v="5"/>
    <d v="1899-12-30T14:00:00"/>
    <d v="1899-12-30T22:00:00"/>
    <n v="8"/>
    <x v="0"/>
    <x v="0"/>
    <s v="Falla eléctrica"/>
    <s v="Desfrutado"/>
    <x v="2"/>
    <s v="Falla en variador por conexión a tierra"/>
  </r>
  <r>
    <x v="108"/>
    <x v="0"/>
    <x v="5"/>
    <d v="1899-12-30T08:30:00"/>
    <d v="1899-12-30T15:43:00"/>
    <n v="7.2166666666666668"/>
    <x v="0"/>
    <x v="0"/>
    <s v="Falla mecánica"/>
    <s v="Digestión y prensado"/>
    <x v="57"/>
    <s v="Se sueltan brazos barredores del digestor"/>
  </r>
  <r>
    <x v="109"/>
    <x v="0"/>
    <x v="5"/>
    <d v="1899-12-30T06:00:00"/>
    <d v="1899-12-30T08:47:00"/>
    <n v="2.7833333333333332"/>
    <x v="1"/>
    <x v="2"/>
    <s v="Arranque planta"/>
    <s v="Planta general"/>
    <x v="5"/>
    <s v="arranque de proceso"/>
  </r>
  <r>
    <x v="109"/>
    <x v="0"/>
    <x v="5"/>
    <d v="1899-12-30T16:10:00"/>
    <d v="1899-12-30T16:50:00"/>
    <n v="0.66666666666666663"/>
    <x v="0"/>
    <x v="0"/>
    <s v="Falla eléctrica"/>
    <s v="Digestión y prensado"/>
    <x v="57"/>
    <s v="Contactor del digestor se sobrecalienta y se quema"/>
  </r>
  <r>
    <x v="110"/>
    <x v="0"/>
    <x v="5"/>
    <d v="1899-12-30T06:00:00"/>
    <d v="1899-12-30T15:20:00"/>
    <n v="9.3333333333333339"/>
    <x v="0"/>
    <x v="0"/>
    <s v="Falla mecánica"/>
    <s v="Planta generación de vapor"/>
    <x v="22"/>
    <s v="Se sueltan zapatas de la parrilla viajera de la caldera."/>
  </r>
  <r>
    <x v="111"/>
    <x v="0"/>
    <x v="5"/>
    <d v="1899-12-30T06:00:00"/>
    <d v="1899-12-30T12:38:00"/>
    <n v="6.6333333333333329"/>
    <x v="0"/>
    <x v="0"/>
    <s v="Falla mecánica"/>
    <s v="Planta generación de vapor"/>
    <x v="22"/>
    <s v="Se revienta empaque del manhole de los pirotubos de la caldera."/>
  </r>
  <r>
    <x v="111"/>
    <x v="0"/>
    <x v="5"/>
    <d v="1899-12-30T13:45:00"/>
    <d v="1899-12-30T15:00:00"/>
    <n v="1.25"/>
    <x v="0"/>
    <x v="0"/>
    <s v="Falla mecánica"/>
    <s v="Recepción"/>
    <x v="7"/>
    <s v="Se descadena redler, se suelta y encadena."/>
  </r>
  <r>
    <x v="111"/>
    <x v="0"/>
    <x v="5"/>
    <d v="1899-12-30T01:40:00"/>
    <d v="1899-12-30T02:00:00"/>
    <n v="0.33333333333333331"/>
    <x v="0"/>
    <x v="0"/>
    <s v="Falla mecánica"/>
    <s v="Digestión y prensado"/>
    <x v="57"/>
    <s v="Se parte acople del eje del digestor se progama para cambiar siguiente día"/>
  </r>
  <r>
    <x v="112"/>
    <x v="0"/>
    <x v="5"/>
    <d v="1899-12-30T06:00:00"/>
    <d v="1899-12-30T15:10:00"/>
    <n v="9.1666666666666661"/>
    <x v="0"/>
    <x v="0"/>
    <s v="Falla mecánica"/>
    <s v="Digestión y prensado"/>
    <x v="57"/>
    <s v="Se cambia acople del eje del digestor"/>
  </r>
  <r>
    <x v="113"/>
    <x v="0"/>
    <x v="5"/>
    <d v="1899-12-30T07:00:00"/>
    <d v="1899-12-30T09:35:00"/>
    <n v="2.5833333333333335"/>
    <x v="0"/>
    <x v="3"/>
    <s v="Falta de fruta fresca"/>
    <s v="Planta general"/>
    <x v="5"/>
    <m/>
  </r>
  <r>
    <x v="114"/>
    <x v="0"/>
    <x v="5"/>
    <d v="1899-12-30T06:00:00"/>
    <d v="1899-12-30T12:56:00"/>
    <n v="6.9333333333333336"/>
    <x v="0"/>
    <x v="0"/>
    <s v="Falla mecánica"/>
    <s v="Planta generación de vapor"/>
    <x v="22"/>
    <s v="Falla empaque manhall del pitorubo"/>
  </r>
  <r>
    <x v="115"/>
    <x v="0"/>
    <x v="5"/>
    <d v="1899-12-30T06:00:00"/>
    <d v="1899-12-30T17:05:00"/>
    <n v="11.083333333333334"/>
    <x v="1"/>
    <x v="2"/>
    <s v="Mantenimiento programado"/>
    <s v="Planta general"/>
    <x v="5"/>
    <s v="-"/>
  </r>
  <r>
    <x v="115"/>
    <x v="0"/>
    <x v="5"/>
    <d v="1899-12-30T17:50:00"/>
    <d v="1899-12-30T18:40:00"/>
    <n v="0.83333333333333337"/>
    <x v="0"/>
    <x v="0"/>
    <s v="Falla mecánica"/>
    <s v="Esterilización "/>
    <x v="58"/>
    <m/>
  </r>
  <r>
    <x v="116"/>
    <x v="0"/>
    <x v="5"/>
    <d v="1899-12-30T06:00:00"/>
    <d v="1899-12-30T08:00:00"/>
    <n v="2"/>
    <x v="1"/>
    <x v="2"/>
    <s v="Arranque planta"/>
    <s v="Planta general"/>
    <x v="5"/>
    <s v="arranque de proceso"/>
  </r>
  <r>
    <x v="116"/>
    <x v="0"/>
    <x v="5"/>
    <d v="1899-12-30T13:49:00"/>
    <d v="1899-12-30T14:37:00"/>
    <n v="0.8"/>
    <x v="0"/>
    <x v="3"/>
    <s v="Falta de fruta fresca"/>
    <s v="Planta general"/>
    <x v="5"/>
    <m/>
  </r>
  <r>
    <x v="116"/>
    <x v="0"/>
    <x v="5"/>
    <d v="1899-12-30T20:20:00"/>
    <d v="1899-12-30T20:40:00"/>
    <n v="0.33333333333333331"/>
    <x v="0"/>
    <x v="1"/>
    <s v="Falla operativa"/>
    <s v="Palmistería"/>
    <x v="54"/>
    <m/>
  </r>
  <r>
    <x v="117"/>
    <x v="0"/>
    <x v="5"/>
    <d v="1899-12-30T06:00:00"/>
    <d v="1899-12-30T11:31:00"/>
    <n v="5.5166666666666666"/>
    <x v="0"/>
    <x v="0"/>
    <s v="Falla mecánica"/>
    <s v="Recepción"/>
    <x v="17"/>
    <s v="Se cae cadena"/>
  </r>
  <r>
    <x v="118"/>
    <x v="0"/>
    <x v="5"/>
    <d v="1899-12-30T06:00:00"/>
    <d v="1899-12-30T18:40:00"/>
    <n v="12.666666666666666"/>
    <x v="0"/>
    <x v="3"/>
    <s v="Falta de fruta fresca"/>
    <s v="Planta general"/>
    <x v="5"/>
    <s v="-"/>
  </r>
  <r>
    <x v="119"/>
    <x v="0"/>
    <x v="5"/>
    <d v="1899-12-30T14:00:00"/>
    <d v="1899-12-30T19:50:00"/>
    <n v="5.833333333333333"/>
    <x v="0"/>
    <x v="3"/>
    <s v="Falta de fruta fresca"/>
    <s v="Planta general"/>
    <x v="5"/>
    <s v="-"/>
  </r>
  <r>
    <x v="119"/>
    <x v="0"/>
    <x v="5"/>
    <d v="1899-12-30T01:30:00"/>
    <d v="1899-12-30T04:00:00"/>
    <n v="2.5"/>
    <x v="0"/>
    <x v="0"/>
    <s v="Falla mecánica"/>
    <s v="Recepción"/>
    <x v="56"/>
    <s v="Se cae el redler"/>
  </r>
  <r>
    <x v="119"/>
    <x v="0"/>
    <x v="5"/>
    <d v="1899-12-30T12:40:00"/>
    <d v="1899-12-30T23:30:00"/>
    <n v="10.833333333333334"/>
    <x v="0"/>
    <x v="0"/>
    <s v="Falla mecánica"/>
    <s v="Recepción"/>
    <x v="18"/>
    <m/>
  </r>
  <r>
    <x v="120"/>
    <x v="0"/>
    <x v="5"/>
    <d v="1899-12-30T06:00:00"/>
    <d v="1899-12-30T07:47:00"/>
    <n v="1.7833333333333332"/>
    <x v="0"/>
    <x v="3"/>
    <s v="Falta de fruta fresca"/>
    <s v="Planta general"/>
    <x v="5"/>
    <m/>
  </r>
  <r>
    <x v="120"/>
    <x v="0"/>
    <x v="5"/>
    <d v="1899-12-30T10:09:00"/>
    <d v="1899-12-30T12:27:00"/>
    <n v="2.2999999999999998"/>
    <x v="0"/>
    <x v="3"/>
    <s v="Falta de fruta fresca"/>
    <s v="Planta general"/>
    <x v="5"/>
    <m/>
  </r>
  <r>
    <x v="120"/>
    <x v="0"/>
    <x v="5"/>
    <d v="1899-12-30T05:40:00"/>
    <d v="1899-12-30T06:00:00"/>
    <n v="0.33333333333333331"/>
    <x v="0"/>
    <x v="0"/>
    <s v="Falla mecánica"/>
    <s v="Recepción"/>
    <x v="56"/>
    <s v="Se cae"/>
  </r>
  <r>
    <x v="121"/>
    <x v="0"/>
    <x v="5"/>
    <d v="1899-12-30T13:18:00"/>
    <d v="1899-12-30T13:30:00"/>
    <n v="0.2"/>
    <x v="0"/>
    <x v="1"/>
    <s v="Falla operativa"/>
    <s v="Palmistería"/>
    <x v="54"/>
    <s v="Taponamiento"/>
  </r>
  <r>
    <x v="122"/>
    <x v="0"/>
    <x v="5"/>
    <d v="1899-12-30T07:00:00"/>
    <d v="1899-12-30T07:28:00"/>
    <n v="0.46666666666666667"/>
    <x v="0"/>
    <x v="1"/>
    <s v="Falla operativa"/>
    <s v="Palmistería"/>
    <x v="54"/>
    <s v="Taponamiento"/>
  </r>
  <r>
    <x v="123"/>
    <x v="0"/>
    <x v="5"/>
    <d v="1899-12-30T06:05:00"/>
    <d v="1899-12-30T14:35:00"/>
    <n v="8.5"/>
    <x v="0"/>
    <x v="3"/>
    <s v="Falta de fruta fresca"/>
    <s v="Planta general"/>
    <x v="5"/>
    <m/>
  </r>
  <r>
    <x v="123"/>
    <x v="0"/>
    <x v="5"/>
    <d v="1899-12-30T17:35:00"/>
    <d v="1899-12-30T18:35:00"/>
    <n v="1"/>
    <x v="0"/>
    <x v="1"/>
    <s v="Falla operativa"/>
    <s v="Clarificación"/>
    <x v="48"/>
    <s v="Taponamiento"/>
  </r>
  <r>
    <x v="124"/>
    <x v="0"/>
    <x v="5"/>
    <m/>
    <m/>
    <n v="0"/>
    <x v="0"/>
    <x v="1"/>
    <s v="Falla operativa"/>
    <s v="Clarificación"/>
    <x v="48"/>
    <m/>
  </r>
  <r>
    <x v="125"/>
    <x v="0"/>
    <x v="5"/>
    <m/>
    <m/>
    <n v="0"/>
    <x v="0"/>
    <x v="1"/>
    <s v="Falla operativa"/>
    <s v="Clarificación"/>
    <x v="48"/>
    <m/>
  </r>
  <r>
    <x v="126"/>
    <x v="1"/>
    <x v="6"/>
    <d v="1899-12-30T21:30:00"/>
    <d v="1899-12-30T22:33:00"/>
    <n v="1.05"/>
    <x v="0"/>
    <x v="1"/>
    <s v="Falla operativa"/>
    <s v="Clarificación"/>
    <x v="3"/>
    <s v="Aceite de solidifico en tubería ocasionando taponamiento de la misma, imposibilitando el bombeo"/>
  </r>
  <r>
    <x v="127"/>
    <x v="1"/>
    <x v="6"/>
    <d v="1899-12-30T06:00:00"/>
    <d v="1899-12-30T08:40:00"/>
    <n v="2.6666666666666665"/>
    <x v="0"/>
    <x v="3"/>
    <s v="Falta de fruta fresca"/>
    <s v="Planta general"/>
    <x v="5"/>
    <s v="Falta de RFF en tolva."/>
  </r>
  <r>
    <x v="127"/>
    <x v="1"/>
    <x v="6"/>
    <d v="1899-12-30T09:48:00"/>
    <d v="1899-12-30T14:00:00"/>
    <n v="4.2"/>
    <x v="0"/>
    <x v="0"/>
    <s v="Falla mecánica"/>
    <s v="Planta generación de vapor"/>
    <x v="59"/>
    <s v="Embolo suelto, la valvula acciona pero el embolo se queda. "/>
  </r>
  <r>
    <x v="127"/>
    <x v="1"/>
    <x v="6"/>
    <d v="1899-12-30T05:10:00"/>
    <d v="1899-12-30T05:40:00"/>
    <n v="0.5"/>
    <x v="0"/>
    <x v="1"/>
    <s v="Falla operativa"/>
    <s v="Palmistería"/>
    <x v="54"/>
    <s v="Taponamiento en elevador de nuez humeda por sobrecarga de material."/>
  </r>
  <r>
    <x v="128"/>
    <x v="1"/>
    <x v="6"/>
    <d v="1899-12-30T06:00:00"/>
    <d v="1899-12-30T07:20:00"/>
    <n v="1.3333333333333333"/>
    <x v="0"/>
    <x v="3"/>
    <s v="Falta de fruta fresca"/>
    <s v="Planta general"/>
    <x v="5"/>
    <m/>
  </r>
  <r>
    <x v="128"/>
    <x v="1"/>
    <x v="6"/>
    <d v="1899-12-30T20:00:00"/>
    <d v="1899-12-30T22:27:00"/>
    <n v="2.4500000000000002"/>
    <x v="0"/>
    <x v="0"/>
    <s v="Falla mecánica"/>
    <s v="Digestión y prensado"/>
    <x v="57"/>
    <s v="Se desajusta el acople"/>
  </r>
  <r>
    <x v="129"/>
    <x v="1"/>
    <x v="6"/>
    <d v="1899-12-30T12:00:00"/>
    <d v="1899-12-30T16:00:00"/>
    <n v="4"/>
    <x v="0"/>
    <x v="0"/>
    <s v="Falla mecánica"/>
    <s v="Planta generación de vapor"/>
    <x v="22"/>
    <s v="Falla de la parrilla viajera por daño de perfiles"/>
  </r>
  <r>
    <x v="129"/>
    <x v="1"/>
    <x v="6"/>
    <d v="1899-12-30T16:00:00"/>
    <d v="1899-12-30T20:00:00"/>
    <n v="4"/>
    <x v="0"/>
    <x v="0"/>
    <s v="Falla mecánica"/>
    <s v="Digestión y prensado"/>
    <x v="13"/>
    <s v="Se rompen tornillos del soporte en 8 de la canasta"/>
  </r>
  <r>
    <x v="130"/>
    <x v="1"/>
    <x v="6"/>
    <d v="1899-12-30T06:00:00"/>
    <d v="1899-12-30T07:22:00"/>
    <n v="1.3666666666666667"/>
    <x v="0"/>
    <x v="0"/>
    <s v="Falla mecánica"/>
    <s v="Palmistería"/>
    <x v="54"/>
    <s v="Daño eje del piñón"/>
  </r>
  <r>
    <x v="131"/>
    <x v="1"/>
    <x v="6"/>
    <d v="1899-12-30T12:00:00"/>
    <d v="1899-12-30T18:00:00"/>
    <n v="6"/>
    <x v="0"/>
    <x v="0"/>
    <s v="Falla mecánica"/>
    <s v="Planta generación de vapor"/>
    <x v="22"/>
    <s v="Falla de la parrilla viajera por daño de perfiles"/>
  </r>
  <r>
    <x v="131"/>
    <x v="1"/>
    <x v="6"/>
    <d v="1899-12-30T18:00:00"/>
    <d v="1899-12-30T20:00:00"/>
    <n v="2"/>
    <x v="0"/>
    <x v="0"/>
    <s v="Falla mecánica"/>
    <s v="Clarificación"/>
    <x v="60"/>
    <s v="Falla columna precalentadora de lodos"/>
  </r>
  <r>
    <x v="131"/>
    <x v="1"/>
    <x v="6"/>
    <d v="1899-12-30T22:22:00"/>
    <d v="1899-12-30T23:15:00"/>
    <n v="0.8833333333333333"/>
    <x v="0"/>
    <x v="0"/>
    <s v="Falla eléctrica"/>
    <s v="Desfibración"/>
    <x v="61"/>
    <s v="Problema eléctrico del motor"/>
  </r>
  <r>
    <x v="131"/>
    <x v="1"/>
    <x v="6"/>
    <d v="1899-12-30T00:10:00"/>
    <d v="1899-12-30T03:21:00"/>
    <n v="3.1833333333333331"/>
    <x v="0"/>
    <x v="0"/>
    <s v="Falla mecánica"/>
    <s v="Planta generación de vapor"/>
    <x v="22"/>
    <s v="Falla empaque manhall del pitorubo"/>
  </r>
  <r>
    <x v="132"/>
    <x v="1"/>
    <x v="6"/>
    <d v="1899-12-30T07:47:00"/>
    <d v="1899-12-30T12:35:00"/>
    <n v="4.8"/>
    <x v="0"/>
    <x v="0"/>
    <s v="Falla mecánica"/>
    <s v="Recepción"/>
    <x v="7"/>
    <s v="Falla cadena"/>
  </r>
  <r>
    <x v="133"/>
    <x v="1"/>
    <x v="6"/>
    <d v="1899-12-30T02:10:00"/>
    <d v="1899-12-30T06:00:00"/>
    <n v="3.8333333333333335"/>
    <x v="0"/>
    <x v="0"/>
    <s v="Falla mecánica"/>
    <s v="Planta generación de vapor"/>
    <x v="9"/>
    <s v="Se daña reductor"/>
  </r>
  <r>
    <x v="134"/>
    <x v="1"/>
    <x v="6"/>
    <d v="1899-12-30T06:00:00"/>
    <d v="1899-12-30T08:15:00"/>
    <n v="2.25"/>
    <x v="0"/>
    <x v="0"/>
    <s v="Falla mecánica"/>
    <s v="Planta generación de vapor"/>
    <x v="9"/>
    <s v="Se daña reductor"/>
  </r>
  <r>
    <x v="134"/>
    <x v="1"/>
    <x v="6"/>
    <d v="1899-12-30T06:00:00"/>
    <d v="1899-12-30T08:15:00"/>
    <n v="2.25"/>
    <x v="0"/>
    <x v="0"/>
    <s v="Falla mecánica"/>
    <s v="Recepción"/>
    <x v="7"/>
    <s v="Se revienta cadena"/>
  </r>
  <r>
    <x v="135"/>
    <x v="1"/>
    <x v="6"/>
    <d v="1899-12-30T06:00:00"/>
    <d v="1899-12-30T12:07:00"/>
    <n v="6.1166666666666663"/>
    <x v="0"/>
    <x v="0"/>
    <s v="Falla mecánica"/>
    <s v="Recepción"/>
    <x v="7"/>
    <s v="Se sale redler de las guias, lo que provoca la caida de dicha cadena."/>
  </r>
  <r>
    <x v="136"/>
    <x v="1"/>
    <x v="6"/>
    <d v="1899-12-30T12:50:00"/>
    <d v="1899-12-30T13:17:00"/>
    <n v="0.45"/>
    <x v="0"/>
    <x v="0"/>
    <s v="Falla mecánica"/>
    <s v="Palmistería"/>
    <x v="62"/>
    <s v="Se descadena motor del elevador de nuez"/>
  </r>
  <r>
    <x v="136"/>
    <x v="1"/>
    <x v="6"/>
    <d v="1899-12-30T17:45:00"/>
    <d v="1899-12-30T18:00:00"/>
    <n v="0.25"/>
    <x v="0"/>
    <x v="0"/>
    <s v="Falla eléctrica"/>
    <s v="Digestión y prensado"/>
    <x v="13"/>
    <s v="Corto en tablero de la prensa."/>
  </r>
  <r>
    <x v="136"/>
    <x v="1"/>
    <x v="6"/>
    <d v="1899-12-30T18:00:00"/>
    <d v="1899-12-30T20:00:00"/>
    <n v="2"/>
    <x v="0"/>
    <x v="0"/>
    <s v="Falla eléctrica"/>
    <s v="Digestión y prensado"/>
    <x v="13"/>
    <s v="Corto en tablero de la prensa, se realiza cambio el cableado directo a motor de la prensa."/>
  </r>
  <r>
    <x v="137"/>
    <x v="1"/>
    <x v="6"/>
    <d v="1899-12-30T14:00:00"/>
    <d v="1899-12-30T17:55:00"/>
    <n v="3.9166666666666665"/>
    <x v="0"/>
    <x v="0"/>
    <s v="Falla mecánica"/>
    <s v="Planta generación de vapor"/>
    <x v="22"/>
    <s v="Se intervienen las platinas y zapatas faltantes queda en su totalidad trabajando."/>
  </r>
  <r>
    <x v="138"/>
    <x v="1"/>
    <x v="6"/>
    <d v="1899-12-30T08:40:00"/>
    <d v="1899-12-30T09:18:00"/>
    <n v="0.6333333333333333"/>
    <x v="0"/>
    <x v="0"/>
    <s v="Falla mecánica"/>
    <s v="Planta generación de vapor"/>
    <x v="9"/>
    <s v="Se atasca sinfín."/>
  </r>
  <r>
    <x v="139"/>
    <x v="1"/>
    <x v="6"/>
    <d v="1899-12-30T09:08:00"/>
    <d v="1899-12-30T11:00:00"/>
    <n v="1.8666666666666667"/>
    <x v="0"/>
    <x v="0"/>
    <s v="Falla mecánica"/>
    <s v="Clarificación"/>
    <x v="45"/>
    <s v="Se cambia cheque de secador de vacio"/>
  </r>
  <r>
    <x v="139"/>
    <x v="1"/>
    <x v="6"/>
    <d v="1899-12-30T00:12:00"/>
    <d v="1899-12-30T03:35:00"/>
    <n v="3.3833333333333333"/>
    <x v="0"/>
    <x v="0"/>
    <s v="Falla mecánica"/>
    <s v="Recepción"/>
    <x v="7"/>
    <s v="Se cae redler principal en su totalidad"/>
  </r>
  <r>
    <x v="140"/>
    <x v="1"/>
    <x v="6"/>
    <d v="1899-12-30T01:30:00"/>
    <d v="1899-12-30T01:50:00"/>
    <n v="0.33333333333333331"/>
    <x v="0"/>
    <x v="0"/>
    <s v="Falla eléctrica"/>
    <s v="Planta generación energía electrica"/>
    <x v="51"/>
    <s v="Se ampera planta electrica y se apaga no genera con constancia, lo que hace dispárar los equipos."/>
  </r>
  <r>
    <x v="140"/>
    <x v="1"/>
    <x v="6"/>
    <d v="1899-12-30T02:45:00"/>
    <d v="1899-12-30T03:15:00"/>
    <n v="0.5"/>
    <x v="0"/>
    <x v="0"/>
    <s v="Falla eléctrica"/>
    <s v="Planta generación energía electrica"/>
    <x v="51"/>
    <s v="Se ampera planta electrica y se apaga no genera con constancia, lo que hace dispárar los equipos."/>
  </r>
  <r>
    <x v="140"/>
    <x v="1"/>
    <x v="6"/>
    <d v="1899-12-30T04:25:00"/>
    <d v="1899-12-30T05:25:00"/>
    <n v="1"/>
    <x v="0"/>
    <x v="0"/>
    <s v="Falla eléctrica"/>
    <s v="Planta generación energía electrica"/>
    <x v="51"/>
    <s v="Se ampera planta electrica y se apaga no genera con constancia, lo que hace dispárar los equipos."/>
  </r>
  <r>
    <x v="141"/>
    <x v="1"/>
    <x v="6"/>
    <d v="1899-12-30T05:00:00"/>
    <d v="1899-12-30T05:55:00"/>
    <n v="0.91666666666666663"/>
    <x v="0"/>
    <x v="0"/>
    <s v="Falla mecánica"/>
    <s v="Desfrutado"/>
    <x v="19"/>
    <s v="Se parte tornillo de acople y produce atascamiento."/>
  </r>
  <r>
    <x v="142"/>
    <x v="1"/>
    <x v="6"/>
    <d v="1899-12-30T08:00:00"/>
    <d v="1899-12-30T09:16:00"/>
    <n v="1.2666666666666666"/>
    <x v="0"/>
    <x v="0"/>
    <s v="Falla mecánica"/>
    <s v="Esterilización "/>
    <x v="63"/>
    <s v="Fuga en tuberia de la unidad hidraulica, se solda y se habilita."/>
  </r>
  <r>
    <x v="143"/>
    <x v="1"/>
    <x v="6"/>
    <d v="1899-12-30T07:00:00"/>
    <d v="1899-12-30T09:51:00"/>
    <n v="2.85"/>
    <x v="0"/>
    <x v="0"/>
    <s v="Falla mecánica"/>
    <s v="Clarificación"/>
    <x v="41"/>
    <s v="Fuga en desarenador N°2, se desocupa y se solda dicha fuaga."/>
  </r>
  <r>
    <x v="144"/>
    <x v="1"/>
    <x v="6"/>
    <d v="1899-12-30T22:07:00"/>
    <d v="1899-12-30T22:47:00"/>
    <n v="0.66666666666666663"/>
    <x v="0"/>
    <x v="0"/>
    <s v="Falla mecánica"/>
    <s v="Desfrutado"/>
    <x v="14"/>
    <s v="Se sale cadena en una parte de dicho equipo, se suelta pega e introduce cadena a la guia."/>
  </r>
  <r>
    <x v="145"/>
    <x v="1"/>
    <x v="6"/>
    <d v="1899-12-30T15:50:00"/>
    <d v="1899-12-30T16:10:00"/>
    <n v="0.33333333333333331"/>
    <x v="0"/>
    <x v="0"/>
    <s v="Falla mecánica"/>
    <s v="Esterilización "/>
    <x v="32"/>
    <s v="Cambio de empaque de la autoclave y cambio de sensor puerta cerrada."/>
  </r>
  <r>
    <x v="146"/>
    <x v="1"/>
    <x v="6"/>
    <d v="1899-12-30T06:17:00"/>
    <d v="1899-12-30T07:00:00"/>
    <n v="0.71666666666666667"/>
    <x v="0"/>
    <x v="3"/>
    <s v="Equipo para mov. de fruta"/>
    <s v="Planta general"/>
    <x v="5"/>
    <s v="Pajarita pinchada desde la noche no se pudo remontar fruto en piso."/>
  </r>
  <r>
    <x v="146"/>
    <x v="1"/>
    <x v="6"/>
    <d v="1899-12-30T17:17:00"/>
    <d v="1899-12-30T18:00:00"/>
    <n v="0.71666666666666667"/>
    <x v="0"/>
    <x v="0"/>
    <s v="Falla mecánica"/>
    <s v="Desfrutado"/>
    <x v="14"/>
    <s v="Cadena de arrastre del redler destencionada y se salta el piñon."/>
  </r>
  <r>
    <x v="147"/>
    <x v="1"/>
    <x v="6"/>
    <d v="1899-12-30T06:40:00"/>
    <d v="1899-12-30T07:02:00"/>
    <n v="0.36666666666666664"/>
    <x v="0"/>
    <x v="3"/>
    <s v="Equipo para mov. de fruta"/>
    <s v="Planta general"/>
    <x v="5"/>
    <s v="Pajarita pinchada desde la noche no se pudo remontar fruto en piso."/>
  </r>
  <r>
    <x v="147"/>
    <x v="1"/>
    <x v="6"/>
    <d v="1899-12-30T18:40:00"/>
    <d v="1899-12-30T19:38:00"/>
    <n v="0.96666666666666667"/>
    <x v="0"/>
    <x v="0"/>
    <s v="Falla mecánica"/>
    <s v="Desfibración"/>
    <x v="9"/>
    <s v="Tension cadena transmision de potencia"/>
  </r>
  <r>
    <x v="148"/>
    <x v="1"/>
    <x v="6"/>
    <d v="1899-12-30T21:10:00"/>
    <d v="1899-12-30T22:00:00"/>
    <n v="0.83333333333333337"/>
    <x v="0"/>
    <x v="0"/>
    <s v="Falla mecánica"/>
    <s v="Desfibración"/>
    <x v="9"/>
    <s v="Piñon conductor , Piñon conducido y cadena de la transmision de potencia del transportador presentan excesivo desgaste, la cadena esta demasiado elongada, se tensiono la cadena pero el piñon conductor y conducido  no tenian agarre, no se encuentra repuesto disponible en almacen , se busco repuesto compatible en los equipos ya montados y se encontro una transmision completa en el hidrociclon , se cambio primero el piñon conductor y no sirvio , se cambio tambien el conducido y la cadena,y quedo muy bien,  tambien se reviso el arranque electrico porque el motor despues no queria dar arranque, se encontraba en dos fases, queda el equipo operando en buenas condiciones."/>
  </r>
  <r>
    <x v="148"/>
    <x v="1"/>
    <x v="6"/>
    <d v="1899-12-30T00:00:00"/>
    <d v="1899-12-30T02:18:00"/>
    <n v="2.2999999999999998"/>
    <x v="0"/>
    <x v="0"/>
    <s v="Falla mecánica"/>
    <s v="Desfibración"/>
    <x v="9"/>
    <m/>
  </r>
  <r>
    <x v="148"/>
    <x v="1"/>
    <x v="6"/>
    <d v="1899-12-30T02:00:00"/>
    <d v="1899-12-30T02:30:00"/>
    <n v="0.5"/>
    <x v="0"/>
    <x v="3"/>
    <s v="Fluído eléctrico"/>
    <s v="Planta general"/>
    <x v="5"/>
    <s v="Caida de voltaje de la red publica, se apaga el motor por desenclavamiento del arranque electrico, ocasionando taponamiento con fibra en el tambor pulidor"/>
  </r>
  <r>
    <x v="149"/>
    <x v="1"/>
    <x v="7"/>
    <d v="1899-12-30T10:17:00"/>
    <d v="1899-12-30T14:00:00"/>
    <n v="3.7166666666666668"/>
    <x v="0"/>
    <x v="3"/>
    <s v="Falta de fruta fresca"/>
    <s v="Planta general"/>
    <x v="5"/>
    <s v="Sin fruta en tolva, se inica proceso con segundo turno."/>
  </r>
  <r>
    <x v="149"/>
    <x v="1"/>
    <x v="7"/>
    <d v="1899-12-30T14:00:00"/>
    <d v="1899-12-30T20:30:00"/>
    <n v="6.5"/>
    <x v="1"/>
    <x v="2"/>
    <s v="Mantenimiento programado"/>
    <s v="Planta general"/>
    <x v="5"/>
    <s v="Mantenimiento programado, rutinario limpieza desfrutador, elevador, transportador de  torta entre otros."/>
  </r>
  <r>
    <x v="150"/>
    <x v="1"/>
    <x v="7"/>
    <d v="1899-12-30T06:33:00"/>
    <d v="1899-12-30T06:37:00"/>
    <n v="6.6666666666666666E-2"/>
    <x v="0"/>
    <x v="0"/>
    <s v="Falla eléctrica"/>
    <s v="Planta generación energía electrica"/>
    <x v="51"/>
    <s v="Falla fluido eléctrico de red Externa, y planta eléctrica se ampera y se apaga, se coordina el encendido del equipo y trabajo con normalidad este equipo."/>
  </r>
  <r>
    <x v="150"/>
    <x v="1"/>
    <x v="7"/>
    <d v="1899-12-30T07:59:00"/>
    <d v="1899-12-30T08:59:00"/>
    <n v="1"/>
    <x v="0"/>
    <x v="0"/>
    <s v="Falla mecánica"/>
    <s v="Clarificación"/>
    <x v="49"/>
    <s v="Se frena bomba de aceite humedo, se cambia bomba por la de recuperado de florentinos."/>
  </r>
  <r>
    <x v="150"/>
    <x v="1"/>
    <x v="7"/>
    <d v="1899-12-30T10:00:00"/>
    <d v="1899-12-30T12:01:00"/>
    <n v="2.0166666666666666"/>
    <x v="0"/>
    <x v="0"/>
    <s v="Falla mecánica"/>
    <s v="Recepción"/>
    <x v="7"/>
    <s v="Se cae redler principal en su totalidad"/>
  </r>
  <r>
    <x v="150"/>
    <x v="1"/>
    <x v="7"/>
    <d v="1899-12-30T13:31:00"/>
    <d v="1899-12-30T17:08:00"/>
    <n v="3.6166666666666667"/>
    <x v="0"/>
    <x v="0"/>
    <s v="Falla mecánica"/>
    <s v="Recepción"/>
    <x v="7"/>
    <s v="Se revienta pega de cadena, se cambia dicha pega."/>
  </r>
  <r>
    <x v="150"/>
    <x v="1"/>
    <x v="7"/>
    <d v="1899-12-30T01:00:00"/>
    <d v="1899-12-30T01:30:00"/>
    <n v="0.5"/>
    <x v="0"/>
    <x v="0"/>
    <s v="Falla mecánica"/>
    <s v="Recepción"/>
    <x v="7"/>
    <s v="Se cae redler principal en su totalidad"/>
  </r>
  <r>
    <x v="150"/>
    <x v="1"/>
    <x v="7"/>
    <d v="1899-12-30T02:50:00"/>
    <d v="1899-12-30T06:00:00"/>
    <n v="3.1666666666666665"/>
    <x v="0"/>
    <x v="0"/>
    <s v="Falla mecánica"/>
    <s v="Desfrutado"/>
    <x v="8"/>
    <s v="Se revienta cadena de cangilones, se cae en su tutalidad, se cambian pegas."/>
  </r>
  <r>
    <x v="151"/>
    <x v="1"/>
    <x v="7"/>
    <d v="1899-12-30T06:00:00"/>
    <d v="1899-12-30T15:10:00"/>
    <n v="9.1666666666666661"/>
    <x v="0"/>
    <x v="0"/>
    <s v="Falla mecánica"/>
    <s v="Desfrutado"/>
    <x v="8"/>
    <s v="Se revienta cadena de cangilones, se cae en su tutalidad, se cambian pegas."/>
  </r>
  <r>
    <x v="151"/>
    <x v="1"/>
    <x v="7"/>
    <d v="1899-12-30T20:23:00"/>
    <d v="1899-12-30T23:23:00"/>
    <n v="3"/>
    <x v="0"/>
    <x v="0"/>
    <s v="Falla mecánica"/>
    <s v="Recepción"/>
    <x v="7"/>
    <s v="Se cae redler principal en su totalidad"/>
  </r>
  <r>
    <x v="151"/>
    <x v="1"/>
    <x v="7"/>
    <d v="1899-12-30T03:10:00"/>
    <d v="1899-12-30T03:27:00"/>
    <n v="0.28333333333333333"/>
    <x v="0"/>
    <x v="0"/>
    <s v="Falla mecánica"/>
    <s v="Digestión y prensado"/>
    <x v="13"/>
    <s v="Se revientan corres del motor de la prensa se cambian y se reinicia proceso"/>
  </r>
  <r>
    <x v="152"/>
    <x v="1"/>
    <x v="7"/>
    <d v="1899-12-30T12:57:00"/>
    <d v="1899-12-30T13:27:00"/>
    <n v="0.5"/>
    <x v="0"/>
    <x v="0"/>
    <s v="Falla mecánica"/>
    <s v="Clarificación"/>
    <x v="39"/>
    <s v="Se sale cuña del motor de dicha bomba"/>
  </r>
  <r>
    <x v="152"/>
    <x v="1"/>
    <x v="7"/>
    <d v="1899-12-30T17:20:00"/>
    <d v="1899-12-30T17:50:00"/>
    <n v="0.5"/>
    <x v="0"/>
    <x v="0"/>
    <s v="Falla mecánica"/>
    <s v="Clarificación"/>
    <x v="39"/>
    <s v="Se sale cuña del motor de dicha bomba, se solda prisionero y cuña al acople, trabaja normal."/>
  </r>
  <r>
    <x v="152"/>
    <x v="1"/>
    <x v="7"/>
    <d v="1899-12-30T19:11:00"/>
    <d v="1899-12-30T19:35:00"/>
    <n v="0.4"/>
    <x v="0"/>
    <x v="0"/>
    <s v="Falla mecánica"/>
    <s v="Desfibración"/>
    <x v="9"/>
    <s v="Se parte pasador-puente"/>
  </r>
  <r>
    <x v="153"/>
    <x v="1"/>
    <x v="7"/>
    <d v="1899-12-30T09:00:00"/>
    <d v="1899-12-30T09:40:00"/>
    <n v="0.66666666666666663"/>
    <x v="0"/>
    <x v="0"/>
    <s v="Falla mecánica"/>
    <s v="Desfibración"/>
    <x v="64"/>
    <s v="Fuga del ciclon de fibra y en esclusa  de la misma."/>
  </r>
  <r>
    <x v="153"/>
    <x v="1"/>
    <x v="7"/>
    <d v="1899-12-30T09:50:00"/>
    <d v="1899-12-30T10:37:00"/>
    <n v="0.78333333333333333"/>
    <x v="0"/>
    <x v="0"/>
    <s v="Falla mecánica"/>
    <s v="Desfibración"/>
    <x v="9"/>
    <s v="Motoreductor del sin fin de la caldera se salta."/>
  </r>
  <r>
    <x v="153"/>
    <x v="1"/>
    <x v="7"/>
    <d v="1899-12-30T11:00:00"/>
    <d v="1899-12-30T14:28:00"/>
    <n v="3.4666666666666668"/>
    <x v="0"/>
    <x v="0"/>
    <s v="Falla mecánica"/>
    <s v="Planta generación de vapor"/>
    <x v="9"/>
    <s v="Motoreductor del sin fin de la caldera sele daña piñon, se cambia motoreductor y continua proceso"/>
  </r>
  <r>
    <x v="153"/>
    <x v="1"/>
    <x v="7"/>
    <d v="1899-12-30T17:41:00"/>
    <d v="1899-12-30T20:33:00"/>
    <n v="2.8666666666666667"/>
    <x v="0"/>
    <x v="0"/>
    <s v="Falla mecánica"/>
    <s v="Clarificación"/>
    <x v="11"/>
    <s v="Se suelta la abrazadera del tamiz."/>
  </r>
  <r>
    <x v="154"/>
    <x v="1"/>
    <x v="7"/>
    <d v="1899-12-30T11:35:00"/>
    <d v="1899-12-30T12:55:00"/>
    <n v="1.3333333333333333"/>
    <x v="0"/>
    <x v="0"/>
    <s v="Falla mecánica"/>
    <s v="Esterilización "/>
    <x v="32"/>
    <s v="Se corrige fuga en tuberia de 2&quot; de cundensados de la autoclave N°2"/>
  </r>
  <r>
    <x v="154"/>
    <x v="1"/>
    <x v="7"/>
    <d v="1899-12-30T03:10:00"/>
    <d v="1899-12-30T03:53:00"/>
    <n v="0.71666666666666667"/>
    <x v="0"/>
    <x v="0"/>
    <s v="Falla mecánica"/>
    <s v="Clarificación"/>
    <x v="11"/>
    <s v="Se corre cuerpo de tamiz."/>
  </r>
  <r>
    <x v="154"/>
    <x v="1"/>
    <x v="7"/>
    <d v="1899-12-30T03:45:00"/>
    <d v="1899-12-30T04:01:00"/>
    <n v="0.26666666666666666"/>
    <x v="0"/>
    <x v="0"/>
    <s v="Falla mecánica"/>
    <s v="Clarificación"/>
    <x v="11"/>
    <s v="Se corre cuerpo de tamiz."/>
  </r>
  <r>
    <x v="155"/>
    <x v="1"/>
    <x v="7"/>
    <d v="1899-12-30T07:45:00"/>
    <d v="1899-12-30T08:01:00"/>
    <n v="0.26666666666666666"/>
    <x v="0"/>
    <x v="1"/>
    <s v="Falla operativa"/>
    <s v="Desfibración"/>
    <x v="9"/>
    <s v="se atasca el sinfín por exceso de alimentacion"/>
  </r>
  <r>
    <x v="155"/>
    <x v="1"/>
    <x v="7"/>
    <d v="1899-12-30T08:30:00"/>
    <d v="1899-12-30T12:17:00"/>
    <n v="3.7833333333333332"/>
    <x v="0"/>
    <x v="0"/>
    <s v="Falla mecánica"/>
    <s v="Clarificación"/>
    <x v="11"/>
    <s v="daño por roctura del cuerpo inferior del tamis , excesivo desgaste en las pestañas que sujetan los cuepos por medio de las correas de amarre"/>
  </r>
  <r>
    <x v="155"/>
    <x v="1"/>
    <x v="7"/>
    <d v="1899-12-30T13:30:00"/>
    <d v="1899-12-30T15:36:00"/>
    <n v="2.1"/>
    <x v="0"/>
    <x v="0"/>
    <s v="Falla mecánica"/>
    <s v="Desfibración"/>
    <x v="0"/>
    <s v="se atasco por falta de paletas aproximadamente 7 paletas continuas"/>
  </r>
  <r>
    <x v="156"/>
    <x v="1"/>
    <x v="7"/>
    <d v="1899-12-30T21:30:00"/>
    <d v="1899-12-31T00:00:00"/>
    <n v="2.5"/>
    <x v="0"/>
    <x v="0"/>
    <s v="Falla mecánica"/>
    <s v="Recepción"/>
    <x v="7"/>
    <s v="se descarrilo la cadena del redler y se dañaron 5 pegas de la cadena "/>
  </r>
  <r>
    <x v="156"/>
    <x v="1"/>
    <x v="7"/>
    <d v="1899-12-30T00:00:00"/>
    <d v="1899-12-30T06:00:00"/>
    <n v="6"/>
    <x v="0"/>
    <x v="0"/>
    <s v="Falla mecánica"/>
    <s v="Recepción"/>
    <x v="7"/>
    <s v="se descarrilo la cadena del redler y se dañaron 5 pegas de la cadena "/>
  </r>
  <r>
    <x v="157"/>
    <x v="1"/>
    <x v="7"/>
    <d v="1899-12-30T06:00:00"/>
    <d v="1899-12-30T08:40:00"/>
    <n v="2.6666666666666665"/>
    <x v="0"/>
    <x v="0"/>
    <s v="Falla mecánica"/>
    <s v="Clarificación"/>
    <x v="65"/>
    <s v="rontura de la soldadura del tubo que sale del tanque hacia las centrifugas"/>
  </r>
  <r>
    <x v="158"/>
    <x v="1"/>
    <x v="7"/>
    <d v="1899-12-30T09:27:00"/>
    <d v="1899-12-30T10:00:00"/>
    <n v="0.55000000000000004"/>
    <x v="0"/>
    <x v="0"/>
    <s v="Falla mecánica"/>
    <s v="Clarificación"/>
    <x v="55"/>
    <s v="Se paro por daño en la malla , hay que revisar este equipo porque es constante el problema, al parecer es balanceo , o problemas el los cuerpos (tornillo de centro y ajuste de la malla)"/>
  </r>
  <r>
    <x v="159"/>
    <x v="1"/>
    <x v="7"/>
    <d v="1899-12-30T23:30:00"/>
    <d v="1900-01-23T00:00:00"/>
    <n v="0.5"/>
    <x v="0"/>
    <x v="0"/>
    <s v="Falla mecánica"/>
    <s v="Recepción"/>
    <x v="7"/>
    <s v="se  desencadeno  el redler de uno de los piñones conductores."/>
  </r>
  <r>
    <x v="160"/>
    <x v="1"/>
    <x v="7"/>
    <d v="1899-12-30T22:00:00"/>
    <d v="1900-01-23T00:00:00"/>
    <n v="2"/>
    <x v="0"/>
    <x v="1"/>
    <s v="Falla operativa"/>
    <s v="Clarificación"/>
    <x v="33"/>
    <s v="Se tapo la tuberia de succion porque se solidifico el aceite "/>
  </r>
  <r>
    <x v="160"/>
    <x v="1"/>
    <x v="7"/>
    <d v="1899-12-30T00:00:00"/>
    <d v="1899-12-30T01:00:00"/>
    <n v="1"/>
    <x v="0"/>
    <x v="1"/>
    <s v="Falla operativa"/>
    <s v="Palmistería"/>
    <x v="21"/>
    <s v="Presenta falla , porque se frena debido a que el silo de nuez esta lleno."/>
  </r>
  <r>
    <x v="161"/>
    <x v="1"/>
    <x v="7"/>
    <d v="1899-12-30T10:50:00"/>
    <d v="1899-12-30T12:35:00"/>
    <n v="1.75"/>
    <x v="0"/>
    <x v="0"/>
    <s v="Falla mecánica"/>
    <s v="Recepción"/>
    <x v="7"/>
    <s v="se desencadeno del piñon"/>
  </r>
  <r>
    <x v="162"/>
    <x v="1"/>
    <x v="7"/>
    <d v="1899-12-30T09:13:00"/>
    <d v="1899-12-30T10:01:00"/>
    <n v="0.8"/>
    <x v="0"/>
    <x v="0"/>
    <s v="Falla eléctrica"/>
    <s v="Planta generación de vapor"/>
    <x v="22"/>
    <s v="Problemas electricos con el tiro inducido"/>
  </r>
  <r>
    <x v="162"/>
    <x v="1"/>
    <x v="7"/>
    <d v="1899-12-30T10:20:00"/>
    <d v="1899-12-30T11:17:00"/>
    <n v="0.95"/>
    <x v="0"/>
    <x v="0"/>
    <s v="Falla mecánica"/>
    <s v="Palmistería"/>
    <x v="21"/>
    <s v="Se partio la cadena de transmision de potencia."/>
  </r>
  <r>
    <x v="162"/>
    <x v="1"/>
    <x v="7"/>
    <d v="1899-12-30T21:44:00"/>
    <d v="1899-12-30T22:25:00"/>
    <n v="0.68333333333333335"/>
    <x v="0"/>
    <x v="0"/>
    <s v="Falla eléctrica"/>
    <s v="Desfibración"/>
    <x v="9"/>
    <s v="presento daño electrico "/>
  </r>
  <r>
    <x v="163"/>
    <x v="1"/>
    <x v="7"/>
    <d v="1899-12-30T09:10:00"/>
    <d v="1899-12-30T09:30:00"/>
    <n v="0.33333333333333331"/>
    <x v="0"/>
    <x v="0"/>
    <s v="Falla mecánica"/>
    <s v="Desfibración"/>
    <x v="0"/>
    <s v="Se soltaron paletas y provocaron atascamiento "/>
  </r>
  <r>
    <x v="163"/>
    <x v="1"/>
    <x v="7"/>
    <d v="1899-12-30T23:20:00"/>
    <d v="1899-12-31T00:00:00"/>
    <n v="0.66666666666666663"/>
    <x v="0"/>
    <x v="0"/>
    <s v="Falla mecánica"/>
    <s v="Recepción"/>
    <x v="7"/>
    <s v="se descarrilo la cadena del redler."/>
  </r>
  <r>
    <x v="163"/>
    <x v="1"/>
    <x v="7"/>
    <d v="1899-12-30T00:00:00"/>
    <d v="1899-12-30T00:23:00"/>
    <n v="0.38333333333333336"/>
    <x v="0"/>
    <x v="0"/>
    <s v="Falla mecánica"/>
    <s v="Recepción"/>
    <x v="7"/>
    <s v="se descarrilo la cadena del redler."/>
  </r>
  <r>
    <x v="164"/>
    <x v="1"/>
    <x v="7"/>
    <d v="1899-12-30T13:15:00"/>
    <d v="1899-12-30T13:50:00"/>
    <n v="0.58333333333333337"/>
    <x v="0"/>
    <x v="0"/>
    <s v="Falla mecánica"/>
    <s v="Esterilización "/>
    <x v="52"/>
    <s v="El puente de la autoclave no sube , al parecer esta desalineado y se atasca"/>
  </r>
  <r>
    <x v="165"/>
    <x v="1"/>
    <x v="7"/>
    <d v="1899-12-30T12:15:00"/>
    <d v="1899-12-30T13:00:00"/>
    <n v="0.75"/>
    <x v="1"/>
    <x v="2"/>
    <s v="Apagado planta"/>
    <s v="Planta general"/>
    <x v="5"/>
    <s v="terminacion de proceso"/>
  </r>
  <r>
    <x v="166"/>
    <x v="1"/>
    <x v="7"/>
    <d v="1899-12-30T22:00:00"/>
    <d v="1899-12-31T00:00:00"/>
    <n v="2"/>
    <x v="0"/>
    <x v="0"/>
    <s v="Falla mecánica"/>
    <s v="Recepción"/>
    <x v="7"/>
    <s v="se desencadena del piñon superior"/>
  </r>
  <r>
    <x v="166"/>
    <x v="1"/>
    <x v="7"/>
    <d v="1899-12-30T01:30:00"/>
    <d v="1899-12-30T02:00:00"/>
    <n v="0.5"/>
    <x v="0"/>
    <x v="0"/>
    <s v="Falla mecánica"/>
    <s v="Desfrutado"/>
    <x v="8"/>
    <s v="se suelta cangilon que atasca elevador y transportador que alimenta digestos, por falta de ajuste tornilleria del mismo"/>
  </r>
  <r>
    <x v="166"/>
    <x v="1"/>
    <x v="7"/>
    <d v="1899-12-30T03:20:00"/>
    <d v="1899-12-30T04:00:00"/>
    <n v="0.66666666666666663"/>
    <x v="0"/>
    <x v="0"/>
    <s v="Falla mecánica"/>
    <s v="Recepción"/>
    <x v="7"/>
    <s v="se desencadena del piñon superior"/>
  </r>
  <r>
    <x v="166"/>
    <x v="1"/>
    <x v="7"/>
    <d v="1899-12-30T04:30:00"/>
    <d v="1899-12-30T05:30:00"/>
    <n v="1"/>
    <x v="0"/>
    <x v="0"/>
    <s v="Falla mecánica"/>
    <s v="Desfrutado"/>
    <x v="14"/>
    <s v="se sale cadena de la guia parte inferior"/>
  </r>
  <r>
    <x v="167"/>
    <x v="1"/>
    <x v="7"/>
    <d v="1899-12-30T11:55:00"/>
    <d v="1899-12-30T12:30:00"/>
    <n v="0.58333333333333337"/>
    <x v="0"/>
    <x v="0"/>
    <s v="Falla mecánica"/>
    <s v="Recepción"/>
    <x v="7"/>
    <s v="Se desencadena del piñon superior"/>
  </r>
  <r>
    <x v="167"/>
    <x v="1"/>
    <x v="7"/>
    <d v="1899-12-30T13:50:00"/>
    <d v="1899-12-30T17:00:00"/>
    <n v="3.1666666666666665"/>
    <x v="0"/>
    <x v="0"/>
    <s v="Falla mecánica"/>
    <s v="Desfrutado"/>
    <x v="14"/>
    <s v="Fractura en el eje de los piñones conductores , punta del eje lado del piñon de la transmision de potencia"/>
  </r>
  <r>
    <x v="167"/>
    <x v="1"/>
    <x v="7"/>
    <d v="1899-12-30T17:00:00"/>
    <d v="1899-12-30T20:00:00"/>
    <n v="3"/>
    <x v="0"/>
    <x v="0"/>
    <s v="Falla mecánica"/>
    <s v="Recepción"/>
    <x v="7"/>
    <s v="Se desencadena del piñon superior"/>
  </r>
  <r>
    <x v="167"/>
    <x v="1"/>
    <x v="7"/>
    <d v="1899-12-30T20:00:00"/>
    <d v="1899-12-30T23:29:00"/>
    <n v="3.4833333333333334"/>
    <x v="0"/>
    <x v="0"/>
    <s v="Falla mecánica"/>
    <s v="Desfibración"/>
    <x v="9"/>
    <s v="daño piñoneria del transportador"/>
  </r>
  <r>
    <x v="168"/>
    <x v="1"/>
    <x v="7"/>
    <d v="1899-12-30T11:20:00"/>
    <d v="1899-12-30T12:10:00"/>
    <n v="0.83333333333333337"/>
    <x v="0"/>
    <x v="0"/>
    <s v="Falla mecánica"/>
    <s v="Esterilización "/>
    <x v="32"/>
    <s v="descarrila vagoneta , mal estado rieles y rodamientos de la vagoneta"/>
  </r>
  <r>
    <x v="168"/>
    <x v="1"/>
    <x v="7"/>
    <d v="1899-12-30T14:05:00"/>
    <d v="1899-12-30T15:30:00"/>
    <n v="1.4166666666666667"/>
    <x v="0"/>
    <x v="1"/>
    <s v="Falla operativa"/>
    <s v="Desfibración"/>
    <x v="9"/>
    <s v="se atasco transportador, sobrecarga de fibra "/>
  </r>
  <r>
    <x v="168"/>
    <x v="1"/>
    <x v="7"/>
    <d v="1899-12-30T02:53:00"/>
    <d v="1899-12-30T03:18:00"/>
    <n v="0.41666666666666669"/>
    <x v="0"/>
    <x v="0"/>
    <s v="Falla mecánica"/>
    <s v="Recepción"/>
    <x v="7"/>
    <s v="Se desencadena del piñon superior"/>
  </r>
  <r>
    <x v="169"/>
    <x v="1"/>
    <x v="7"/>
    <d v="1899-12-30T15:00:00"/>
    <d v="1899-12-30T15:37:00"/>
    <n v="0.6166666666666667"/>
    <x v="0"/>
    <x v="0"/>
    <s v="Falla mecánica"/>
    <s v="Recepción"/>
    <x v="7"/>
    <s v="Se desencadena del piñon superior"/>
  </r>
  <r>
    <x v="169"/>
    <x v="1"/>
    <x v="7"/>
    <d v="1899-12-30T23:25:00"/>
    <d v="1899-12-31T00:07:00"/>
    <n v="0.7"/>
    <x v="0"/>
    <x v="0"/>
    <s v="Falla mecánica"/>
    <s v="Recepción"/>
    <x v="7"/>
    <s v="Se desencadena del piñon superior"/>
  </r>
  <r>
    <x v="170"/>
    <x v="1"/>
    <x v="7"/>
    <d v="1899-12-30T14:40:00"/>
    <d v="1899-12-30T15:30:00"/>
    <n v="0.83333333333333337"/>
    <x v="0"/>
    <x v="0"/>
    <s v="Falla mecánica"/>
    <s v="Clarificación"/>
    <x v="11"/>
    <s v="se giro cuerpo inferior del equipo por desgaste del material."/>
  </r>
  <r>
    <x v="170"/>
    <x v="1"/>
    <x v="7"/>
    <d v="1899-12-30T20:40:00"/>
    <d v="1899-12-30T20:53:00"/>
    <n v="0.21666666666666667"/>
    <x v="0"/>
    <x v="3"/>
    <s v="Fluído eléctrico"/>
    <s v="Planta generación energía electrica"/>
    <x v="51"/>
    <s v="Caida de tension red publica."/>
  </r>
  <r>
    <x v="171"/>
    <x v="1"/>
    <x v="8"/>
    <d v="1899-12-30T01:01:00"/>
    <d v="1899-12-30T01:42:00"/>
    <n v="0.68333333333333335"/>
    <x v="0"/>
    <x v="0"/>
    <s v="Falla mecánica"/>
    <s v="Desfrutado"/>
    <x v="18"/>
    <s v="se sale la cadena de la guia"/>
  </r>
  <r>
    <x v="172"/>
    <x v="1"/>
    <x v="8"/>
    <d v="1899-12-30T07:35:00"/>
    <d v="1899-12-30T08:00:00"/>
    <n v="0.41666666666666669"/>
    <x v="0"/>
    <x v="0"/>
    <s v="Falla mecánica"/>
    <s v="Recepción"/>
    <x v="7"/>
    <s v="Se desencadena del piñon superior"/>
  </r>
  <r>
    <x v="172"/>
    <x v="1"/>
    <x v="8"/>
    <d v="1899-12-30T22:45:00"/>
    <d v="1899-12-31T00:00:00"/>
    <n v="1.25"/>
    <x v="0"/>
    <x v="0"/>
    <s v="Falla mecánica"/>
    <s v="Recepción"/>
    <x v="7"/>
    <s v="Se desencadena del piñon superior"/>
  </r>
  <r>
    <x v="173"/>
    <x v="1"/>
    <x v="8"/>
    <d v="1899-12-30T07:20:00"/>
    <d v="1899-12-30T10:10:00"/>
    <n v="2.8333333333333335"/>
    <x v="0"/>
    <x v="0"/>
    <s v="Falla mecánica"/>
    <s v="Clarificación"/>
    <x v="11"/>
    <s v="se giro cuerpo inferior del equipo por desgaste del material."/>
  </r>
  <r>
    <x v="173"/>
    <x v="1"/>
    <x v="8"/>
    <d v="1899-12-30T20:00:00"/>
    <d v="1899-12-30T21:08:00"/>
    <n v="1.1333333333333333"/>
    <x v="0"/>
    <x v="0"/>
    <s v="Falla mecánica"/>
    <s v="Recepción"/>
    <x v="7"/>
    <s v="Se desencadena del piñon superior"/>
  </r>
  <r>
    <x v="173"/>
    <x v="1"/>
    <x v="8"/>
    <d v="1899-12-30T04:31:00"/>
    <d v="1899-12-30T06:00:00"/>
    <n v="1.4833333333333334"/>
    <x v="0"/>
    <x v="0"/>
    <s v="Falla mecánica"/>
    <s v="Clarificación"/>
    <x v="11"/>
    <s v="se giro cuerpo inferior del equipo por desgaste del material."/>
  </r>
  <r>
    <x v="174"/>
    <x v="1"/>
    <x v="8"/>
    <d v="1899-12-30T06:00:00"/>
    <d v="1899-12-30T10:10:00"/>
    <n v="4.166666666666667"/>
    <x v="0"/>
    <x v="0"/>
    <s v="Falla mecánica"/>
    <s v="Clarificación"/>
    <x v="11"/>
    <s v="se giro cuerpo inferior del equipo por desgaste del material."/>
  </r>
  <r>
    <x v="174"/>
    <x v="1"/>
    <x v="8"/>
    <d v="1899-12-30T13:40:00"/>
    <d v="1899-12-30T14:20:00"/>
    <n v="0.66666666666666663"/>
    <x v="0"/>
    <x v="0"/>
    <s v="Falla mecánica"/>
    <s v="Desfrutado"/>
    <x v="8"/>
    <s v="caida de 2 canguilones "/>
  </r>
  <r>
    <x v="174"/>
    <x v="1"/>
    <x v="8"/>
    <d v="1899-12-30T04:00:00"/>
    <d v="1899-12-30T04:40:00"/>
    <n v="0.66666666666666663"/>
    <x v="0"/>
    <x v="1"/>
    <s v="Falla operativa"/>
    <s v="Desfibración"/>
    <x v="9"/>
    <s v="se atasco transportador, sobrecarga de fibra "/>
  </r>
  <r>
    <x v="175"/>
    <x v="1"/>
    <x v="8"/>
    <d v="1899-12-30T06:00:00"/>
    <d v="1899-12-30T06:40:00"/>
    <n v="0.66666666666666663"/>
    <x v="0"/>
    <x v="0"/>
    <s v="Falla mecánica"/>
    <s v="Clarificación"/>
    <x v="11"/>
    <s v="se giro cuerpo inferior del equipo por desgaste del material."/>
  </r>
  <r>
    <x v="175"/>
    <x v="1"/>
    <x v="8"/>
    <d v="1899-12-30T08:05:00"/>
    <d v="1899-12-30T09:04:00"/>
    <n v="0.98333333333333328"/>
    <x v="0"/>
    <x v="0"/>
    <s v="Falla eléctrica"/>
    <s v="Desfrutado"/>
    <x v="2"/>
    <s v="Problemas electricos con el variador"/>
  </r>
  <r>
    <x v="175"/>
    <x v="1"/>
    <x v="8"/>
    <d v="1899-12-30T09:20:00"/>
    <d v="1899-12-30T09:53:00"/>
    <n v="0.55000000000000004"/>
    <x v="0"/>
    <x v="0"/>
    <s v="Falla mecánica"/>
    <s v="Clarificación"/>
    <x v="11"/>
    <s v="se giro cuerpo inferior del equipo por desgaste del material."/>
  </r>
  <r>
    <x v="175"/>
    <x v="1"/>
    <x v="8"/>
    <d v="1899-12-30T13:30:00"/>
    <d v="1899-12-30T15:00:00"/>
    <n v="1.5"/>
    <x v="0"/>
    <x v="0"/>
    <s v="Falla mecánica"/>
    <s v="Clarificación"/>
    <x v="11"/>
    <s v="se giro cuerpo inferior del equipo por desgaste del material."/>
  </r>
  <r>
    <x v="175"/>
    <x v="1"/>
    <x v="8"/>
    <d v="1899-12-30T18:18:00"/>
    <d v="1899-12-30T18:35:00"/>
    <n v="0.28333333333333333"/>
    <x v="0"/>
    <x v="0"/>
    <s v="Falla mecánica"/>
    <s v="Clarificación"/>
    <x v="11"/>
    <s v="se giro cuerpo inferior del equipo por desgaste del material."/>
  </r>
  <r>
    <x v="175"/>
    <x v="1"/>
    <x v="8"/>
    <d v="1899-12-30T23:47:00"/>
    <d v="1899-12-31T00:00:00"/>
    <n v="0.21666666666666667"/>
    <x v="0"/>
    <x v="0"/>
    <s v="Falla mecánica"/>
    <s v="Clarificación"/>
    <x v="11"/>
    <s v="se giro cuerpo inferior del equipo por desgaste del material."/>
  </r>
  <r>
    <x v="175"/>
    <x v="1"/>
    <x v="8"/>
    <d v="1899-12-30T00:00:00"/>
    <d v="1899-12-30T02:00:00"/>
    <n v="2"/>
    <x v="0"/>
    <x v="0"/>
    <s v="Falla mecánica"/>
    <s v="Clarificación"/>
    <x v="11"/>
    <s v="se giro cuerpo inferior del equipo por desgaste del material."/>
  </r>
  <r>
    <x v="176"/>
    <x v="1"/>
    <x v="8"/>
    <d v="1899-12-30T14:09:00"/>
    <d v="1899-12-30T17:00:00"/>
    <n v="2.85"/>
    <x v="0"/>
    <x v="0"/>
    <s v="Falla mecánica"/>
    <s v="Recepción"/>
    <x v="7"/>
    <s v="Se desencadena del piñon superior"/>
  </r>
  <r>
    <x v="177"/>
    <x v="1"/>
    <x v="8"/>
    <d v="1899-12-30T21:35:00"/>
    <d v="1899-12-30T21:48:00"/>
    <n v="0.21666666666666667"/>
    <x v="0"/>
    <x v="0"/>
    <s v="Falla eléctrica"/>
    <s v="Digestión y prensado"/>
    <x v="13"/>
    <s v="Falla en la acometida electrica"/>
  </r>
  <r>
    <x v="178"/>
    <x v="1"/>
    <x v="8"/>
    <d v="1899-12-30T06:00:00"/>
    <d v="1899-12-30T07:20:00"/>
    <n v="1.3333333333333333"/>
    <x v="0"/>
    <x v="3"/>
    <s v="Equipo para mov. de fruta"/>
    <s v="Planta general"/>
    <x v="5"/>
    <s v="por falla en la pajarita no se pudo remontar fruta del suelo a la tolva "/>
  </r>
  <r>
    <x v="178"/>
    <x v="1"/>
    <x v="8"/>
    <d v="1899-12-30T07:40:00"/>
    <d v="1899-12-30T09:45:00"/>
    <n v="2.0833333333333335"/>
    <x v="0"/>
    <x v="0"/>
    <s v="Falla mecánica"/>
    <s v="Recepción"/>
    <x v="7"/>
    <s v="se partio la cadena y se salto un paso."/>
  </r>
  <r>
    <x v="178"/>
    <x v="1"/>
    <x v="8"/>
    <d v="1899-12-30T11:30:00"/>
    <d v="1899-12-30T14:00:00"/>
    <n v="2.5"/>
    <x v="0"/>
    <x v="0"/>
    <s v="Falla mecánica"/>
    <s v="Planta generación de vapor"/>
    <x v="22"/>
    <s v="empaque pirotubo"/>
  </r>
  <r>
    <x v="179"/>
    <x v="1"/>
    <x v="8"/>
    <d v="1899-12-30T15:55:00"/>
    <d v="1899-12-30T16:50:00"/>
    <n v="0.91666666666666663"/>
    <x v="0"/>
    <x v="0"/>
    <s v="Falla mecánica"/>
    <s v="Desfibración"/>
    <x v="0"/>
    <s v="buje bronce en mal estado"/>
  </r>
  <r>
    <x v="180"/>
    <x v="1"/>
    <x v="8"/>
    <d v="1899-12-30T09:00:00"/>
    <d v="1899-12-30T09:40:00"/>
    <n v="0.66666666666666663"/>
    <x v="0"/>
    <x v="0"/>
    <s v="Falla mecánica"/>
    <s v="Desfrutado"/>
    <x v="50"/>
    <s v="daño en tensor"/>
  </r>
  <r>
    <x v="180"/>
    <x v="1"/>
    <x v="8"/>
    <d v="1899-12-30T12:50:00"/>
    <d v="1899-12-30T14:00:00"/>
    <n v="1.1666666666666667"/>
    <x v="0"/>
    <x v="0"/>
    <s v="Falla mecánica"/>
    <s v="Desfrutado"/>
    <x v="2"/>
    <s v="patin #1"/>
  </r>
  <r>
    <x v="180"/>
    <x v="1"/>
    <x v="8"/>
    <d v="1899-12-30T14:00:00"/>
    <d v="1899-12-30T19:00:00"/>
    <n v="5"/>
    <x v="0"/>
    <x v="0"/>
    <s v="Falla mecánica"/>
    <s v="Desfrutado"/>
    <x v="2"/>
    <s v="falla mecanica y electrica. Mal funcionamiento del variador de velocidad."/>
  </r>
  <r>
    <x v="181"/>
    <x v="1"/>
    <x v="8"/>
    <d v="1899-12-30T18:00:00"/>
    <d v="1899-12-30T18:30:00"/>
    <n v="0.5"/>
    <x v="0"/>
    <x v="0"/>
    <s v="Falla mecánica"/>
    <s v="Recepción"/>
    <x v="7"/>
    <s v="se descadeno del piñon inferior"/>
  </r>
  <r>
    <x v="182"/>
    <x v="1"/>
    <x v="8"/>
    <d v="1899-12-30T08:00:00"/>
    <d v="1899-12-30T08:40:00"/>
    <n v="0.66666666666666663"/>
    <x v="0"/>
    <x v="0"/>
    <s v="Falla mecánica"/>
    <s v="Esterilización "/>
    <x v="44"/>
    <s v="se descarrilo vagoneta"/>
  </r>
  <r>
    <x v="182"/>
    <x v="1"/>
    <x v="8"/>
    <d v="1899-12-30T04:50:00"/>
    <d v="1899-12-30T05:30:00"/>
    <n v="0.66666666666666663"/>
    <x v="0"/>
    <x v="0"/>
    <s v="Falla mecánica"/>
    <s v="Esterilización "/>
    <x v="44"/>
    <s v="se descarrilo vagoneta"/>
  </r>
  <r>
    <x v="183"/>
    <x v="1"/>
    <x v="8"/>
    <d v="1899-12-30T06:12:00"/>
    <d v="1899-12-30T07:08:00"/>
    <n v="0.93333333333333335"/>
    <x v="0"/>
    <x v="0"/>
    <s v="Falla mecánica"/>
    <s v="Esterilización "/>
    <x v="44"/>
    <s v="falta de fruto esterilizado por vagoneta descarilada"/>
  </r>
  <r>
    <x v="183"/>
    <x v="1"/>
    <x v="8"/>
    <d v="1899-12-30T05:40:00"/>
    <d v="1899-12-30T06:00:00"/>
    <n v="0.33333333333333331"/>
    <x v="0"/>
    <x v="0"/>
    <s v="Falla mecánica"/>
    <s v="Clarificación"/>
    <x v="11"/>
    <s v="Cambio de abrazadera"/>
  </r>
  <r>
    <x v="184"/>
    <x v="1"/>
    <x v="8"/>
    <d v="1899-12-30T06:00:00"/>
    <d v="1899-12-30T10:00:00"/>
    <n v="4"/>
    <x v="0"/>
    <x v="0"/>
    <s v="Falla mecánica"/>
    <s v="Clarificación"/>
    <x v="11"/>
    <s v="Pestaña modulo inferior desgastada se reconstruyo"/>
  </r>
  <r>
    <x v="184"/>
    <x v="1"/>
    <x v="8"/>
    <d v="1899-12-30T10:45:00"/>
    <d v="1899-12-30T11:12:00"/>
    <n v="0.45"/>
    <x v="0"/>
    <x v="0"/>
    <s v="Falla mecánica"/>
    <s v="Clarificación"/>
    <x v="11"/>
    <s v="vuelve a presentar falla por la pestaña del modulo inferior"/>
  </r>
  <r>
    <x v="184"/>
    <x v="1"/>
    <x v="8"/>
    <d v="1899-12-30T18:30:00"/>
    <d v="1899-12-30T18:50:00"/>
    <n v="0.33333333333333331"/>
    <x v="0"/>
    <x v="0"/>
    <s v="Falla mecánica"/>
    <s v="Clarificación"/>
    <x v="11"/>
    <s v="desbalanceo del equipo"/>
  </r>
  <r>
    <x v="184"/>
    <x v="1"/>
    <x v="8"/>
    <d v="1899-12-30T19:55:00"/>
    <d v="1899-12-30T21:10:00"/>
    <n v="1.25"/>
    <x v="0"/>
    <x v="0"/>
    <s v="Falla mecánica"/>
    <s v="Clarificación"/>
    <x v="11"/>
    <s v="la pestaña vuelve a presentar falla se desprende del modulo inferior se reconstruye"/>
  </r>
  <r>
    <x v="185"/>
    <x v="1"/>
    <x v="8"/>
    <d v="1899-12-30T06:00:00"/>
    <d v="1899-12-30T21:00:00"/>
    <n v="15"/>
    <x v="1"/>
    <x v="2"/>
    <s v="Mantenimiento programado"/>
    <s v="Planta general"/>
    <x v="5"/>
    <s v="labores de mantenimiento programadas"/>
  </r>
  <r>
    <x v="185"/>
    <x v="1"/>
    <x v="8"/>
    <d v="1899-12-30T05:40:00"/>
    <d v="1899-12-30T06:00:00"/>
    <n v="0.33333333333333331"/>
    <x v="0"/>
    <x v="0"/>
    <s v="Falla mecánica"/>
    <s v="Esterilización "/>
    <x v="23"/>
    <s v="Daño en los rodamientos de la vagoneta de la linea 1, se atasco tope con los 2 cambia via."/>
  </r>
  <r>
    <x v="186"/>
    <x v="1"/>
    <x v="8"/>
    <d v="1899-12-30T06:00:00"/>
    <d v="1899-12-30T07:00:00"/>
    <n v="1"/>
    <x v="0"/>
    <x v="0"/>
    <s v="Falla mecánica"/>
    <s v="Esterilización "/>
    <x v="23"/>
    <s v="Daño en los rodamientos de la vagoneta de la linea 1, se atasco tope con los 2 cambia via."/>
  </r>
  <r>
    <x v="186"/>
    <x v="1"/>
    <x v="8"/>
    <d v="1899-12-30T11:00:00"/>
    <d v="1899-12-30T11:35:00"/>
    <n v="0.58333333333333337"/>
    <x v="0"/>
    <x v="0"/>
    <s v="Falla mecánica"/>
    <s v="Esterilización "/>
    <x v="23"/>
    <s v="cambio de vagoneta linea # 1"/>
  </r>
  <r>
    <x v="186"/>
    <x v="1"/>
    <x v="8"/>
    <d v="1899-12-30T12:55:00"/>
    <d v="1899-12-30T14:00:00"/>
    <n v="1.0833333333333333"/>
    <x v="0"/>
    <x v="1"/>
    <s v="Falla operativa"/>
    <s v="Desfibración"/>
    <x v="9"/>
    <s v="se atasca por exceso de carga"/>
  </r>
  <r>
    <x v="186"/>
    <x v="1"/>
    <x v="8"/>
    <d v="1899-12-30T05:00:00"/>
    <d v="1899-12-30T06:00:00"/>
    <n v="1"/>
    <x v="0"/>
    <x v="0"/>
    <s v="Falla mecánica"/>
    <s v="Recepción"/>
    <x v="7"/>
    <s v="se descadeno del piñon superior"/>
  </r>
  <r>
    <x v="187"/>
    <x v="1"/>
    <x v="8"/>
    <d v="1899-12-30T07:10:00"/>
    <d v="1899-12-30T14:00:00"/>
    <n v="6.833333333333333"/>
    <x v="0"/>
    <x v="0"/>
    <s v="Falla mecánica"/>
    <s v="Digestión y prensado"/>
    <x v="13"/>
    <s v="Cambio de canasta "/>
  </r>
  <r>
    <x v="187"/>
    <x v="1"/>
    <x v="8"/>
    <d v="1899-12-30T14:00:00"/>
    <d v="1899-12-30T18:00:00"/>
    <n v="4"/>
    <x v="0"/>
    <x v="0"/>
    <s v="Falla mecánica"/>
    <s v="Planta generación de vapor"/>
    <x v="22"/>
    <s v="daño empaque pirotubo #2"/>
  </r>
  <r>
    <x v="187"/>
    <x v="1"/>
    <x v="8"/>
    <d v="1899-12-30T22:00:00"/>
    <d v="1899-12-30T22:15:00"/>
    <n v="0.25"/>
    <x v="0"/>
    <x v="3"/>
    <s v="Fluído eléctrico"/>
    <s v="Planta generación energía electrica"/>
    <x v="5"/>
    <s v="falta de fluido electrico"/>
  </r>
  <r>
    <x v="188"/>
    <x v="1"/>
    <x v="8"/>
    <d v="1899-12-30T06:00:00"/>
    <d v="1899-12-30T07:30:00"/>
    <n v="1.5"/>
    <x v="0"/>
    <x v="0"/>
    <s v="Falla mecánica"/>
    <s v="Recepción"/>
    <x v="7"/>
    <s v="se descadeno del piñon superior"/>
  </r>
  <r>
    <x v="188"/>
    <x v="1"/>
    <x v="8"/>
    <d v="1899-12-30T05:00:00"/>
    <d v="1899-12-30T06:00:00"/>
    <n v="1"/>
    <x v="0"/>
    <x v="0"/>
    <s v="Falla mecánica"/>
    <s v="Recepción"/>
    <x v="7"/>
    <s v="se descadeno del piñon superior"/>
  </r>
  <r>
    <x v="189"/>
    <x v="1"/>
    <x v="8"/>
    <d v="1899-12-30T06:00:00"/>
    <d v="1899-12-30T06:42:00"/>
    <n v="0.7"/>
    <x v="0"/>
    <x v="0"/>
    <s v="Falla mecánica"/>
    <s v="Recepción"/>
    <x v="7"/>
    <s v="se descadeno del piñon superior"/>
  </r>
  <r>
    <x v="189"/>
    <x v="1"/>
    <x v="8"/>
    <d v="1899-12-30T14:26:00"/>
    <d v="1899-12-30T22:00:00"/>
    <n v="7.5666666666666664"/>
    <x v="0"/>
    <x v="3"/>
    <s v="Falta de fruta fresca"/>
    <s v="Planta general"/>
    <x v="5"/>
    <s v="Falta de fruto en planta"/>
  </r>
  <r>
    <x v="189"/>
    <x v="1"/>
    <x v="8"/>
    <d v="1899-12-30T03:57:00"/>
    <d v="1899-12-30T04:46:00"/>
    <n v="0.81666666666666665"/>
    <x v="0"/>
    <x v="0"/>
    <s v="Falla mecánica"/>
    <s v="Esterilización "/>
    <x v="44"/>
    <s v="Se suelta tope de la vagoneta y la frena contra los rieles"/>
  </r>
  <r>
    <x v="190"/>
    <x v="1"/>
    <x v="8"/>
    <d v="1899-12-30T18:00:00"/>
    <d v="1899-12-30T19:50:00"/>
    <n v="1.8333333333333335"/>
    <x v="0"/>
    <x v="0"/>
    <s v="Falla mecánica"/>
    <s v="Desfrutado"/>
    <x v="2"/>
    <s v="Mantenimiento patin del desfrutador falla en los rodamientos"/>
  </r>
  <r>
    <x v="190"/>
    <x v="1"/>
    <x v="8"/>
    <d v="1899-12-30T20:30:00"/>
    <d v="1899-12-30T21:00:00"/>
    <n v="0.5"/>
    <x v="0"/>
    <x v="0"/>
    <s v="Falla mecánica"/>
    <s v="Planta generación de vapor"/>
    <x v="66"/>
    <s v="falla electrica en el variador"/>
  </r>
  <r>
    <x v="191"/>
    <x v="1"/>
    <x v="8"/>
    <d v="1899-12-30T16:15:00"/>
    <d v="1899-12-30T19:30:00"/>
    <n v="3.25"/>
    <x v="0"/>
    <x v="0"/>
    <s v="Falla mecánica"/>
    <s v="Digestión y prensado"/>
    <x v="13"/>
    <s v="Se soldo el ocho que sostiene la camisa de prensado "/>
  </r>
  <r>
    <x v="191"/>
    <x v="1"/>
    <x v="8"/>
    <d v="1899-12-30T23:47:00"/>
    <d v="1899-12-31T00:50:00"/>
    <n v="1.05"/>
    <x v="0"/>
    <x v="0"/>
    <s v="Falla mecánica"/>
    <s v="Recepción"/>
    <x v="56"/>
    <s v="se sale la cadena de la guia"/>
  </r>
  <r>
    <x v="191"/>
    <x v="1"/>
    <x v="8"/>
    <d v="1899-12-30T01:36:00"/>
    <d v="1899-12-30T02:50:00"/>
    <n v="1.2333333333333334"/>
    <x v="0"/>
    <x v="0"/>
    <s v="Falla mecánica"/>
    <s v="Recepción"/>
    <x v="7"/>
    <s v="se sale la cadena de la guia"/>
  </r>
  <r>
    <x v="192"/>
    <x v="1"/>
    <x v="8"/>
    <d v="1899-12-30T06:55:00"/>
    <d v="1899-12-30T08:00:00"/>
    <n v="1.0833333333333333"/>
    <x v="0"/>
    <x v="0"/>
    <s v="Falla mecánica"/>
    <s v="Desfibración"/>
    <x v="0"/>
    <s v="Paletas sueltas que golpean con la camisa"/>
  </r>
  <r>
    <x v="192"/>
    <x v="1"/>
    <x v="8"/>
    <d v="1899-12-30T13:10:00"/>
    <d v="1899-12-30T13:35:00"/>
    <n v="0.41666666666666669"/>
    <x v="0"/>
    <x v="0"/>
    <s v="Falla mecánica"/>
    <s v="Esterilización "/>
    <x v="67"/>
    <s v="Se descarrila vagoneta de la linea  N°2"/>
  </r>
  <r>
    <x v="192"/>
    <x v="1"/>
    <x v="8"/>
    <d v="1899-12-30T03:49:00"/>
    <d v="1899-12-30T04:30:00"/>
    <n v="0.68333333333333335"/>
    <x v="0"/>
    <x v="0"/>
    <s v="Falla mecánica"/>
    <s v="Recepción"/>
    <x v="7"/>
    <s v="se sale la cadena de la guia"/>
  </r>
  <r>
    <x v="192"/>
    <x v="1"/>
    <x v="8"/>
    <d v="1899-12-30T04:10:00"/>
    <d v="1899-12-30T05:10:00"/>
    <n v="1"/>
    <x v="0"/>
    <x v="0"/>
    <s v="Falla mecánica"/>
    <s v="Recepción"/>
    <x v="7"/>
    <s v="se sale la cadena de la guia"/>
  </r>
  <r>
    <x v="192"/>
    <x v="1"/>
    <x v="8"/>
    <d v="1899-12-30T05:40:00"/>
    <d v="1899-12-30T06:00:00"/>
    <n v="0.33333333333333331"/>
    <x v="0"/>
    <x v="0"/>
    <s v="Falla mecánica"/>
    <s v="Esterilización "/>
    <x v="67"/>
    <s v="Se descarrila vagoneta de la linea  N°2"/>
  </r>
  <r>
    <x v="193"/>
    <x v="1"/>
    <x v="8"/>
    <d v="1899-12-30T06:00:00"/>
    <d v="1899-12-30T06:40:00"/>
    <n v="0.66666666666666663"/>
    <x v="0"/>
    <x v="0"/>
    <s v="Falla mecánica"/>
    <s v="Esterilización "/>
    <x v="67"/>
    <s v="Se descarrila vagoneta de la linea  N°2"/>
  </r>
  <r>
    <x v="193"/>
    <x v="1"/>
    <x v="8"/>
    <d v="1899-12-30T18:00:00"/>
    <d v="1899-12-30T18:15:00"/>
    <n v="0.25"/>
    <x v="0"/>
    <x v="1"/>
    <s v="Falta Fruta esterilizada"/>
    <s v="Digestión y prensado"/>
    <x v="13"/>
    <s v="falta de fruto esterilizado "/>
  </r>
  <r>
    <x v="193"/>
    <x v="1"/>
    <x v="8"/>
    <d v="1899-12-30T00:40:00"/>
    <d v="1899-12-30T01:15:00"/>
    <n v="0.58333333333333337"/>
    <x v="0"/>
    <x v="0"/>
    <s v="Falla mecánica"/>
    <s v="Esterilización "/>
    <x v="67"/>
    <s v="Se descarrila vagoneta de la linea  N°2"/>
  </r>
  <r>
    <x v="193"/>
    <x v="1"/>
    <x v="8"/>
    <d v="1899-12-30T04:40:00"/>
    <d v="1899-12-30T06:00:00"/>
    <n v="1.3333333333333333"/>
    <x v="0"/>
    <x v="0"/>
    <s v="Falla mecánica"/>
    <s v="Recepción"/>
    <x v="7"/>
    <s v="se sale la cadena de la guia"/>
  </r>
  <r>
    <x v="194"/>
    <x v="1"/>
    <x v="8"/>
    <d v="1899-12-30T06:00:00"/>
    <d v="1899-12-30T08:25:00"/>
    <n v="2.4166666666666665"/>
    <x v="0"/>
    <x v="0"/>
    <s v="Falla mecánica"/>
    <s v="Recepción"/>
    <x v="7"/>
    <s v="se sale la cadena de la guia"/>
  </r>
  <r>
    <x v="194"/>
    <x v="1"/>
    <x v="8"/>
    <d v="1899-12-30T10:45:00"/>
    <d v="1899-12-30T11:15:00"/>
    <n v="0.5"/>
    <x v="0"/>
    <x v="0"/>
    <s v="Falla mecánica"/>
    <s v="Recepción"/>
    <x v="23"/>
    <s v="Cambio de1 troque y 2chumaceras  a la vagoneta"/>
  </r>
  <r>
    <x v="194"/>
    <x v="1"/>
    <x v="8"/>
    <d v="1899-12-30T02:24:00"/>
    <d v="1899-12-30T02:40:00"/>
    <n v="0.26666666666666666"/>
    <x v="0"/>
    <x v="1"/>
    <s v="Falta Fruta esterilizada"/>
    <s v="Digestión y prensado"/>
    <x v="13"/>
    <s v="falta de fruto esterilizado "/>
  </r>
  <r>
    <x v="194"/>
    <x v="1"/>
    <x v="8"/>
    <d v="1899-12-30T22:09:00"/>
    <d v="1899-12-31T00:15:00"/>
    <n v="2.1"/>
    <x v="0"/>
    <x v="0"/>
    <s v="Falla mecánica"/>
    <s v="Recepción"/>
    <x v="7"/>
    <s v="se sale la cadena de la guia"/>
  </r>
  <r>
    <x v="195"/>
    <x v="1"/>
    <x v="8"/>
    <d v="1899-12-30T19:56:00"/>
    <d v="1899-12-30T21:14:00"/>
    <n v="1.3"/>
    <x v="0"/>
    <x v="0"/>
    <s v="Falla mecánica"/>
    <s v="Desfrutado"/>
    <x v="2"/>
    <s v="falla electrica en el variador"/>
  </r>
  <r>
    <x v="196"/>
    <x v="1"/>
    <x v="8"/>
    <d v="1899-12-30T08:27:00"/>
    <d v="1899-12-30T08:47:00"/>
    <n v="0.33333333333333331"/>
    <x v="0"/>
    <x v="0"/>
    <s v="Falla mecánica"/>
    <s v="Desfrutado"/>
    <x v="14"/>
    <s v="se sale la cadena de la guia"/>
  </r>
  <r>
    <x v="196"/>
    <x v="1"/>
    <x v="8"/>
    <d v="1899-12-30T20:00:00"/>
    <d v="1899-12-30T21:00:00"/>
    <n v="1"/>
    <x v="0"/>
    <x v="0"/>
    <s v="Falla mecánica"/>
    <s v="Desfrutado"/>
    <x v="18"/>
    <s v="se sale la cadena de la guia"/>
  </r>
  <r>
    <x v="196"/>
    <x v="1"/>
    <x v="8"/>
    <d v="1899-12-30T21:38:00"/>
    <d v="1899-12-30T22:00:00"/>
    <n v="0.36666666666666664"/>
    <x v="0"/>
    <x v="0"/>
    <s v="Falla mecánica"/>
    <s v="Desfrutado"/>
    <x v="14"/>
    <s v="se sale la cadena de la guia"/>
  </r>
  <r>
    <x v="196"/>
    <x v="1"/>
    <x v="8"/>
    <d v="1899-12-30T22:00:00"/>
    <d v="1899-12-30T22:30:00"/>
    <n v="0.5"/>
    <x v="0"/>
    <x v="0"/>
    <s v="Falla mecánica"/>
    <s v="Desfrutado"/>
    <x v="18"/>
    <s v="se sale la cadena de la guia"/>
  </r>
  <r>
    <x v="196"/>
    <x v="1"/>
    <x v="8"/>
    <d v="1899-12-30T00:33:00"/>
    <d v="1899-12-30T01:49:00"/>
    <n v="1.2666666666666666"/>
    <x v="0"/>
    <x v="0"/>
    <s v="Falla mecánica"/>
    <s v="Desfrutado"/>
    <x v="14"/>
    <s v="se sale la cadena de la guia"/>
  </r>
  <r>
    <x v="197"/>
    <x v="1"/>
    <x v="8"/>
    <d v="1899-12-30T22:10:00"/>
    <d v="1899-12-30T22:40:00"/>
    <n v="0.5"/>
    <x v="0"/>
    <x v="4"/>
    <s v="Falla operativa"/>
    <s v="Desfrutado"/>
    <x v="19"/>
    <s v="Se dispara por acumulación de fruto en el  sin fin y ampera el motor y se apaga."/>
  </r>
  <r>
    <x v="197"/>
    <x v="1"/>
    <x v="8"/>
    <d v="1899-12-30T22:40:00"/>
    <d v="1899-12-30T23:00:00"/>
    <n v="0.33333333333333331"/>
    <x v="0"/>
    <x v="4"/>
    <s v="Falla operativa"/>
    <s v="Desfrutado"/>
    <x v="19"/>
    <s v="Se dispara por acumulación de fruto en el  sin fin y ampera el motor y se apaga."/>
  </r>
  <r>
    <x v="198"/>
    <x v="1"/>
    <x v="9"/>
    <d v="1899-12-30T13:00:00"/>
    <d v="1899-12-30T16:20:00"/>
    <n v="3.3333333333333335"/>
    <x v="0"/>
    <x v="0"/>
    <s v="Falla mecánica"/>
    <s v="Recepción"/>
    <x v="7"/>
    <s v="Se descadena redler, se suelta y encadena."/>
  </r>
  <r>
    <x v="198"/>
    <x v="1"/>
    <x v="9"/>
    <d v="1899-12-30T18:00:00"/>
    <d v="1899-12-30T19:40:00"/>
    <n v="1.6666666666666665"/>
    <x v="0"/>
    <x v="0"/>
    <s v="Falla mecánica"/>
    <s v="Recepción"/>
    <x v="7"/>
    <s v="Se revienta cadena del redler principal y se cae."/>
  </r>
  <r>
    <x v="198"/>
    <x v="1"/>
    <x v="9"/>
    <d v="1899-12-30T11:00:00"/>
    <d v="1899-12-30T13:26:00"/>
    <n v="2.4333333333333336"/>
    <x v="0"/>
    <x v="0"/>
    <s v="Falla mecánica"/>
    <s v="Recepción"/>
    <x v="7"/>
    <s v="Se revienta cadena del redler principal y se cae."/>
  </r>
  <r>
    <x v="199"/>
    <x v="1"/>
    <x v="9"/>
    <d v="1899-12-30T07:00:00"/>
    <d v="1899-12-30T14:00:00"/>
    <n v="7"/>
    <x v="0"/>
    <x v="0"/>
    <s v="Falla mecánica"/>
    <s v="Planta tratamiento de agua"/>
    <x v="47"/>
    <s v="Bomba de la cienega no bombea suficiente caudal y el reservorio se encontraba bajo debido al mantenimiento realizado."/>
  </r>
  <r>
    <x v="199"/>
    <x v="1"/>
    <x v="9"/>
    <d v="1899-12-30T01:00:00"/>
    <d v="1899-12-30T02:00:00"/>
    <n v="1"/>
    <x v="0"/>
    <x v="0"/>
    <s v="Falla eléctrica"/>
    <s v="Planta generación de vapor"/>
    <x v="66"/>
    <s v="Muestra falla, finalmente se prende en modo local."/>
  </r>
  <r>
    <x v="199"/>
    <x v="1"/>
    <x v="9"/>
    <d v="1899-12-30T02:00:00"/>
    <d v="1899-12-30T03:00:00"/>
    <n v="1"/>
    <x v="1"/>
    <x v="2"/>
    <s v="Arranque planta"/>
    <s v="Planta general"/>
    <x v="5"/>
    <s v="Se prende caldera, se esteriliza y se procede a iniciar proceso."/>
  </r>
  <r>
    <x v="200"/>
    <x v="1"/>
    <x v="9"/>
    <d v="1899-12-30T09:22:00"/>
    <d v="1899-12-30T14:00:00"/>
    <n v="4.6333333333333329"/>
    <x v="0"/>
    <x v="0"/>
    <s v="Falla mecánica"/>
    <s v="Planta tratamiento de agua"/>
    <x v="47"/>
    <s v="Bomba de la cienega no bombea suficiente caudal y el reservorio se encontraba bajo debido al mantenimiento realizado."/>
  </r>
  <r>
    <x v="200"/>
    <x v="1"/>
    <x v="9"/>
    <d v="1899-12-30T21:18:00"/>
    <d v="1899-12-30T21:30:00"/>
    <n v="0.2"/>
    <x v="0"/>
    <x v="0"/>
    <s v="Falla mecánica"/>
    <s v="Digestión y prensado"/>
    <x v="13"/>
    <s v="Tornillo izquierdo de la prensa produce taponamiento."/>
  </r>
  <r>
    <x v="200"/>
    <x v="1"/>
    <x v="9"/>
    <d v="1899-12-30T00:20:00"/>
    <d v="1899-12-30T00:35:00"/>
    <n v="0.25"/>
    <x v="0"/>
    <x v="1"/>
    <s v="Falla operativa"/>
    <s v="Planta generación de vapor"/>
    <x v="9"/>
    <s v="Se atasca el sinfín por exceso de alimentacion"/>
  </r>
  <r>
    <x v="200"/>
    <x v="1"/>
    <x v="9"/>
    <d v="1899-12-30T09:22:00"/>
    <d v="1899-12-30T14:00:00"/>
    <n v="4.6333333333333329"/>
    <x v="0"/>
    <x v="0"/>
    <s v="Falla mecánica"/>
    <s v="Esterilización "/>
    <x v="17"/>
    <s v="Se descadena redler, se suelta y encadena."/>
  </r>
  <r>
    <x v="201"/>
    <x v="1"/>
    <x v="9"/>
    <d v="1899-12-30T07:10:00"/>
    <d v="1899-12-30T09:15:00"/>
    <n v="2.0833333333333335"/>
    <x v="0"/>
    <x v="0"/>
    <s v="Falla mecánica"/>
    <s v="Esterilización "/>
    <x v="17"/>
    <s v="Se descadena redler, se suelta y encadena."/>
  </r>
  <r>
    <x v="201"/>
    <x v="1"/>
    <x v="9"/>
    <d v="1899-12-30T16:30:00"/>
    <d v="1899-12-30T18:20:00"/>
    <n v="1.8333333333333335"/>
    <x v="0"/>
    <x v="0"/>
    <s v="Falla mecánica"/>
    <s v="Esterilización "/>
    <x v="17"/>
    <s v="Se descadena redler, y se recorta cadena."/>
  </r>
  <r>
    <x v="201"/>
    <x v="1"/>
    <x v="9"/>
    <d v="1899-12-30T18:20:00"/>
    <d v="1899-12-30T19:08:00"/>
    <n v="0.8"/>
    <x v="0"/>
    <x v="0"/>
    <s v="Falla mecánica"/>
    <s v="Planta generación de vapor"/>
    <x v="9"/>
    <s v="Sin fin al presentar falla se cae la presion de la caldera y atrasa los ciclos de esterilización lo que causa una ausencia de fruto cosido."/>
  </r>
  <r>
    <x v="202"/>
    <x v="1"/>
    <x v="9"/>
    <d v="1899-12-30T14:25:00"/>
    <d v="1899-12-30T15:25:00"/>
    <n v="1"/>
    <x v="0"/>
    <x v="0"/>
    <s v="Falla mecánica"/>
    <s v="Recepción"/>
    <x v="7"/>
    <s v="Se sale cadena y se monta en el piñon."/>
  </r>
  <r>
    <x v="202"/>
    <x v="1"/>
    <x v="9"/>
    <d v="1899-12-30T19:48:00"/>
    <d v="1899-12-31T00:00:00"/>
    <n v="4.2"/>
    <x v="0"/>
    <x v="0"/>
    <s v="Falla mecánica"/>
    <s v="Recepción"/>
    <x v="7"/>
    <s v="Se sale cadena y se monta en el piñon."/>
  </r>
  <r>
    <x v="202"/>
    <x v="1"/>
    <x v="9"/>
    <d v="1899-12-30T00:00:00"/>
    <d v="1899-12-30T05:00:00"/>
    <n v="5"/>
    <x v="0"/>
    <x v="0"/>
    <s v="Falla mecánica"/>
    <s v="Recepción"/>
    <x v="7"/>
    <s v="Se sale cadena y se monta en el piñon, se cambia un paso de la cadena."/>
  </r>
  <r>
    <x v="203"/>
    <x v="1"/>
    <x v="9"/>
    <d v="1899-12-30T06:05:00"/>
    <d v="1899-12-30T07:16:00"/>
    <n v="1.1833333333333333"/>
    <x v="0"/>
    <x v="0"/>
    <s v="Falla mecánica"/>
    <s v="Desfrutado"/>
    <x v="14"/>
    <s v="Se sale de la cadena, se monta de nuevo y trabaja con normalidad."/>
  </r>
  <r>
    <x v="203"/>
    <x v="1"/>
    <x v="9"/>
    <d v="1899-12-30T16:20:00"/>
    <d v="1899-12-30T16:37:00"/>
    <n v="0.28333333333333333"/>
    <x v="0"/>
    <x v="1"/>
    <s v="Falla operativa"/>
    <s v="Planta generación de vapor"/>
    <x v="9"/>
    <s v="Se elimina atascamiento en sin fin"/>
  </r>
  <r>
    <x v="203"/>
    <x v="1"/>
    <x v="9"/>
    <d v="1899-12-30T01:58:00"/>
    <d v="1899-12-30T02:10:00"/>
    <n v="0.2"/>
    <x v="0"/>
    <x v="0"/>
    <s v="Falla mecánica"/>
    <s v="Planta generación de vapor"/>
    <x v="9"/>
    <s v="Se elimina atascamiento en sin fin"/>
  </r>
  <r>
    <x v="204"/>
    <x v="1"/>
    <x v="9"/>
    <d v="1899-12-30T06:10:00"/>
    <d v="1899-12-30T11:40:00"/>
    <n v="5.5"/>
    <x v="0"/>
    <x v="0"/>
    <s v="Falla mecánica"/>
    <s v="Recepción"/>
    <x v="7"/>
    <s v="Se sale cadena y se monta en el piñon."/>
  </r>
  <r>
    <x v="204"/>
    <x v="1"/>
    <x v="9"/>
    <d v="1899-12-30T04:30:00"/>
    <d v="1899-12-30T05:10:00"/>
    <n v="0.66666666666666663"/>
    <x v="0"/>
    <x v="0"/>
    <s v="Falla eléctrica"/>
    <s v="Planta general"/>
    <x v="51"/>
    <s v="Falla el fluido electrico y planta electrica"/>
  </r>
  <r>
    <x v="205"/>
    <x v="1"/>
    <x v="9"/>
    <d v="1899-12-30T11:35:00"/>
    <d v="1899-12-30T12:01:00"/>
    <n v="0.43333333333333335"/>
    <x v="0"/>
    <x v="0"/>
    <s v="Falla mecánica"/>
    <s v="Planta generación de vapor"/>
    <x v="9"/>
    <s v="Se elimina atascamiento en sin fin"/>
  </r>
  <r>
    <x v="205"/>
    <x v="1"/>
    <x v="9"/>
    <d v="1899-12-30T13:47:00"/>
    <d v="1899-12-30T16:12:00"/>
    <n v="2.4166666666666665"/>
    <x v="0"/>
    <x v="0"/>
    <s v="Falla mecánica"/>
    <s v="Esterilización "/>
    <x v="68"/>
    <s v="Se sale indexer del guia o riel."/>
  </r>
  <r>
    <x v="205"/>
    <x v="1"/>
    <x v="9"/>
    <d v="1899-12-30T07:42:00"/>
    <d v="1899-12-30T07:56:00"/>
    <n v="0.23333333333333334"/>
    <x v="0"/>
    <x v="0"/>
    <s v="Falla mecánica"/>
    <s v="Esterilización "/>
    <x v="68"/>
    <s v="Se atrazaron los ciclos de esterilización."/>
  </r>
  <r>
    <x v="205"/>
    <x v="1"/>
    <x v="9"/>
    <d v="1899-12-30T08:42:00"/>
    <d v="1899-12-30T08:50:00"/>
    <n v="0.13333333333333333"/>
    <x v="0"/>
    <x v="0"/>
    <s v="Falla mecánica"/>
    <s v="Planta generación de vapor"/>
    <x v="9"/>
    <s v="Se elimina atascamiento en sin fin"/>
  </r>
  <r>
    <x v="205"/>
    <x v="1"/>
    <x v="9"/>
    <d v="1899-12-30T11:28:00"/>
    <d v="1899-12-30T11:55:00"/>
    <n v="0.45"/>
    <x v="0"/>
    <x v="0"/>
    <s v="Falla mecánica"/>
    <s v="Planta generación de vapor"/>
    <x v="9"/>
    <s v="Se elimina atascamiento en sin fin"/>
  </r>
  <r>
    <x v="205"/>
    <x v="1"/>
    <x v="9"/>
    <d v="1899-12-30T01:28:00"/>
    <d v="1899-12-30T01:52:00"/>
    <n v="0.4"/>
    <x v="0"/>
    <x v="0"/>
    <s v="Falla mecánica"/>
    <s v="Recepción"/>
    <x v="7"/>
    <s v="Se sale cadena y se monta en el piñon."/>
  </r>
  <r>
    <x v="205"/>
    <x v="1"/>
    <x v="9"/>
    <d v="1899-12-30T02:43:00"/>
    <d v="1899-12-30T03:00:00"/>
    <n v="0.28333333333333333"/>
    <x v="0"/>
    <x v="0"/>
    <s v="Falla mecánica"/>
    <s v="Planta generación de vapor"/>
    <x v="9"/>
    <s v="Se elimina atascamiento en sin fin"/>
  </r>
  <r>
    <x v="206"/>
    <x v="1"/>
    <x v="9"/>
    <d v="1899-12-30T18:00:00"/>
    <d v="1899-12-30T18:50:00"/>
    <n v="0.83333333333333337"/>
    <x v="0"/>
    <x v="1"/>
    <s v="Falla operativa"/>
    <s v="Desfrutado"/>
    <x v="2"/>
    <s v="Se tapan anillos a desfrutador, se destapan e inicia proceso de nuevo."/>
  </r>
  <r>
    <x v="206"/>
    <x v="1"/>
    <x v="9"/>
    <d v="1899-12-30T00:32:00"/>
    <d v="1899-12-30T01:03:00"/>
    <n v="0.51666666666666672"/>
    <x v="0"/>
    <x v="3"/>
    <s v="Otra"/>
    <s v="Digestión y prensado"/>
    <x v="28"/>
    <s v="Un gancho de descargar camiones de RFF frana en equipo, se retira este objeto e inicia proceso."/>
  </r>
  <r>
    <x v="206"/>
    <x v="1"/>
    <x v="9"/>
    <d v="1899-12-30T01:03:00"/>
    <d v="1899-12-30T01:27:00"/>
    <n v="0.4"/>
    <x v="0"/>
    <x v="1"/>
    <s v="Falla operativa"/>
    <s v="Desfrutado"/>
    <x v="19"/>
    <s v="Se atasca sinfín bajo desfrutador."/>
  </r>
  <r>
    <x v="206"/>
    <x v="1"/>
    <x v="9"/>
    <d v="1899-12-30T03:27:00"/>
    <d v="1899-12-30T04:23:00"/>
    <n v="0.93333333333333335"/>
    <x v="0"/>
    <x v="0"/>
    <s v="Falla mecánica"/>
    <s v="Clarificación"/>
    <x v="48"/>
    <s v="Daño en valvula de recuperación en centrifuga n°1"/>
  </r>
  <r>
    <x v="207"/>
    <x v="1"/>
    <x v="9"/>
    <d v="1899-12-30T09:30:00"/>
    <d v="1899-12-30T10:55:00"/>
    <n v="1.4166666666666667"/>
    <x v="0"/>
    <x v="3"/>
    <s v="Fluído eléctrico"/>
    <s v="Planta generación energía electrica"/>
    <x v="5"/>
    <s v="corte de fluido electrico"/>
  </r>
  <r>
    <x v="207"/>
    <x v="1"/>
    <x v="9"/>
    <d v="1899-12-30T10:55:00"/>
    <d v="1899-12-30T12:15:00"/>
    <n v="1.3333333333333333"/>
    <x v="0"/>
    <x v="1"/>
    <s v="Falla operativa"/>
    <s v="Desfibración"/>
    <x v="9"/>
    <s v="Atascamiento por sobre carga"/>
  </r>
  <r>
    <x v="207"/>
    <x v="1"/>
    <x v="9"/>
    <d v="1899-12-30T04:10:00"/>
    <d v="1899-12-30T04:50:00"/>
    <n v="0.66666666666666663"/>
    <x v="0"/>
    <x v="3"/>
    <s v="Incendios o eventos naturales"/>
    <s v="Desfrutado"/>
    <x v="50"/>
    <s v="La banda de desliza por causa de la lluvia."/>
  </r>
  <r>
    <x v="208"/>
    <x v="1"/>
    <x v="9"/>
    <d v="1899-12-30T06:28:00"/>
    <d v="1899-12-30T06:50:00"/>
    <n v="0.36666666666666664"/>
    <x v="0"/>
    <x v="3"/>
    <s v="Fluído eléctrico"/>
    <s v="Planta generación energía electrica"/>
    <x v="5"/>
    <s v="corte de fluido electrico"/>
  </r>
  <r>
    <x v="208"/>
    <x v="1"/>
    <x v="9"/>
    <d v="1899-12-30T14:55:00"/>
    <d v="1899-12-30T15:27:00"/>
    <n v="0.53333333333333333"/>
    <x v="0"/>
    <x v="1"/>
    <s v="Falla operativa"/>
    <s v="Desfibración"/>
    <x v="9"/>
    <s v="Atascamiento por sobre carga"/>
  </r>
  <r>
    <x v="208"/>
    <x v="1"/>
    <x v="9"/>
    <d v="1899-12-30T18:00:00"/>
    <d v="1899-12-31T00:00:00"/>
    <n v="6"/>
    <x v="0"/>
    <x v="0"/>
    <s v="Falla mecánica"/>
    <s v="Planta tratamiento de agua"/>
    <x v="47"/>
    <s v="falla con el impulsor de la bomba"/>
  </r>
  <r>
    <x v="208"/>
    <x v="1"/>
    <x v="9"/>
    <d v="1899-12-30T00:00:00"/>
    <d v="1899-12-30T04:00:00"/>
    <n v="4"/>
    <x v="0"/>
    <x v="0"/>
    <s v="Falla mecánica"/>
    <s v="Planta tratamiento de agua"/>
    <x v="47"/>
    <s v="falla con el impulsor de la bomba"/>
  </r>
  <r>
    <x v="209"/>
    <x v="1"/>
    <x v="9"/>
    <d v="1899-12-30T11:35:00"/>
    <d v="1899-12-30T11:55:00"/>
    <n v="0.33333333333333331"/>
    <x v="0"/>
    <x v="3"/>
    <s v="Fluído eléctrico"/>
    <s v="Planta generación energía electrica"/>
    <x v="5"/>
    <s v="corte de fluido electrico"/>
  </r>
  <r>
    <x v="209"/>
    <x v="1"/>
    <x v="9"/>
    <d v="1899-12-30T14:13:00"/>
    <d v="1899-12-30T15:15:00"/>
    <n v="1.0333333333333334"/>
    <x v="0"/>
    <x v="0"/>
    <s v="Falla mecánica"/>
    <s v="Desfrutado"/>
    <x v="18"/>
    <s v="Daño cadena"/>
  </r>
  <r>
    <x v="210"/>
    <x v="1"/>
    <x v="9"/>
    <d v="1899-12-30T06:00:00"/>
    <d v="1899-12-30T09:15:00"/>
    <n v="3.25"/>
    <x v="0"/>
    <x v="3"/>
    <s v="Falta de fruta fresca"/>
    <s v="Planta general"/>
    <x v="5"/>
    <s v="Falta de fruto en planta y arranque de proceso"/>
  </r>
  <r>
    <x v="210"/>
    <x v="1"/>
    <x v="9"/>
    <d v="1899-12-30T14:00:00"/>
    <d v="1899-12-30T15:36:00"/>
    <n v="1.6"/>
    <x v="0"/>
    <x v="3"/>
    <s v="Falta de fruta fresca"/>
    <s v="Planta general"/>
    <x v="5"/>
    <s v="Falta de fruto en planta y arranque de proceso"/>
  </r>
  <r>
    <x v="210"/>
    <x v="1"/>
    <x v="9"/>
    <d v="1899-12-30T16:00:00"/>
    <d v="1899-12-30T17:08:00"/>
    <n v="1.1333333333333333"/>
    <x v="0"/>
    <x v="0"/>
    <s v="Falla mecánica"/>
    <s v="Planta generación de vapor"/>
    <x v="69"/>
    <s v="Se quemo el cableado"/>
  </r>
  <r>
    <x v="211"/>
    <x v="1"/>
    <x v="9"/>
    <d v="1899-12-30T06:00:00"/>
    <d v="1899-12-30T09:36:00"/>
    <n v="3.6"/>
    <x v="0"/>
    <x v="3"/>
    <s v="Falta de fruta fresca"/>
    <s v="Planta general"/>
    <x v="5"/>
    <s v="Falta de fruto en planta y arranque de proceso"/>
  </r>
  <r>
    <x v="211"/>
    <x v="1"/>
    <x v="9"/>
    <d v="1899-12-30T18:40:00"/>
    <d v="1899-12-30T18:50:00"/>
    <n v="0.16666666666666666"/>
    <x v="0"/>
    <x v="3"/>
    <s v="Fluído eléctrico"/>
    <s v="Planta generación energía electrica"/>
    <x v="5"/>
    <s v="corte de fluido electrico"/>
  </r>
  <r>
    <x v="211"/>
    <x v="1"/>
    <x v="9"/>
    <d v="1899-12-30T20:25:00"/>
    <d v="1899-12-30T20:38:00"/>
    <n v="0.21666666666666667"/>
    <x v="0"/>
    <x v="0"/>
    <s v="Falla mecánica"/>
    <s v="Desfrutado"/>
    <x v="2"/>
    <s v="patin dañado"/>
  </r>
  <r>
    <x v="212"/>
    <x v="1"/>
    <x v="9"/>
    <d v="1899-12-30T14:00:00"/>
    <d v="1899-12-30T20:15:00"/>
    <n v="6.25"/>
    <x v="0"/>
    <x v="0"/>
    <s v="Falla mecánica"/>
    <s v="Desfrutado"/>
    <x v="2"/>
    <s v="patin dañado"/>
  </r>
  <r>
    <x v="212"/>
    <x v="1"/>
    <x v="9"/>
    <d v="1899-12-30T21:45:00"/>
    <d v="1899-12-30T22:45:00"/>
    <n v="1"/>
    <x v="0"/>
    <x v="1"/>
    <s v="Falla operativa"/>
    <s v="Desfrutado"/>
    <x v="2"/>
    <s v="taponamiento de anillos"/>
  </r>
  <r>
    <x v="213"/>
    <x v="1"/>
    <x v="9"/>
    <d v="1899-12-30T17:10:00"/>
    <d v="1899-12-30T18:00:00"/>
    <n v="0.83333333333333337"/>
    <x v="0"/>
    <x v="0"/>
    <s v="Falla mecánica"/>
    <s v="Recepción"/>
    <x v="7"/>
    <s v="se sale la cadena de la guia"/>
  </r>
  <r>
    <x v="213"/>
    <x v="1"/>
    <x v="9"/>
    <d v="1899-12-30T18:13:00"/>
    <d v="1899-12-30T19:20:00"/>
    <n v="1.1166666666666667"/>
    <x v="0"/>
    <x v="0"/>
    <s v="Falla mecánica"/>
    <s v="Recepción"/>
    <x v="7"/>
    <s v="se sale la cadena de la guia"/>
  </r>
  <r>
    <x v="213"/>
    <x v="1"/>
    <x v="9"/>
    <d v="1899-12-30T20:30:00"/>
    <d v="1899-12-30T23:20:00"/>
    <n v="2.8333333333333335"/>
    <x v="0"/>
    <x v="0"/>
    <s v="Falla mecánica"/>
    <s v="Recepción"/>
    <x v="7"/>
    <s v="se sale la cadena de la guia"/>
  </r>
  <r>
    <x v="214"/>
    <x v="1"/>
    <x v="9"/>
    <d v="1899-12-30T22:10:00"/>
    <d v="1899-12-30T23:00:00"/>
    <n v="0.83333333333333337"/>
    <x v="0"/>
    <x v="0"/>
    <s v="Falla mecánica"/>
    <s v="Planta generación de vapor"/>
    <x v="69"/>
    <s v="corto circuito "/>
  </r>
  <r>
    <x v="215"/>
    <x v="1"/>
    <x v="9"/>
    <d v="1899-12-30T07:46:00"/>
    <d v="1899-12-30T08:13:00"/>
    <n v="0.45"/>
    <x v="0"/>
    <x v="0"/>
    <s v="Falla mecánica"/>
    <s v="Recepción"/>
    <x v="17"/>
    <s v="Se salela cadena, se cambia pega y se habilita equipo."/>
  </r>
  <r>
    <x v="215"/>
    <x v="1"/>
    <x v="9"/>
    <d v="1899-12-30T08:45:00"/>
    <d v="1899-12-30T09:40:00"/>
    <n v="0.91666666666666663"/>
    <x v="0"/>
    <x v="0"/>
    <s v="Falla mecánica"/>
    <s v="Planta generación de vapor"/>
    <x v="40"/>
    <s v="Valvula modulante se le cae la platina de acople del bastago de la valvula y el diafragma."/>
  </r>
  <r>
    <x v="215"/>
    <x v="1"/>
    <x v="9"/>
    <d v="1899-12-30T14:06:00"/>
    <d v="1899-12-30T14:26:00"/>
    <n v="0.33333333333333331"/>
    <x v="0"/>
    <x v="0"/>
    <s v="Falla mecánica"/>
    <s v="Planta generación de vapor"/>
    <x v="9"/>
    <s v="Se tapa pantalon de retorno a redler de la caldera, se deberia darle mas angulo de caida al pantalon."/>
  </r>
  <r>
    <x v="216"/>
    <x v="1"/>
    <x v="9"/>
    <d v="1899-12-30T17:30:00"/>
    <d v="1899-12-30T18:14:00"/>
    <n v="0.73333333333333328"/>
    <x v="0"/>
    <x v="1"/>
    <s v="Falla operativa"/>
    <s v="Desfrutado"/>
    <x v="2"/>
    <s v="Se tapan anillos del desfrutador, se limpian y se reinicia proceso."/>
  </r>
  <r>
    <x v="216"/>
    <x v="1"/>
    <x v="9"/>
    <d v="1899-12-30T19:02:00"/>
    <d v="1899-12-30T19:45:00"/>
    <n v="0.71666666666666667"/>
    <x v="0"/>
    <x v="0"/>
    <s v="Falla mecánica"/>
    <s v="Planta generación de vapor"/>
    <x v="9"/>
    <s v="Se tapa pantalon de retorno a redler de la caldera, se deberia darle mas angulo de caida al pantalon."/>
  </r>
  <r>
    <x v="217"/>
    <x v="1"/>
    <x v="9"/>
    <d v="1899-12-30T08:45:00"/>
    <d v="1899-12-30T11:35:00"/>
    <n v="2.8333333333333335"/>
    <x v="0"/>
    <x v="0"/>
    <s v="Falla mecánica"/>
    <s v="Clarificación"/>
    <x v="11"/>
    <s v="Se corre cuerpo del tamiz, se acomoda y se ajusta de nuevo."/>
  </r>
  <r>
    <x v="217"/>
    <x v="1"/>
    <x v="9"/>
    <d v="1899-12-30T04:15:00"/>
    <d v="1899-12-30T06:15:00"/>
    <n v="2"/>
    <x v="0"/>
    <x v="1"/>
    <s v="Falla operativa"/>
    <s v="Desfrutado"/>
    <x v="19"/>
    <s v="Se tapan el sin fin bajo la desfrutadora."/>
  </r>
  <r>
    <x v="218"/>
    <x v="1"/>
    <x v="9"/>
    <d v="1899-12-30T01:10:00"/>
    <d v="1899-12-30T02:05:00"/>
    <n v="0.91666666666666663"/>
    <x v="0"/>
    <x v="0"/>
    <s v="Falla mecánica"/>
    <s v="Recepción"/>
    <x v="7"/>
    <s v="Se monta cadena en piñones, se destiempla y se encadena denuevo."/>
  </r>
  <r>
    <x v="218"/>
    <x v="1"/>
    <x v="9"/>
    <d v="1899-12-30T08:30:00"/>
    <d v="1899-12-30T11:30:00"/>
    <n v="3"/>
    <x v="0"/>
    <x v="0"/>
    <s v="Falla mecánica"/>
    <s v="Recepción"/>
    <x v="7"/>
    <s v="Se monta cadena en piñones, se destiempla cortando tornillos con oxicorte."/>
  </r>
  <r>
    <x v="218"/>
    <x v="1"/>
    <x v="9"/>
    <d v="1899-12-30T12:01:00"/>
    <d v="1899-12-30T12:45:00"/>
    <n v="0.73333333333333328"/>
    <x v="0"/>
    <x v="0"/>
    <s v="Falla mecánica"/>
    <s v="Clarificación"/>
    <x v="11"/>
    <s v="Se corre cuerpo del tamiz, se acomoda y se ajusta de nuevo."/>
  </r>
  <r>
    <x v="219"/>
    <x v="1"/>
    <x v="10"/>
    <d v="1899-12-30T06:00:00"/>
    <d v="1899-12-30T09:22:00"/>
    <n v="3.3666666666666667"/>
    <x v="1"/>
    <x v="2"/>
    <s v="Arranque planta"/>
    <s v="Planta general"/>
    <x v="5"/>
    <s v="Se enciende caldera, se esteriliza fruto, se digesta e inicia proceso."/>
  </r>
  <r>
    <x v="219"/>
    <x v="1"/>
    <x v="10"/>
    <d v="1899-12-30T10:25:00"/>
    <d v="1899-12-30T10:48:00"/>
    <n v="0.38333333333333336"/>
    <x v="0"/>
    <x v="0"/>
    <s v="Falla mecánica"/>
    <s v="Esterilización "/>
    <x v="52"/>
    <s v="Racor de la valvula electroneumatica que acciona la entrada de vapor."/>
  </r>
  <r>
    <x v="219"/>
    <x v="1"/>
    <x v="10"/>
    <d v="1899-12-30T20:07:00"/>
    <d v="1899-12-30T20:21:00"/>
    <n v="0.23333333333333334"/>
    <x v="0"/>
    <x v="1"/>
    <s v="Falla operativa"/>
    <s v="Desfrutado"/>
    <x v="2"/>
    <s v="Se tapan anillos del desfrutador, se limpian y se reinicia proceso."/>
  </r>
  <r>
    <x v="220"/>
    <x v="1"/>
    <x v="10"/>
    <d v="1899-12-30T02:00:00"/>
    <d v="1899-12-30T08:07:00"/>
    <n v="6.1166666666666663"/>
    <x v="1"/>
    <x v="2"/>
    <s v="Arranque planta"/>
    <s v="Planta general"/>
    <x v="5"/>
    <s v="Se enciende caldera, se esteriliza fruto, se digesta e inicia proceso."/>
  </r>
  <r>
    <x v="220"/>
    <x v="1"/>
    <x v="10"/>
    <d v="1899-12-30T00:40:00"/>
    <d v="1899-12-30T00:55:00"/>
    <n v="0.25"/>
    <x v="0"/>
    <x v="1"/>
    <s v="Falla operativa"/>
    <s v="Planta generación de vapor"/>
    <x v="9"/>
    <s v="Se tapa pantalon de retorno a redler de la caldera, se deberia darle mas angulo de caida al pantalon."/>
  </r>
  <r>
    <x v="221"/>
    <x v="1"/>
    <x v="10"/>
    <d v="1899-12-30T14:00:00"/>
    <d v="1899-12-30T21:10:00"/>
    <n v="7.166666666666667"/>
    <x v="1"/>
    <x v="2"/>
    <s v="Arranque planta"/>
    <s v="Planta general"/>
    <x v="5"/>
    <s v="Se realizan trabajos de mantenimiento y limpieza se enciende caldera."/>
  </r>
  <r>
    <x v="222"/>
    <x v="1"/>
    <x v="10"/>
    <d v="1899-12-30T08:06:00"/>
    <d v="1899-12-30T09:10:00"/>
    <n v="1.0666666666666667"/>
    <x v="0"/>
    <x v="0"/>
    <s v="Falla mecánica"/>
    <s v="Desfrutado"/>
    <x v="18"/>
    <s v="Se revienta cadena del redler N°2 fruto cosido "/>
  </r>
  <r>
    <x v="222"/>
    <x v="1"/>
    <x v="10"/>
    <d v="1899-12-30T09:10:00"/>
    <d v="1899-12-30T09:30:00"/>
    <n v="0.33333333333333331"/>
    <x v="0"/>
    <x v="0"/>
    <s v="Falla mecánica"/>
    <s v="Desfibración"/>
    <x v="0"/>
    <s v="Desgastado buje de bronce en puente y pegan paletas al cuerpo, se cambia buje."/>
  </r>
  <r>
    <x v="222"/>
    <x v="1"/>
    <x v="10"/>
    <d v="1899-12-30T12:52:00"/>
    <d v="1899-12-30T13:05:00"/>
    <n v="0.21666666666666667"/>
    <x v="0"/>
    <x v="1"/>
    <s v="Falla operativa"/>
    <s v="Desfrutado"/>
    <x v="19"/>
    <s v="Se produce taponamiento en dicho equipo, por retorno."/>
  </r>
  <r>
    <x v="222"/>
    <x v="1"/>
    <x v="10"/>
    <d v="1899-12-30T18:05:00"/>
    <d v="1899-12-30T18:45:00"/>
    <n v="0.66666666666666663"/>
    <x v="0"/>
    <x v="1"/>
    <s v="Falla operativa"/>
    <s v="Desfrutado"/>
    <x v="2"/>
    <s v="Se tapan anillos del desfrutador, se limpian y se reinicia proceso."/>
  </r>
  <r>
    <x v="223"/>
    <x v="1"/>
    <x v="10"/>
    <d v="1899-12-30T06:00:00"/>
    <d v="1899-12-30T08:40:00"/>
    <n v="2.6666666666666665"/>
    <x v="1"/>
    <x v="2"/>
    <s v="Arranque planta"/>
    <s v="Planta general"/>
    <x v="5"/>
    <s v="Se enciende caldera, se esteriliza fruto, se digesta e inicia proceso."/>
  </r>
  <r>
    <x v="223"/>
    <x v="1"/>
    <x v="10"/>
    <d v="1899-12-30T09:10:00"/>
    <d v="1899-12-30T09:17:00"/>
    <n v="0.11666666666666667"/>
    <x v="0"/>
    <x v="1"/>
    <s v="Falla operativa"/>
    <s v="Desfrutado"/>
    <x v="2"/>
    <s v="Se tapan anillos por futa deldia del mantenimiento en redlers."/>
  </r>
  <r>
    <x v="224"/>
    <x v="1"/>
    <x v="10"/>
    <d v="1899-12-30T06:00:00"/>
    <d v="1899-12-30T07:40:00"/>
    <n v="1.6666666666666665"/>
    <x v="1"/>
    <x v="2"/>
    <s v="Arranque planta"/>
    <s v="Planta general"/>
    <x v="5"/>
    <s v="Se enciende caldera, se esteriliza fruto, se digesta e inicia proceso."/>
  </r>
  <r>
    <x v="224"/>
    <x v="1"/>
    <x v="10"/>
    <d v="1899-12-30T20:48:00"/>
    <d v="1899-12-30T21:03:00"/>
    <n v="0.25"/>
    <x v="0"/>
    <x v="0"/>
    <s v="Falla mecánica"/>
    <s v="Esterilización "/>
    <x v="17"/>
    <s v="se sale la cadena de la guia"/>
  </r>
  <r>
    <x v="225"/>
    <x v="1"/>
    <x v="10"/>
    <d v="1899-12-30T14:00:00"/>
    <d v="1899-12-30T17:05:00"/>
    <n v="3.0833333333333335"/>
    <x v="1"/>
    <x v="2"/>
    <s v="Arranque planta"/>
    <s v="Planta general"/>
    <x v="5"/>
    <s v="Reunio de salud ocupacional, y arranque de proceso"/>
  </r>
  <r>
    <x v="226"/>
    <x v="1"/>
    <x v="10"/>
    <d v="1899-12-30T06:00:00"/>
    <d v="1899-12-30T06:30:00"/>
    <n v="0.5"/>
    <x v="1"/>
    <x v="2"/>
    <s v="Arranque planta"/>
    <s v="Planta general"/>
    <x v="5"/>
    <s v="arranque de proceso"/>
  </r>
  <r>
    <x v="226"/>
    <x v="1"/>
    <x v="10"/>
    <d v="1899-12-30T06:30:00"/>
    <d v="1899-12-30T07:20:00"/>
    <n v="0.83333333333333337"/>
    <x v="0"/>
    <x v="0"/>
    <s v="Falla mecánica"/>
    <s v="Recepción"/>
    <x v="18"/>
    <s v="se sale la cadena de la guia"/>
  </r>
  <r>
    <x v="226"/>
    <x v="1"/>
    <x v="10"/>
    <d v="1899-12-30T08:32:00"/>
    <d v="1899-12-30T09:00:00"/>
    <n v="0.46666666666666667"/>
    <x v="0"/>
    <x v="1"/>
    <s v="Falla operativa"/>
    <s v="Desfibración"/>
    <x v="0"/>
    <s v="Atascamiento por sobre carga"/>
  </r>
  <r>
    <x v="226"/>
    <x v="1"/>
    <x v="10"/>
    <d v="1899-12-30T20:36:00"/>
    <d v="1899-12-30T21:11:00"/>
    <n v="0.58333333333333337"/>
    <x v="0"/>
    <x v="1"/>
    <s v="Falla operativa"/>
    <s v="Desfibración"/>
    <x v="0"/>
    <s v="Atascamiento por sobre carga"/>
  </r>
  <r>
    <x v="227"/>
    <x v="1"/>
    <x v="10"/>
    <d v="1899-12-30T06:00:00"/>
    <d v="1899-12-30T08:00:00"/>
    <n v="2"/>
    <x v="1"/>
    <x v="2"/>
    <s v="Arranque planta"/>
    <s v="Planta general"/>
    <x v="5"/>
    <s v="arranque de proceso"/>
  </r>
  <r>
    <x v="227"/>
    <x v="1"/>
    <x v="10"/>
    <d v="1899-12-30T08:00:00"/>
    <d v="1899-12-30T08:35:00"/>
    <n v="0.58333333333333337"/>
    <x v="0"/>
    <x v="0"/>
    <s v="Falla mecánica"/>
    <s v="Desfibración"/>
    <x v="0"/>
    <s v="Ajuste de puente intermedio"/>
  </r>
  <r>
    <x v="227"/>
    <x v="1"/>
    <x v="10"/>
    <d v="1899-12-30T09:43:00"/>
    <d v="1899-12-30T09:58:00"/>
    <n v="0.25"/>
    <x v="0"/>
    <x v="3"/>
    <s v="Fluído eléctrico"/>
    <s v="Planta generación energía electrica"/>
    <x v="5"/>
    <s v="corte de fluido electrico"/>
  </r>
  <r>
    <x v="228"/>
    <x v="1"/>
    <x v="10"/>
    <d v="1899-12-30T06:00:00"/>
    <d v="1899-12-30T08:12:00"/>
    <n v="2.2000000000000002"/>
    <x v="1"/>
    <x v="2"/>
    <s v="Arranque planta"/>
    <s v="Planta general"/>
    <x v="5"/>
    <s v="arranque de proceso"/>
  </r>
  <r>
    <x v="228"/>
    <x v="1"/>
    <x v="10"/>
    <d v="1899-12-30T12:10:00"/>
    <d v="1899-12-30T12:26:00"/>
    <n v="0.26666666666666666"/>
    <x v="0"/>
    <x v="0"/>
    <s v="Falla mecánica"/>
    <s v="Desfibración"/>
    <x v="0"/>
    <s v="Buje del eje se parte, se cambia buje."/>
  </r>
  <r>
    <x v="228"/>
    <x v="1"/>
    <x v="10"/>
    <d v="1899-12-30T16:40:00"/>
    <d v="1899-12-30T17:26:00"/>
    <n v="0.76666666666666672"/>
    <x v="0"/>
    <x v="0"/>
    <s v="Falla eléctrica"/>
    <s v="Digestión y prensado"/>
    <x v="13"/>
    <s v="Corto en tablero de p15"/>
  </r>
  <r>
    <x v="229"/>
    <x v="1"/>
    <x v="10"/>
    <d v="1899-12-30T06:00:00"/>
    <d v="1899-12-30T09:21:00"/>
    <n v="3.35"/>
    <x v="1"/>
    <x v="2"/>
    <s v="Arranque planta"/>
    <s v="Planta general"/>
    <x v="5"/>
    <s v="arranque de proceso"/>
  </r>
  <r>
    <x v="229"/>
    <x v="1"/>
    <x v="10"/>
    <d v="1899-12-30T16:48:00"/>
    <d v="1899-12-30T21:25:00"/>
    <n v="4.6166666666666671"/>
    <x v="0"/>
    <x v="0"/>
    <s v="Falla mecánica"/>
    <s v="Planta generación de vapor"/>
    <x v="59"/>
    <s v="Valvula modulante se le cae el piston del bastago daño interno de la valvula, se apaga caldera para poder intervenir."/>
  </r>
  <r>
    <x v="230"/>
    <x v="1"/>
    <x v="10"/>
    <d v="1899-12-30T14:00:00"/>
    <d v="1899-12-30T16:01:00"/>
    <n v="2.0166666666666666"/>
    <x v="1"/>
    <x v="2"/>
    <s v="Arranque planta"/>
    <s v="Planta general"/>
    <x v="5"/>
    <s v="arranque de proceso"/>
  </r>
  <r>
    <x v="230"/>
    <x v="1"/>
    <x v="10"/>
    <d v="1899-12-30T02:25:00"/>
    <d v="1899-12-30T02:36:00"/>
    <n v="0.18333333333333332"/>
    <x v="0"/>
    <x v="1"/>
    <s v="Falla operativa"/>
    <s v="Desfrutado"/>
    <x v="2"/>
    <s v="taponamiento de anillos"/>
  </r>
  <r>
    <x v="231"/>
    <x v="1"/>
    <x v="10"/>
    <d v="1899-12-30T16:00:00"/>
    <d v="1899-12-30T16:15:00"/>
    <n v="0.25"/>
    <x v="0"/>
    <x v="0"/>
    <s v="Falla mecánica"/>
    <s v="Esterilización "/>
    <x v="44"/>
    <s v="Se descarrila vagoneta N°2, se atrasa el transporte del fruto a desfrutación."/>
  </r>
  <r>
    <x v="231"/>
    <x v="1"/>
    <x v="10"/>
    <d v="1899-12-30T17:05:00"/>
    <d v="1899-12-30T17:35:00"/>
    <n v="0.5"/>
    <x v="0"/>
    <x v="3"/>
    <s v="Falta de fruta fresca"/>
    <s v="Planta general"/>
    <x v="5"/>
    <s v="Falta de fruto en planta."/>
  </r>
  <r>
    <x v="232"/>
    <x v="1"/>
    <x v="10"/>
    <d v="1899-12-30T06:00:00"/>
    <d v="1899-12-30T08:21:00"/>
    <n v="2.35"/>
    <x v="1"/>
    <x v="2"/>
    <s v="Arranque planta"/>
    <s v="Planta general"/>
    <x v="5"/>
    <s v="Encender caldera y arranque de proceso"/>
  </r>
  <r>
    <x v="232"/>
    <x v="1"/>
    <x v="10"/>
    <d v="1899-12-30T19:00:00"/>
    <d v="1899-12-30T19:25:00"/>
    <n v="0.41666666666666669"/>
    <x v="0"/>
    <x v="1"/>
    <s v="Falla operativa"/>
    <s v="Desfrutado"/>
    <x v="2"/>
    <s v="Se tapan anillos del desfrutador, se limpian y se reinicia proceso."/>
  </r>
  <r>
    <x v="233"/>
    <x v="1"/>
    <x v="10"/>
    <d v="1899-12-30T05:15:00"/>
    <d v="1899-12-30T09:20:00"/>
    <n v="4.083333333333333"/>
    <x v="0"/>
    <x v="0"/>
    <s v="Falla mecánica"/>
    <s v="Planta generación de vapor"/>
    <x v="59"/>
    <s v="Valvula modulante se parte pin y se separa bastago del piston."/>
  </r>
  <r>
    <x v="233"/>
    <x v="1"/>
    <x v="10"/>
    <d v="1899-12-30T10:24:00"/>
    <d v="1899-12-30T10:46:00"/>
    <n v="0.36666666666666664"/>
    <x v="1"/>
    <x v="2"/>
    <s v="Fluído eléctrico"/>
    <s v="Planta general"/>
    <x v="5"/>
    <s v="Falla el fluido electrico red externa, se prende planta en modo manual."/>
  </r>
  <r>
    <x v="234"/>
    <x v="1"/>
    <x v="10"/>
    <d v="1899-12-30T06:00:00"/>
    <d v="1899-12-30T07:00:00"/>
    <n v="1"/>
    <x v="0"/>
    <x v="1"/>
    <s v="Falla operativa"/>
    <s v="Desfrutado"/>
    <x v="2"/>
    <s v="Se tapan anillos del desfrutador, se limpian y se reinicia proceso."/>
  </r>
  <r>
    <x v="234"/>
    <x v="1"/>
    <x v="10"/>
    <d v="1899-12-30T13:52:00"/>
    <d v="1899-12-30T14:12:00"/>
    <n v="0.33333333333333331"/>
    <x v="0"/>
    <x v="1"/>
    <s v="Falla operativa"/>
    <s v="Desfrutado"/>
    <x v="2"/>
    <s v="Se tapan anillos del desfrutador, se limpian y se reinicia proceso."/>
  </r>
  <r>
    <x v="235"/>
    <x v="1"/>
    <x v="10"/>
    <d v="1899-12-30T14:00:00"/>
    <d v="1899-12-30T15:30:00"/>
    <n v="1.5"/>
    <x v="1"/>
    <x v="2"/>
    <s v="Arranque planta"/>
    <s v="Planta general"/>
    <x v="5"/>
    <s v="Enciende caldera y arranque de proceso"/>
  </r>
  <r>
    <x v="235"/>
    <x v="1"/>
    <x v="10"/>
    <d v="1899-12-30T18:10:00"/>
    <d v="1899-12-30T18:25:00"/>
    <n v="0.25"/>
    <x v="0"/>
    <x v="1"/>
    <s v="Falla operativa"/>
    <s v="Desfrutado"/>
    <x v="2"/>
    <s v="Se tapan anillos del desfrutador, se limpian y se reinicia proceso."/>
  </r>
  <r>
    <x v="235"/>
    <x v="1"/>
    <x v="10"/>
    <d v="1899-12-30T19:14:00"/>
    <d v="1899-12-30T22:31:00"/>
    <n v="3.2833333333333332"/>
    <x v="0"/>
    <x v="0"/>
    <s v="Falla mecánica"/>
    <s v="Desfrutado"/>
    <x v="36"/>
    <s v="Falla gato hidraulico de la compuerta N°1 de la tolva de docificación en la linea N°2 de desfrutación."/>
  </r>
  <r>
    <x v="235"/>
    <x v="1"/>
    <x v="10"/>
    <d v="1899-12-30T23:40:00"/>
    <d v="1899-12-30T23:52:00"/>
    <n v="0.2"/>
    <x v="0"/>
    <x v="0"/>
    <s v="Falla mecánica"/>
    <s v="Clarificación"/>
    <x v="16"/>
    <s v="Acumulación de lodos, centrifuga N°1 sin tubo de recuperación."/>
  </r>
  <r>
    <x v="235"/>
    <x v="1"/>
    <x v="10"/>
    <d v="1899-12-30T02:10:00"/>
    <d v="1899-12-30T02:51:00"/>
    <n v="0.68333333333333335"/>
    <x v="0"/>
    <x v="0"/>
    <s v="Falla mecánica"/>
    <s v="Clarificación"/>
    <x v="16"/>
    <s v="Acumulación de lodos, centrifuga N°1 sin tubo de recuperación."/>
  </r>
  <r>
    <x v="236"/>
    <x v="1"/>
    <x v="10"/>
    <d v="1899-12-30T07:49:00"/>
    <d v="1899-12-30T08:47:00"/>
    <n v="0.96666666666666667"/>
    <x v="0"/>
    <x v="1"/>
    <s v="Falla operativa"/>
    <s v="Planta generación de vapor"/>
    <x v="9"/>
    <s v="Taponamiento"/>
  </r>
  <r>
    <x v="236"/>
    <x v="1"/>
    <x v="10"/>
    <d v="1899-12-30T10:37:00"/>
    <d v="1899-12-30T10:52:00"/>
    <n v="0.25"/>
    <x v="0"/>
    <x v="1"/>
    <s v="Falla operativa"/>
    <s v="Desfrutado"/>
    <x v="2"/>
    <s v="Taponamiento"/>
  </r>
  <r>
    <x v="236"/>
    <x v="1"/>
    <x v="10"/>
    <d v="1899-12-30T14:18:00"/>
    <d v="1899-12-30T15:13:00"/>
    <n v="0.91666666666666663"/>
    <x v="0"/>
    <x v="1"/>
    <s v="Falla operativa"/>
    <s v="Planta generación de vapor"/>
    <x v="9"/>
    <s v="Taponamiento"/>
  </r>
  <r>
    <x v="236"/>
    <x v="1"/>
    <x v="10"/>
    <d v="1899-12-30T15:47:00"/>
    <d v="1899-12-30T16:55:00"/>
    <n v="1.1333333333333333"/>
    <x v="0"/>
    <x v="1"/>
    <s v="Falta Fruta esterilizada"/>
    <s v="Planta generación de vapor"/>
    <x v="9"/>
    <s v="El proceso se atrasa por taponamiento del sin fin caldera."/>
  </r>
  <r>
    <x v="236"/>
    <x v="1"/>
    <x v="10"/>
    <d v="1899-12-30T02:28:00"/>
    <d v="1899-12-30T03:05:00"/>
    <n v="0.6166666666666667"/>
    <x v="0"/>
    <x v="1"/>
    <s v="Falla operativa"/>
    <s v="Desfrutado"/>
    <x v="14"/>
    <s v="Se tapa ducto de recuperación pepa suelta redler 1"/>
  </r>
  <r>
    <x v="237"/>
    <x v="1"/>
    <x v="11"/>
    <d v="1899-12-30T14:00:00"/>
    <d v="1899-12-30T16:25:00"/>
    <n v="2.4166666666666665"/>
    <x v="1"/>
    <x v="2"/>
    <s v="Arranque planta"/>
    <s v="Planta general"/>
    <x v="5"/>
    <s v="Se arranca caldera y se esterilizan las dos vagonetas ya que  saldo el fin de semana anterior."/>
  </r>
  <r>
    <x v="238"/>
    <x v="1"/>
    <x v="11"/>
    <d v="1899-12-30T06:50:00"/>
    <d v="1899-12-30T07:54:00"/>
    <n v="1.0666666666666667"/>
    <x v="0"/>
    <x v="0"/>
    <s v="Falla mecánica"/>
    <s v="Recepción"/>
    <x v="7"/>
    <s v="Se monta redler principal en piñon."/>
  </r>
  <r>
    <x v="238"/>
    <x v="1"/>
    <x v="11"/>
    <d v="1899-12-30T08:37:00"/>
    <d v="1899-12-30T09:03:00"/>
    <n v="0.43333333333333335"/>
    <x v="0"/>
    <x v="0"/>
    <s v="Falla mecánica"/>
    <s v="Esterilización "/>
    <x v="68"/>
    <s v="Problema para la entrada de la vagoneta al tambor"/>
  </r>
  <r>
    <x v="238"/>
    <x v="1"/>
    <x v="11"/>
    <d v="1899-12-30T10:24:00"/>
    <d v="1899-12-30T11:28:00"/>
    <n v="1.0666666666666667"/>
    <x v="0"/>
    <x v="1"/>
    <s v="Falla operativa"/>
    <s v="Planta generación de vapor"/>
    <x v="9"/>
    <s v="Se sobrecarga sin fin con redler de alimentación."/>
  </r>
  <r>
    <x v="238"/>
    <x v="1"/>
    <x v="11"/>
    <d v="1899-12-30T16:40:00"/>
    <d v="1899-12-30T17:12:00"/>
    <n v="0.53333333333333333"/>
    <x v="0"/>
    <x v="0"/>
    <s v="Falla mecánica"/>
    <s v="Esterilización "/>
    <x v="44"/>
    <s v="Se descarrila vagoneta por problema en eje."/>
  </r>
  <r>
    <x v="238"/>
    <x v="1"/>
    <x v="11"/>
    <d v="1899-12-30T18:01:00"/>
    <d v="1899-12-30T18:42:00"/>
    <n v="0.68333333333333335"/>
    <x v="0"/>
    <x v="0"/>
    <s v="Falla mecánica"/>
    <s v="Esterilización "/>
    <x v="44"/>
    <s v="Se descarrila vagoneta por problema en eje."/>
  </r>
  <r>
    <x v="238"/>
    <x v="1"/>
    <x v="11"/>
    <d v="1899-12-30T19:04:00"/>
    <d v="1899-12-30T19:55:00"/>
    <n v="0.85"/>
    <x v="0"/>
    <x v="0"/>
    <s v="Falla mecánica"/>
    <s v="Esterilización "/>
    <x v="44"/>
    <s v="Se descarrila vagoneta por problema en eje."/>
  </r>
  <r>
    <x v="238"/>
    <x v="1"/>
    <x v="11"/>
    <d v="1899-12-30T20:30:00"/>
    <d v="1899-12-30T20:58:00"/>
    <n v="0.46666666666666667"/>
    <x v="0"/>
    <x v="0"/>
    <s v="Falla mecánica"/>
    <s v="Esterilización "/>
    <x v="44"/>
    <s v="Se descarrila vagoneta por problema en eje."/>
  </r>
  <r>
    <x v="239"/>
    <x v="1"/>
    <x v="11"/>
    <d v="1899-12-30T09:00:00"/>
    <d v="1899-12-30T09:30:00"/>
    <n v="0.5"/>
    <x v="0"/>
    <x v="0"/>
    <s v="Falla eléctrica"/>
    <s v="Desfrutado"/>
    <x v="50"/>
    <s v="Corto en cableado causa el que se dispare el motor."/>
  </r>
  <r>
    <x v="239"/>
    <x v="1"/>
    <x v="11"/>
    <d v="1899-12-30T20:47:00"/>
    <d v="1899-12-30T21:11:00"/>
    <n v="0.4"/>
    <x v="0"/>
    <x v="0"/>
    <s v="Falla mecánica"/>
    <s v="Esterilización "/>
    <x v="44"/>
    <s v="Se descarrila vagoneta por problema en eje."/>
  </r>
  <r>
    <x v="239"/>
    <x v="1"/>
    <x v="11"/>
    <d v="1899-12-31T00:01:00"/>
    <d v="1899-12-31T00:38:00"/>
    <n v="0.6166666666666667"/>
    <x v="0"/>
    <x v="0"/>
    <s v="Falla mecánica"/>
    <s v="Recepción"/>
    <x v="7"/>
    <s v="Se monta redler principal en piñon."/>
  </r>
  <r>
    <x v="240"/>
    <x v="1"/>
    <x v="11"/>
    <d v="1899-12-30T05:29:00"/>
    <d v="1899-12-30T05:56:00"/>
    <n v="0.45"/>
    <x v="0"/>
    <x v="0"/>
    <s v="Falla eléctrica"/>
    <s v="Digestión y prensado"/>
    <x v="13"/>
    <s v="Corto en tablero de prensa se elimina bornera y se empalman cables directos."/>
  </r>
  <r>
    <x v="240"/>
    <x v="1"/>
    <x v="11"/>
    <d v="1899-12-30T17:52:00"/>
    <d v="1899-12-30T18:14:00"/>
    <n v="0.36666666666666664"/>
    <x v="0"/>
    <x v="1"/>
    <s v="Falla operativa"/>
    <s v="Desfrutado"/>
    <x v="1"/>
    <s v="Se tapa sin fin transversal."/>
  </r>
  <r>
    <x v="241"/>
    <x v="1"/>
    <x v="11"/>
    <d v="1899-12-30T22:00:00"/>
    <d v="1899-12-30T23:06:00"/>
    <n v="1.1000000000000001"/>
    <x v="1"/>
    <x v="2"/>
    <s v="Arranque planta"/>
    <s v="Planta general"/>
    <x v="5"/>
    <s v="Caldera, esterilización y digestión."/>
  </r>
  <r>
    <x v="241"/>
    <x v="1"/>
    <x v="11"/>
    <d v="1899-12-30T02:11:00"/>
    <d v="1899-12-30T04:14:00"/>
    <n v="2.0499999999999998"/>
    <x v="0"/>
    <x v="0"/>
    <s v="Falla mecánica"/>
    <s v="Desfibración"/>
    <x v="0"/>
    <s v="Paletas sueltas que golpean con la camisa, se cortan unas y se eliminan unas, se programa de nuevo su reposición."/>
  </r>
  <r>
    <x v="241"/>
    <x v="1"/>
    <x v="11"/>
    <d v="1899-12-30T03:28:00"/>
    <d v="1899-12-30T03:47:00"/>
    <n v="0.31666666666666665"/>
    <x v="0"/>
    <x v="1"/>
    <s v="Falla operativa"/>
    <s v="Planta generación energía electrica"/>
    <x v="51"/>
    <s v="falta de fluido electrico"/>
  </r>
  <r>
    <x v="241"/>
    <x v="1"/>
    <x v="11"/>
    <d v="1899-12-30T04:36:00"/>
    <d v="1899-12-30T04:45:00"/>
    <n v="0.15"/>
    <x v="0"/>
    <x v="1"/>
    <s v="Falla operativa"/>
    <s v="Digestión y prensado"/>
    <x v="57"/>
    <s v="Se tapa ducto del digestor"/>
  </r>
  <r>
    <x v="241"/>
    <x v="1"/>
    <x v="11"/>
    <d v="1899-12-30T05:20:00"/>
    <d v="1899-12-30T06:00:00"/>
    <n v="0.66666666666666663"/>
    <x v="0"/>
    <x v="1"/>
    <s v="Falla operativa"/>
    <s v="Desfrutado"/>
    <x v="19"/>
    <s v="Se tapa sinfín bajo desfrutador y se tapa los anillos por el fruto sobremaduro."/>
  </r>
  <r>
    <x v="242"/>
    <x v="1"/>
    <x v="11"/>
    <d v="1899-12-30T07:50:00"/>
    <d v="1899-12-30T08:20:00"/>
    <n v="0.5"/>
    <x v="0"/>
    <x v="0"/>
    <s v="Falla eléctrica"/>
    <s v="Planta generación de vapor"/>
    <x v="66"/>
    <s v="Falla en conección del ventilador, se corrige y se habilita."/>
  </r>
  <r>
    <x v="242"/>
    <x v="1"/>
    <x v="11"/>
    <d v="1899-12-30T08:23:00"/>
    <d v="1899-12-30T08:41:00"/>
    <n v="0.3"/>
    <x v="0"/>
    <x v="1"/>
    <s v="Falla operativa"/>
    <s v="Planta generación de vapor"/>
    <x v="9"/>
    <s v="Se tapa sinfín  que alimenta la caldera."/>
  </r>
  <r>
    <x v="243"/>
    <x v="1"/>
    <x v="11"/>
    <d v="1899-12-30T07:06:00"/>
    <d v="1899-12-30T07:18:00"/>
    <n v="0.2"/>
    <x v="0"/>
    <x v="0"/>
    <s v="Falla mecánica"/>
    <s v="Desfibración"/>
    <x v="0"/>
    <s v="Paleta Suelta"/>
  </r>
  <r>
    <x v="243"/>
    <x v="1"/>
    <x v="11"/>
    <d v="1899-12-30T12:43:00"/>
    <d v="1899-12-30T12:56:00"/>
    <n v="0.21666666666666667"/>
    <x v="0"/>
    <x v="0"/>
    <s v="Falla mecánica"/>
    <s v="Desfibración"/>
    <x v="0"/>
    <s v="Se engrasan los bujes"/>
  </r>
  <r>
    <x v="243"/>
    <x v="1"/>
    <x v="11"/>
    <d v="1899-12-30T15:40:00"/>
    <d v="1899-12-30T16:12:00"/>
    <n v="0.53333333333333333"/>
    <x v="0"/>
    <x v="0"/>
    <s v="Falla mecánica"/>
    <s v="Digestión y prensado"/>
    <x v="11"/>
    <s v="Tubería Rota"/>
  </r>
  <r>
    <x v="243"/>
    <x v="1"/>
    <x v="11"/>
    <d v="1899-12-30T02:03:00"/>
    <d v="1899-12-30T02:14:00"/>
    <n v="0.18333333333333332"/>
    <x v="0"/>
    <x v="0"/>
    <s v="Falla mecánica"/>
    <s v="Desfibración"/>
    <x v="0"/>
    <s v="Ajuste paleta"/>
  </r>
  <r>
    <x v="244"/>
    <x v="1"/>
    <x v="11"/>
    <d v="1899-12-30T06:30:00"/>
    <d v="1899-12-30T07:50:00"/>
    <n v="1.3333333333333333"/>
    <x v="0"/>
    <x v="1"/>
    <s v="Falla operativa"/>
    <s v="Planta generación energía electrica"/>
    <x v="51"/>
    <s v="Falta de combustible"/>
  </r>
  <r>
    <x v="244"/>
    <x v="1"/>
    <x v="11"/>
    <d v="1899-12-30T08:50:00"/>
    <d v="1899-12-30T09:18:00"/>
    <n v="0.46666666666666667"/>
    <x v="0"/>
    <x v="0"/>
    <s v="Falla eléctrica"/>
    <s v="Planta generación energía electrica"/>
    <x v="51"/>
    <s v="Por falta de energia electrica"/>
  </r>
  <r>
    <x v="245"/>
    <x v="1"/>
    <x v="11"/>
    <d v="1899-12-30T22:00:00"/>
    <d v="1899-12-30T23:06:00"/>
    <n v="1.1000000000000001"/>
    <x v="1"/>
    <x v="2"/>
    <s v="Arranque planta"/>
    <s v="Planta general"/>
    <x v="5"/>
    <s v="arranque de proceso"/>
  </r>
  <r>
    <x v="245"/>
    <x v="1"/>
    <x v="11"/>
    <d v="1899-12-30T23:44:00"/>
    <d v="1899-12-30T23:57:00"/>
    <n v="0.21666666666666667"/>
    <x v="0"/>
    <x v="3"/>
    <s v="Fluído eléctrico"/>
    <s v="Planta generación energía electrica"/>
    <x v="51"/>
    <s v="Falla el fluido electrico y planta electrica"/>
  </r>
  <r>
    <x v="245"/>
    <x v="1"/>
    <x v="11"/>
    <d v="1899-12-30T01:47:00"/>
    <d v="1899-12-30T04:36:00"/>
    <n v="2.8166666666666664"/>
    <x v="0"/>
    <x v="0"/>
    <s v="Falla mecánica"/>
    <s v="Planta generación de vapor"/>
    <x v="59"/>
    <s v="Se daña rosca de la válvula, queda operando manual."/>
  </r>
  <r>
    <x v="245"/>
    <x v="1"/>
    <x v="11"/>
    <d v="1899-12-30T05:40:00"/>
    <d v="1899-12-30T06:00:00"/>
    <n v="0.33333333333333331"/>
    <x v="0"/>
    <x v="1"/>
    <s v="Falla operativa"/>
    <s v="Planta generación energía electrica"/>
    <x v="51"/>
    <s v="Falta de combustible, no había camioneta en planta"/>
  </r>
  <r>
    <x v="246"/>
    <x v="1"/>
    <x v="11"/>
    <d v="1899-12-30T06:00:00"/>
    <d v="1899-12-30T09:20:00"/>
    <n v="3.3333333333333335"/>
    <x v="0"/>
    <x v="1"/>
    <s v="Falla operativa"/>
    <s v="Planta generación energía electrica"/>
    <x v="51"/>
    <s v="Falta de combustible, no había camioneta en planta"/>
  </r>
  <r>
    <x v="246"/>
    <x v="1"/>
    <x v="11"/>
    <d v="1899-12-30T10:32:00"/>
    <d v="1899-12-30T10:49:00"/>
    <n v="0.28333333333333333"/>
    <x v="0"/>
    <x v="3"/>
    <s v="Fluído eléctrico"/>
    <s v="Planta general"/>
    <x v="5"/>
    <s v="Falla válvula neumática"/>
  </r>
  <r>
    <x v="246"/>
    <x v="1"/>
    <x v="11"/>
    <d v="1899-12-30T11:45:00"/>
    <d v="1899-12-30T15:15:00"/>
    <n v="3.5"/>
    <x v="0"/>
    <x v="0"/>
    <s v="Falla mecánica"/>
    <s v="Recepción"/>
    <x v="7"/>
    <s v="Se salta cadena y se monta piñon"/>
  </r>
  <r>
    <x v="246"/>
    <x v="1"/>
    <x v="11"/>
    <d v="1899-12-30T18:10:00"/>
    <d v="1899-12-30T18:37:00"/>
    <n v="0.45"/>
    <x v="0"/>
    <x v="1"/>
    <s v="Falla operativa"/>
    <s v="Planta generación de vapor"/>
    <x v="9"/>
    <s v="Se tapa sinfín  que alimenta la caldera."/>
  </r>
  <r>
    <x v="246"/>
    <x v="1"/>
    <x v="11"/>
    <d v="1899-12-30T18:37:00"/>
    <d v="1899-12-30T19:13:00"/>
    <n v="0.6"/>
    <x v="0"/>
    <x v="0"/>
    <s v="Falla mecánica"/>
    <s v="Digestión y prensado"/>
    <x v="13"/>
    <s v="Problema con la valvula hidraulica de la unidad hidraulica de la prensa, "/>
  </r>
  <r>
    <x v="246"/>
    <x v="1"/>
    <x v="11"/>
    <d v="1899-12-30T22:10:00"/>
    <d v="1899-12-30T23:02:00"/>
    <n v="0.8666666666666667"/>
    <x v="0"/>
    <x v="0"/>
    <s v="Falla mecánica"/>
    <s v="Digestión y prensado"/>
    <x v="13"/>
    <s v="Problema con la valvula hidraulica de la unidad hidraulica de la prensa, "/>
  </r>
  <r>
    <x v="246"/>
    <x v="1"/>
    <x v="11"/>
    <d v="1899-12-30T02:01:00"/>
    <d v="1899-12-30T02:14:00"/>
    <n v="0.21666666666666667"/>
    <x v="0"/>
    <x v="1"/>
    <s v="Falla operativa"/>
    <s v="Desfrutado"/>
    <x v="2"/>
    <s v="Se tapan anillos del desfrutador, se limpian y se reinicia proceso."/>
  </r>
  <r>
    <x v="246"/>
    <x v="1"/>
    <x v="11"/>
    <d v="1899-12-30T03:00:00"/>
    <d v="1899-12-30T03:16:00"/>
    <n v="0.26666666666666666"/>
    <x v="0"/>
    <x v="0"/>
    <s v="Falla mecánica"/>
    <s v="Desfibración"/>
    <x v="0"/>
    <s v="Paleta Suelta"/>
  </r>
  <r>
    <x v="247"/>
    <x v="1"/>
    <x v="11"/>
    <d v="1899-12-30T08:00:00"/>
    <d v="1899-12-30T11:30:00"/>
    <n v="3.5"/>
    <x v="0"/>
    <x v="0"/>
    <s v="Falla mecánica"/>
    <s v="Digestión y prensado"/>
    <x v="13"/>
    <s v="Problema con la valvula hidraulica de la unidad hidraulica de la prensa, "/>
  </r>
  <r>
    <x v="247"/>
    <x v="1"/>
    <x v="11"/>
    <d v="1899-12-30T15:00:00"/>
    <d v="1899-12-30T18:00:00"/>
    <n v="3"/>
    <x v="0"/>
    <x v="0"/>
    <s v="Falla mecánica"/>
    <s v="Digestión y prensado"/>
    <x v="13"/>
    <s v="Problema con la valvula hidraulica de la unidad hidraulica de la prensa, "/>
  </r>
  <r>
    <x v="247"/>
    <x v="1"/>
    <x v="11"/>
    <d v="1899-12-30T20:32:00"/>
    <d v="1899-12-30T21:05:00"/>
    <n v="0.55000000000000004"/>
    <x v="0"/>
    <x v="0"/>
    <s v="Falla mecánica"/>
    <s v="Recepción"/>
    <x v="7"/>
    <s v="Se sale la cadena del redler principal, se monta y se habilita."/>
  </r>
  <r>
    <x v="247"/>
    <x v="1"/>
    <x v="11"/>
    <d v="1899-12-30T23:02:00"/>
    <d v="1899-12-30T23:19:00"/>
    <n v="0.28333333333333333"/>
    <x v="0"/>
    <x v="1"/>
    <s v="Falla operativa"/>
    <s v="Desfrutado"/>
    <x v="2"/>
    <s v="Se tapa desfrutador, se limpia y se inicia proceso de nuevo."/>
  </r>
  <r>
    <x v="248"/>
    <x v="1"/>
    <x v="11"/>
    <d v="1899-12-30T06:00:00"/>
    <d v="1899-12-30T08:00:00"/>
    <n v="2"/>
    <x v="1"/>
    <x v="2"/>
    <s v="Arranque planta"/>
    <s v="Planta general"/>
    <x v="5"/>
    <s v="arranque de proceso"/>
  </r>
  <r>
    <x v="248"/>
    <x v="1"/>
    <x v="11"/>
    <d v="1899-12-30T08:00:00"/>
    <d v="1899-12-30T08:40:00"/>
    <n v="0.66666666666666663"/>
    <x v="0"/>
    <x v="1"/>
    <s v="Falla operativa"/>
    <s v="Planta general"/>
    <x v="5"/>
    <s v="Demora en el Arranque"/>
  </r>
  <r>
    <x v="248"/>
    <x v="1"/>
    <x v="11"/>
    <d v="1899-12-30T09:57:00"/>
    <d v="1899-12-30T10:36:00"/>
    <n v="0.65"/>
    <x v="0"/>
    <x v="0"/>
    <s v="Falla mecánica"/>
    <s v="Planta general"/>
    <x v="5"/>
    <s v="-"/>
  </r>
  <r>
    <x v="248"/>
    <x v="1"/>
    <x v="11"/>
    <d v="1899-12-30T12:47:00"/>
    <d v="1899-12-30T13:28:00"/>
    <n v="0.68333333333333335"/>
    <x v="0"/>
    <x v="0"/>
    <s v="Falla mecánica"/>
    <s v="Clarificación"/>
    <x v="20"/>
    <s v="La bomba presenta problema no arranca"/>
  </r>
  <r>
    <x v="248"/>
    <x v="1"/>
    <x v="11"/>
    <d v="1899-12-30T15:40:00"/>
    <d v="1899-12-30T15:53:00"/>
    <n v="0.21666666666666667"/>
    <x v="0"/>
    <x v="0"/>
    <s v="Falla mecánica"/>
    <s v="Desfibración"/>
    <x v="0"/>
    <s v="Se ajustan paletas que estaban pegando"/>
  </r>
  <r>
    <x v="248"/>
    <x v="1"/>
    <x v="11"/>
    <d v="1899-12-30T17:50:00"/>
    <d v="1899-12-30T18:13:00"/>
    <n v="0.38333333333333336"/>
    <x v="0"/>
    <x v="1"/>
    <s v="Falla operativa"/>
    <s v="Clarificación"/>
    <x v="16"/>
    <s v="Taponamiento"/>
  </r>
  <r>
    <x v="248"/>
    <x v="1"/>
    <x v="11"/>
    <d v="1899-12-30T18:30:00"/>
    <d v="1899-12-30T19:17:00"/>
    <n v="0.78333333333333333"/>
    <x v="0"/>
    <x v="1"/>
    <s v="Falla operativa"/>
    <s v="Clarificación"/>
    <x v="16"/>
    <s v="Taponamiento"/>
  </r>
  <r>
    <x v="249"/>
    <x v="1"/>
    <x v="11"/>
    <d v="1899-12-30T06:00:00"/>
    <d v="1899-12-30T07:30:00"/>
    <n v="1.5"/>
    <x v="1"/>
    <x v="2"/>
    <s v="Arranque planta"/>
    <s v="Planta general"/>
    <x v="5"/>
    <s v="arranque de proceso"/>
  </r>
  <r>
    <x v="249"/>
    <x v="1"/>
    <x v="11"/>
    <d v="1899-12-30T08:30:00"/>
    <d v="1899-12-30T08:41:00"/>
    <n v="0.18333333333333332"/>
    <x v="0"/>
    <x v="1"/>
    <s v="Falla operativa"/>
    <s v="Planta generación energía electrica"/>
    <x v="51"/>
    <s v="Falta Fluido Eléctrico"/>
  </r>
  <r>
    <x v="249"/>
    <x v="1"/>
    <x v="11"/>
    <d v="1899-12-30T08:42:00"/>
    <d v="1899-12-30T08:52:00"/>
    <n v="0.16666666666666666"/>
    <x v="0"/>
    <x v="1"/>
    <s v="Falla operativa"/>
    <s v="Desfrutado"/>
    <x v="2"/>
    <s v="taponamiento de anillos"/>
  </r>
  <r>
    <x v="249"/>
    <x v="1"/>
    <x v="11"/>
    <d v="1899-12-30T14:00:00"/>
    <d v="1899-12-30T17:00:00"/>
    <n v="3"/>
    <x v="0"/>
    <x v="0"/>
    <s v="Falla mecánica"/>
    <s v="Planta generación energía electrica"/>
    <x v="51"/>
    <s v="Recalentamiento de la planta"/>
  </r>
  <r>
    <x v="249"/>
    <x v="1"/>
    <x v="11"/>
    <d v="1899-12-30T17:00:00"/>
    <d v="1899-12-30T20:00:00"/>
    <n v="3"/>
    <x v="0"/>
    <x v="0"/>
    <s v="Falla eléctrica"/>
    <s v="Desfibración"/>
    <x v="70"/>
    <s v="Corto en el motor"/>
  </r>
  <r>
    <x v="250"/>
    <x v="1"/>
    <x v="11"/>
    <d v="1899-12-30T06:00:00"/>
    <d v="1899-12-30T08:17:00"/>
    <n v="2.2833333333333332"/>
    <x v="1"/>
    <x v="2"/>
    <s v="Arranque planta"/>
    <s v="Planta general"/>
    <x v="5"/>
    <s v="arranque de proceso"/>
  </r>
  <r>
    <x v="250"/>
    <x v="1"/>
    <x v="11"/>
    <d v="1899-12-30T09:45:00"/>
    <d v="1899-12-30T16:15:00"/>
    <n v="6.5"/>
    <x v="1"/>
    <x v="2"/>
    <s v="Reuniones"/>
    <s v="Planta general"/>
    <x v="5"/>
    <s v="Visita contraloria"/>
  </r>
  <r>
    <x v="251"/>
    <x v="1"/>
    <x v="11"/>
    <d v="1899-12-30T06:00:00"/>
    <d v="1899-12-30T08:15:00"/>
    <n v="2.25"/>
    <x v="1"/>
    <x v="2"/>
    <s v="Arranque planta"/>
    <s v="Planta general"/>
    <x v="5"/>
    <s v="arranque de proceso"/>
  </r>
  <r>
    <x v="252"/>
    <x v="1"/>
    <x v="11"/>
    <d v="1899-12-30T06:00:00"/>
    <d v="1899-12-30T08:45:00"/>
    <n v="2.75"/>
    <x v="1"/>
    <x v="2"/>
    <s v="Arranque planta"/>
    <s v="Planta general"/>
    <x v="5"/>
    <s v="arranque de proceso"/>
  </r>
  <r>
    <x v="252"/>
    <x v="1"/>
    <x v="11"/>
    <d v="1899-12-30T07:00:00"/>
    <d v="1899-12-30T08:45:00"/>
    <n v="1.75"/>
    <x v="0"/>
    <x v="0"/>
    <s v="Falla mecánica"/>
    <s v="Planta generación de vapor"/>
    <x v="22"/>
    <s v="falla en la parrilla viajera"/>
  </r>
  <r>
    <x v="252"/>
    <x v="1"/>
    <x v="11"/>
    <d v="1899-12-30T15:00:00"/>
    <d v="1899-12-30T15:28:00"/>
    <n v="0.46666666666666667"/>
    <x v="0"/>
    <x v="0"/>
    <s v="Falla mecánica"/>
    <s v="Esterilización "/>
    <x v="32"/>
    <s v="falla por puerta de la autoclave desalineada"/>
  </r>
  <r>
    <x v="253"/>
    <x v="1"/>
    <x v="11"/>
    <d v="1899-12-30T07:18:00"/>
    <d v="1899-12-30T17:10:00"/>
    <n v="9.8666666666666671"/>
    <x v="0"/>
    <x v="0"/>
    <s v="Falla mecánica"/>
    <s v="Desfrutado"/>
    <x v="8"/>
    <s v="Se partió la cadena"/>
  </r>
  <r>
    <x v="254"/>
    <x v="1"/>
    <x v="11"/>
    <d v="1899-12-30T11:35:00"/>
    <d v="1899-12-30T11:57:00"/>
    <n v="0.36666666666666664"/>
    <x v="0"/>
    <x v="1"/>
    <s v="Falla operativa"/>
    <s v="Desfrutado"/>
    <x v="1"/>
    <s v="Sin fin tapado"/>
  </r>
  <r>
    <x v="254"/>
    <x v="1"/>
    <x v="11"/>
    <d v="1899-12-30T16:40:00"/>
    <d v="1899-12-30T17:37:00"/>
    <n v="0.95"/>
    <x v="0"/>
    <x v="1"/>
    <s v="Falla operativa"/>
    <s v="Desfrutado"/>
    <x v="19"/>
    <s v="Sin fin tapado"/>
  </r>
  <r>
    <x v="255"/>
    <x v="1"/>
    <x v="11"/>
    <d v="1899-12-30T13:06:00"/>
    <d v="1899-12-30T13:22:00"/>
    <n v="0.26666666666666666"/>
    <x v="0"/>
    <x v="0"/>
    <s v="Falla mecánica"/>
    <s v="Clarificación"/>
    <x v="16"/>
    <s v="Centrifugas tapadas"/>
  </r>
  <r>
    <x v="256"/>
    <x v="1"/>
    <x v="11"/>
    <d v="1899-12-30T08:00:00"/>
    <d v="1899-12-30T10:18:00"/>
    <n v="2.2999999999999998"/>
    <x v="0"/>
    <x v="3"/>
    <s v="Falta de fruta fresca"/>
    <s v="Planta general"/>
    <x v="5"/>
    <s v="-"/>
  </r>
  <r>
    <x v="256"/>
    <x v="1"/>
    <x v="11"/>
    <d v="1899-12-30T16:00:00"/>
    <d v="1899-12-30T17:03:00"/>
    <n v="1.05"/>
    <x v="0"/>
    <x v="0"/>
    <s v="Falla mecánica"/>
    <s v="Planta tratamiento de agua"/>
    <x v="42"/>
    <s v="Aire en la succión porque se vació el reservorio"/>
  </r>
  <r>
    <x v="256"/>
    <x v="1"/>
    <x v="11"/>
    <d v="1899-12-30T00:27:00"/>
    <d v="1899-12-30T02:36:00"/>
    <n v="2.15"/>
    <x v="0"/>
    <x v="0"/>
    <s v="Falla eléctrica"/>
    <s v="Planta generación de vapor"/>
    <x v="22"/>
    <m/>
  </r>
  <r>
    <x v="256"/>
    <x v="1"/>
    <x v="11"/>
    <d v="1899-12-30T04:18:00"/>
    <d v="1899-12-30T04:51:00"/>
    <n v="0.55000000000000004"/>
    <x v="0"/>
    <x v="0"/>
    <s v="Falla mecánica"/>
    <s v="Esterilización "/>
    <x v="52"/>
    <s v="Falla en el presostato"/>
  </r>
  <r>
    <x v="257"/>
    <x v="1"/>
    <x v="0"/>
    <d v="1899-12-30T10:19:00"/>
    <d v="1899-12-30T10:28:00"/>
    <n v="0.15"/>
    <x v="0"/>
    <x v="3"/>
    <s v="Fluído eléctrico"/>
    <s v="Planta generación energía electrica"/>
    <x v="5"/>
    <s v="corte de fluido electrico"/>
  </r>
  <r>
    <x v="257"/>
    <x v="1"/>
    <x v="0"/>
    <d v="1899-12-30T12:20:00"/>
    <d v="1899-12-30T16:04:00"/>
    <n v="3.7333333333333334"/>
    <x v="0"/>
    <x v="3"/>
    <s v="Fluído eléctrico"/>
    <s v="Planta generación energía electrica"/>
    <x v="51"/>
    <s v="Falla el fluido electrico y planta electrica"/>
  </r>
  <r>
    <x v="257"/>
    <x v="1"/>
    <x v="0"/>
    <d v="1899-12-30T16:50:00"/>
    <d v="1899-12-30T17:05:00"/>
    <n v="0.25"/>
    <x v="0"/>
    <x v="1"/>
    <s v="Falla operativa"/>
    <s v="Desfrutado"/>
    <x v="1"/>
    <s v="Sin fin tapado"/>
  </r>
  <r>
    <x v="257"/>
    <x v="1"/>
    <x v="0"/>
    <d v="1899-12-30T19:20:00"/>
    <d v="1899-12-30T19:42:00"/>
    <n v="0.36666666666666664"/>
    <x v="0"/>
    <x v="3"/>
    <s v="Fluído eléctrico"/>
    <s v="Planta generación energía electrica"/>
    <x v="5"/>
    <s v="corte de fluido electrico"/>
  </r>
  <r>
    <x v="257"/>
    <x v="1"/>
    <x v="0"/>
    <d v="1899-12-30T00:00:00"/>
    <d v="1899-12-30T00:10:00"/>
    <n v="0.16666666666666666"/>
    <x v="0"/>
    <x v="1"/>
    <s v="Falla operativa"/>
    <s v="Desfrutado"/>
    <x v="2"/>
    <s v="anillo tapado "/>
  </r>
  <r>
    <x v="257"/>
    <x v="1"/>
    <x v="0"/>
    <d v="1899-12-30T05:00:00"/>
    <d v="1899-12-30T06:00:00"/>
    <n v="1"/>
    <x v="0"/>
    <x v="0"/>
    <s v="Falla mecánica"/>
    <s v="Planta generación de vapor"/>
    <x v="22"/>
    <s v="falla parrilla viajera"/>
  </r>
  <r>
    <x v="258"/>
    <x v="1"/>
    <x v="0"/>
    <d v="1899-12-30T06:00:00"/>
    <d v="1899-12-30T14:30:00"/>
    <n v="8.5"/>
    <x v="0"/>
    <x v="0"/>
    <s v="Falla mecánica"/>
    <s v="Planta generación de vapor"/>
    <x v="22"/>
    <s v="falla parrilla viajera"/>
  </r>
  <r>
    <x v="258"/>
    <x v="1"/>
    <x v="0"/>
    <d v="1899-12-30T19:00:00"/>
    <d v="1899-12-31T00:00:00"/>
    <n v="5"/>
    <x v="0"/>
    <x v="0"/>
    <s v="Falla mecánica"/>
    <s v="Digestión y prensado"/>
    <x v="13"/>
    <s v="falla mecanica en la transmision"/>
  </r>
  <r>
    <x v="258"/>
    <x v="1"/>
    <x v="0"/>
    <d v="1899-12-30T00:00:00"/>
    <d v="1899-12-30T06:00:00"/>
    <n v="6"/>
    <x v="0"/>
    <x v="0"/>
    <s v="Falla mecánica"/>
    <s v="Digestión y prensado"/>
    <x v="13"/>
    <s v="falla mecanica en la transmision"/>
  </r>
  <r>
    <x v="259"/>
    <x v="1"/>
    <x v="0"/>
    <d v="1899-12-30T00:35:00"/>
    <d v="1899-12-30T01:06:00"/>
    <n v="0.51666666666666672"/>
    <x v="0"/>
    <x v="0"/>
    <s v="Falla mecánica"/>
    <s v="Planta generación de vapor"/>
    <x v="22"/>
    <s v="falla en la valvula moduladora"/>
  </r>
  <r>
    <x v="259"/>
    <x v="1"/>
    <x v="0"/>
    <d v="1899-12-30T01:30:00"/>
    <d v="1899-12-30T02:40:00"/>
    <n v="1.1666666666666667"/>
    <x v="0"/>
    <x v="0"/>
    <s v="Falla mecánica"/>
    <s v="Desfibración"/>
    <x v="61"/>
    <s v="Se partio tornillos del primer tramo."/>
  </r>
  <r>
    <x v="260"/>
    <x v="1"/>
    <x v="0"/>
    <d v="1899-12-30T08:18:00"/>
    <d v="1899-12-30T08:48:00"/>
    <n v="0.5"/>
    <x v="0"/>
    <x v="1"/>
    <s v="Falla operativa"/>
    <s v="Desfrutado"/>
    <x v="1"/>
    <s v="Sin fin tapado"/>
  </r>
  <r>
    <x v="260"/>
    <x v="1"/>
    <x v="0"/>
    <d v="1899-12-30T05:30:00"/>
    <d v="1899-12-30T06:00:00"/>
    <n v="0.5"/>
    <x v="0"/>
    <x v="0"/>
    <s v="Falla mecánica"/>
    <s v="Recepción"/>
    <x v="56"/>
    <s v="Se sale toda la cadena del redler por falta de traviesas"/>
  </r>
  <r>
    <x v="261"/>
    <x v="1"/>
    <x v="0"/>
    <d v="1899-12-30T06:10:00"/>
    <d v="1899-12-30T10:10:00"/>
    <n v="4"/>
    <x v="0"/>
    <x v="0"/>
    <s v="Falla mecánica"/>
    <s v="Esterilización "/>
    <x v="17"/>
    <s v="Problema en redler se atrasa la esterilización"/>
  </r>
  <r>
    <x v="262"/>
    <x v="1"/>
    <x v="0"/>
    <d v="1899-12-30T06:12:00"/>
    <d v="1899-12-30T10:47:00"/>
    <n v="4.583333333333333"/>
    <x v="0"/>
    <x v="0"/>
    <s v="Falla mecánica"/>
    <s v="Planta generación de vapor"/>
    <x v="22"/>
    <s v="Limpieza, parrilla viajera fuera de funcionamiento"/>
  </r>
  <r>
    <x v="262"/>
    <x v="1"/>
    <x v="0"/>
    <d v="1899-12-30T13:50:00"/>
    <d v="1899-12-30T16:13:00"/>
    <n v="2.3833333333333333"/>
    <x v="0"/>
    <x v="0"/>
    <s v="Falla mecánica"/>
    <s v="Clarificación"/>
    <x v="11"/>
    <s v="Se rompe malla tamiz, se para para cambiarlas"/>
  </r>
  <r>
    <x v="262"/>
    <x v="1"/>
    <x v="0"/>
    <d v="1899-12-30T04:25:00"/>
    <d v="1899-12-30T04:42:00"/>
    <n v="0.28333333333333333"/>
    <x v="0"/>
    <x v="1"/>
    <s v="Falla operativa"/>
    <s v="Desfrutado"/>
    <x v="19"/>
    <s v="Taponamiento"/>
  </r>
  <r>
    <x v="262"/>
    <x v="1"/>
    <x v="0"/>
    <d v="1899-12-30T04:40:00"/>
    <d v="1899-12-30T04:45:00"/>
    <n v="8.3333333333333329E-2"/>
    <x v="0"/>
    <x v="1"/>
    <s v="Falla operativa"/>
    <s v="Planta generación de vapor"/>
    <x v="9"/>
    <s v="Taponamiento"/>
  </r>
  <r>
    <x v="263"/>
    <x v="1"/>
    <x v="0"/>
    <d v="1899-12-30T06:08:00"/>
    <d v="1899-12-30T10:16:00"/>
    <n v="4.1333333333333337"/>
    <x v="0"/>
    <x v="0"/>
    <s v="Falla mecánica"/>
    <s v="Planta generación de vapor"/>
    <x v="22"/>
    <s v="Limpieza, parrilla viajera fuera de funcionamiento"/>
  </r>
  <r>
    <x v="263"/>
    <x v="1"/>
    <x v="0"/>
    <d v="1899-12-30T15:25:00"/>
    <d v="1899-12-31T00:02:00"/>
    <n v="8.6166666666666671"/>
    <x v="0"/>
    <x v="0"/>
    <s v="Falla mecánica"/>
    <s v="Planta generación de vapor"/>
    <x v="22"/>
    <s v="Limpieza, parrilla viajera fuera de funcionamiento"/>
  </r>
  <r>
    <x v="263"/>
    <x v="1"/>
    <x v="0"/>
    <d v="1899-12-30T01:30:00"/>
    <d v="1899-12-30T02:20:00"/>
    <n v="0.83333333333333337"/>
    <x v="0"/>
    <x v="0"/>
    <s v="Falla mecánica"/>
    <s v="Esterilización "/>
    <x v="52"/>
    <s v="Se daña empaque tapa"/>
  </r>
  <r>
    <x v="264"/>
    <x v="1"/>
    <x v="0"/>
    <d v="1899-12-30T06:00:00"/>
    <d v="1899-12-30T06:20:00"/>
    <n v="0.33333333333333331"/>
    <x v="0"/>
    <x v="0"/>
    <s v="Falla mecánica"/>
    <s v="Planta generación de vapor"/>
    <x v="22"/>
    <s v="Atraso en el proceso por limpieza Caldera."/>
  </r>
  <r>
    <x v="264"/>
    <x v="1"/>
    <x v="0"/>
    <d v="1899-12-30T07:18:00"/>
    <d v="1899-12-30T08:46:00"/>
    <n v="1.4666666666666668"/>
    <x v="0"/>
    <x v="0"/>
    <s v="Falla mecánica"/>
    <s v="Desfrutado"/>
    <x v="2"/>
    <s v="Patín Desfrutador desajustado"/>
  </r>
  <r>
    <x v="264"/>
    <x v="1"/>
    <x v="0"/>
    <d v="1899-12-30T10:10:00"/>
    <d v="1899-12-30T10:26:00"/>
    <n v="0.26666666666666666"/>
    <x v="0"/>
    <x v="0"/>
    <s v="Falla mecánica"/>
    <s v="Planta generación de vapor"/>
    <x v="22"/>
    <s v="Atraso en el proceso por limpieza Caldera."/>
  </r>
  <r>
    <x v="264"/>
    <x v="1"/>
    <x v="0"/>
    <d v="1899-12-30T20:05:00"/>
    <d v="1899-12-30T21:07:00"/>
    <n v="1.0333333333333334"/>
    <x v="0"/>
    <x v="0"/>
    <s v="Falla mecánica"/>
    <s v="Clarificación"/>
    <x v="48"/>
    <s v="Fuga en la entrada de Lodos "/>
  </r>
  <r>
    <x v="264"/>
    <x v="1"/>
    <x v="0"/>
    <d v="1899-12-30T02:35:00"/>
    <d v="1899-12-30T06:30:00"/>
    <n v="3.9166666666666665"/>
    <x v="0"/>
    <x v="0"/>
    <s v="Falla mecánica"/>
    <s v="Planta generación de vapor"/>
    <x v="22"/>
    <s v="Caldera ahogada por cenizas."/>
  </r>
  <r>
    <x v="265"/>
    <x v="1"/>
    <x v="0"/>
    <d v="1899-12-30T06:30:00"/>
    <d v="1899-12-30T07:36:00"/>
    <n v="1.1000000000000001"/>
    <x v="1"/>
    <x v="2"/>
    <s v="Arranque planta"/>
    <s v="Planta general"/>
    <x v="5"/>
    <s v="arranque de proceso"/>
  </r>
  <r>
    <x v="265"/>
    <x v="1"/>
    <x v="0"/>
    <d v="1899-12-30T08:37:00"/>
    <d v="1899-12-30T08:50:00"/>
    <n v="0.21666666666666667"/>
    <x v="0"/>
    <x v="1"/>
    <s v="Falla operativa"/>
    <s v="Desfrutado"/>
    <x v="2"/>
    <s v="taponamiento de anillos"/>
  </r>
  <r>
    <x v="265"/>
    <x v="1"/>
    <x v="0"/>
    <d v="1899-12-30T14:35:00"/>
    <d v="1899-12-30T14:57:00"/>
    <n v="0.36666666666666664"/>
    <x v="0"/>
    <x v="1"/>
    <s v="Falla operativa"/>
    <s v="Planta tratamiento de agua"/>
    <x v="71"/>
    <s v="Tanque elevado sin agua"/>
  </r>
  <r>
    <x v="265"/>
    <x v="1"/>
    <x v="0"/>
    <d v="1899-12-30T20:16:00"/>
    <d v="1899-12-30T20:40:00"/>
    <n v="0.4"/>
    <x v="0"/>
    <x v="0"/>
    <s v="Falla mecánica"/>
    <s v="Esterilización "/>
    <x v="18"/>
    <s v="Se parte la cadena"/>
  </r>
  <r>
    <x v="265"/>
    <x v="1"/>
    <x v="0"/>
    <d v="1899-12-30T21:36:00"/>
    <d v="1899-12-30T22:07:00"/>
    <n v="0.51666666666666672"/>
    <x v="0"/>
    <x v="0"/>
    <s v="Falla mecánica"/>
    <s v="Esterilización "/>
    <x v="18"/>
    <s v="Falta de Fruta esterilizada por caída del redler 2"/>
  </r>
  <r>
    <x v="265"/>
    <x v="1"/>
    <x v="0"/>
    <d v="1899-12-30T02:20:00"/>
    <d v="1899-12-30T04:10:00"/>
    <n v="1.8333333333333335"/>
    <x v="0"/>
    <x v="0"/>
    <s v="Falla mecánica"/>
    <s v="Esterilización "/>
    <x v="14"/>
    <s v="Se parte la cadena"/>
  </r>
  <r>
    <x v="265"/>
    <x v="1"/>
    <x v="0"/>
    <d v="1899-12-30T04:40:00"/>
    <d v="1899-12-30T06:00:00"/>
    <n v="1.3333333333333333"/>
    <x v="0"/>
    <x v="0"/>
    <s v="Falla eléctrica"/>
    <s v="Esterilización "/>
    <x v="26"/>
    <s v="Se presenta un corte brusco de energia y el computador de autoclaves empieza a presentar falla y no da arranque, "/>
  </r>
  <r>
    <x v="266"/>
    <x v="1"/>
    <x v="0"/>
    <d v="1899-12-30T06:00:00"/>
    <d v="1899-12-30T10:31:00"/>
    <n v="4.5166666666666666"/>
    <x v="0"/>
    <x v="0"/>
    <s v="Falla mecánica"/>
    <s v="Planta generación de vapor"/>
    <x v="22"/>
    <s v="Limpieza, parrilla viajera fuera de funcionamiento"/>
  </r>
  <r>
    <x v="266"/>
    <x v="1"/>
    <x v="0"/>
    <d v="1899-12-30T13:14:00"/>
    <d v="1899-12-30T13:53:00"/>
    <n v="0.65"/>
    <x v="0"/>
    <x v="1"/>
    <s v="Falla operativa"/>
    <s v="Desfrutado"/>
    <x v="2"/>
    <s v="taponamiento de anillos"/>
  </r>
  <r>
    <x v="266"/>
    <x v="1"/>
    <x v="0"/>
    <d v="1899-12-30T04:20:00"/>
    <d v="1899-12-30T04:27:00"/>
    <n v="0.11666666666666667"/>
    <x v="0"/>
    <x v="1"/>
    <s v="Falla operativa"/>
    <s v="Desfrutado"/>
    <x v="2"/>
    <s v="taponamiento de anillos"/>
  </r>
  <r>
    <x v="267"/>
    <x v="1"/>
    <x v="0"/>
    <d v="1899-12-30T06:18:00"/>
    <d v="1899-12-30T11:28:00"/>
    <n v="5.166666666666667"/>
    <x v="0"/>
    <x v="0"/>
    <s v="Falla mecánica"/>
    <s v="Planta generación de vapor"/>
    <x v="22"/>
    <s v="Limpieza, parrilla viajera fuera de funcionamiento"/>
  </r>
  <r>
    <x v="267"/>
    <x v="1"/>
    <x v="0"/>
    <d v="1899-12-30T14:13:00"/>
    <d v="1899-12-30T14:23:00"/>
    <n v="0.16666666666666666"/>
    <x v="0"/>
    <x v="1"/>
    <s v="Falta Fruta esterilizada"/>
    <s v="Esterilización "/>
    <x v="18"/>
    <s v="Atraso, falta de fruta"/>
  </r>
  <r>
    <x v="267"/>
    <x v="1"/>
    <x v="0"/>
    <d v="1899-12-30T15:25:00"/>
    <d v="1899-12-30T15:46:00"/>
    <n v="0.35"/>
    <x v="0"/>
    <x v="1"/>
    <s v="Falta Fruta esterilizada"/>
    <s v="Esterilización "/>
    <x v="18"/>
    <s v="Atraso, falta de fruta"/>
  </r>
  <r>
    <x v="267"/>
    <x v="1"/>
    <x v="0"/>
    <d v="1899-12-30T21:46:00"/>
    <d v="1899-12-30T22:12:00"/>
    <n v="0.43333333333333335"/>
    <x v="0"/>
    <x v="1"/>
    <s v="Falta Fruta esterilizada"/>
    <s v="Esterilización "/>
    <x v="18"/>
    <s v="Atraso, falta de fruta"/>
  </r>
  <r>
    <x v="267"/>
    <x v="1"/>
    <x v="0"/>
    <d v="1899-12-30T01:02:00"/>
    <d v="1899-12-30T01:43:00"/>
    <n v="0.68333333333333335"/>
    <x v="0"/>
    <x v="0"/>
    <s v="Falla eléctrica"/>
    <s v="Planta generación energía electrica"/>
    <x v="51"/>
    <s v="Falta Energía Eléctrica"/>
  </r>
  <r>
    <x v="267"/>
    <x v="1"/>
    <x v="0"/>
    <d v="1899-12-30T03:12:00"/>
    <d v="1899-12-30T03:25:00"/>
    <n v="0.21666666666666667"/>
    <x v="0"/>
    <x v="0"/>
    <s v="Falla eléctrica"/>
    <s v="Planta generación energía electrica"/>
    <x v="51"/>
    <s v="Falta Energía Eléctrica"/>
  </r>
  <r>
    <x v="268"/>
    <x v="1"/>
    <x v="0"/>
    <d v="1899-12-30T07:00:00"/>
    <d v="1899-12-30T10:01:00"/>
    <n v="3.0166666666666666"/>
    <x v="0"/>
    <x v="0"/>
    <s v="Falla mecánica"/>
    <s v="Planta generación de vapor"/>
    <x v="22"/>
    <s v="Limpieza, parrilla viajera fuera de funcionamiento"/>
  </r>
  <r>
    <x v="268"/>
    <x v="1"/>
    <x v="0"/>
    <d v="1899-12-30T11:45:00"/>
    <d v="1899-12-30T12:15:00"/>
    <n v="0.5"/>
    <x v="0"/>
    <x v="0"/>
    <s v="Falla mecánica"/>
    <s v="Clarificación"/>
    <x v="37"/>
    <s v="Se rompe tubería"/>
  </r>
  <r>
    <x v="268"/>
    <x v="1"/>
    <x v="0"/>
    <d v="1899-12-30T14:38:00"/>
    <d v="1899-12-30T15:19:00"/>
    <n v="0.68333333333333335"/>
    <x v="0"/>
    <x v="0"/>
    <s v="Falla mecánica"/>
    <s v="Desfrutado"/>
    <x v="2"/>
    <s v="Se parte tornillo patin"/>
  </r>
  <r>
    <x v="269"/>
    <x v="1"/>
    <x v="0"/>
    <d v="1899-12-30T10:22:00"/>
    <d v="1899-12-30T10:25:00"/>
    <n v="0.05"/>
    <x v="0"/>
    <x v="3"/>
    <s v="Fluído eléctrico"/>
    <s v="Planta generación energía electrica"/>
    <x v="51"/>
    <s v="Fallas en el Fluido electrico"/>
  </r>
  <r>
    <x v="269"/>
    <x v="1"/>
    <x v="0"/>
    <d v="1899-12-30T20:15:00"/>
    <d v="1899-12-30T22:00:00"/>
    <n v="1.75"/>
    <x v="0"/>
    <x v="0"/>
    <s v="Falla mecánica"/>
    <s v="Planta generación de vapor"/>
    <x v="22"/>
    <s v="Limpieza, parrilla viajera fuera de funcionamiento"/>
  </r>
  <r>
    <x v="270"/>
    <x v="1"/>
    <x v="0"/>
    <d v="1899-12-30T04:05:00"/>
    <d v="1899-12-30T06:30:00"/>
    <n v="2.4166666666666665"/>
    <x v="0"/>
    <x v="0"/>
    <s v="Falla mecánica"/>
    <s v="Planta generación energía electrica"/>
    <x v="51"/>
    <s v="No funciona bien la planta, cambios de voltaje"/>
  </r>
  <r>
    <x v="271"/>
    <x v="1"/>
    <x v="0"/>
    <d v="1899-12-30T06:37:00"/>
    <d v="1899-12-30T16:35:00"/>
    <n v="9.9666666666666668"/>
    <x v="0"/>
    <x v="0"/>
    <s v="Falla mecánica"/>
    <s v="Planta generación energía electrica"/>
    <x v="51"/>
    <s v="No funciona bien la planta, cambios de voltaje"/>
  </r>
  <r>
    <x v="271"/>
    <x v="1"/>
    <x v="0"/>
    <d v="1899-12-30T21:15:00"/>
    <d v="1899-12-30T22:15:00"/>
    <n v="1"/>
    <x v="0"/>
    <x v="0"/>
    <s v="Falla mecánica"/>
    <s v="Esterilización "/>
    <x v="56"/>
    <s v="Se cae redler"/>
  </r>
  <r>
    <x v="271"/>
    <x v="1"/>
    <x v="0"/>
    <d v="1899-12-30T23:47:00"/>
    <d v="1899-12-31T00:32:00"/>
    <n v="0.75"/>
    <x v="0"/>
    <x v="0"/>
    <s v="Falla mecánica"/>
    <s v="Esterilización "/>
    <x v="56"/>
    <s v="Se cae redler"/>
  </r>
  <r>
    <x v="272"/>
    <x v="1"/>
    <x v="0"/>
    <d v="1899-12-30T02:52:00"/>
    <d v="1899-12-30T03:27:00"/>
    <n v="0.58333333333333337"/>
    <x v="0"/>
    <x v="1"/>
    <s v="Falla operativa"/>
    <s v="Desfrutado"/>
    <x v="2"/>
    <s v="taponamiento de anillos"/>
  </r>
  <r>
    <x v="273"/>
    <x v="1"/>
    <x v="0"/>
    <d v="1899-12-30T06:37:00"/>
    <d v="1899-12-30T09:31:00"/>
    <n v="2.9"/>
    <x v="0"/>
    <x v="0"/>
    <s v="Falla mecánica"/>
    <s v="Planta generación de vapor"/>
    <x v="22"/>
    <s v="Limpieza, parrilla viajera fuera de funcionamiento"/>
  </r>
  <r>
    <x v="273"/>
    <x v="1"/>
    <x v="0"/>
    <d v="1899-12-30T04:52:00"/>
    <d v="1899-12-30T05:05:00"/>
    <n v="0.21666666666666667"/>
    <x v="0"/>
    <x v="1"/>
    <s v="Falla operativa"/>
    <s v="Desfrutado"/>
    <x v="2"/>
    <s v="taponamiento de anillos"/>
  </r>
  <r>
    <x v="273"/>
    <x v="1"/>
    <x v="0"/>
    <d v="1899-12-30T05:15:00"/>
    <d v="1899-12-30T05:36:00"/>
    <n v="0.35"/>
    <x v="0"/>
    <x v="1"/>
    <s v="Falla operativa"/>
    <s v="Planta generación de vapor"/>
    <x v="9"/>
    <s v="Taponamiento"/>
  </r>
  <r>
    <x v="274"/>
    <x v="1"/>
    <x v="0"/>
    <d v="1899-12-30T06:37:00"/>
    <d v="1899-12-30T09:32:00"/>
    <n v="2.9166666666666665"/>
    <x v="0"/>
    <x v="0"/>
    <s v="Falla mecánica"/>
    <s v="Planta generación de vapor"/>
    <x v="22"/>
    <s v="Limpieza, parrilla viajera fuera de funcionamiento"/>
  </r>
  <r>
    <x v="274"/>
    <x v="1"/>
    <x v="0"/>
    <d v="1899-12-30T16:50:00"/>
    <d v="1899-12-30T17:35:00"/>
    <n v="0.75"/>
    <x v="0"/>
    <x v="1"/>
    <s v="Falla operativa"/>
    <s v="Digestión y prensado"/>
    <x v="13"/>
    <s v="Tornillo se atasca"/>
  </r>
  <r>
    <x v="274"/>
    <x v="1"/>
    <x v="0"/>
    <d v="1899-12-30T23:10:00"/>
    <d v="1900-01-02T01:22:00"/>
    <n v="2.2000000000000002"/>
    <x v="0"/>
    <x v="0"/>
    <s v="Falla mecánica"/>
    <s v="Desfrutado"/>
    <x v="8"/>
    <s v="Se desencadena, piñon desgastado"/>
  </r>
  <r>
    <x v="275"/>
    <x v="1"/>
    <x v="0"/>
    <d v="1899-12-30T14:40:00"/>
    <d v="1899-12-30T16:00:00"/>
    <n v="1.3333333333333333"/>
    <x v="0"/>
    <x v="0"/>
    <s v="Falla mecánica"/>
    <s v="Planta generación de vapor"/>
    <x v="22"/>
    <s v="Limpieza, parrilla viajera fuera de funcionamiento"/>
  </r>
  <r>
    <x v="275"/>
    <x v="1"/>
    <x v="0"/>
    <d v="1899-12-30T06:35:00"/>
    <d v="1899-12-30T07:50:00"/>
    <n v="1.25"/>
    <x v="0"/>
    <x v="0"/>
    <s v="Falla eléctrica"/>
    <s v="Planta generación energía electrica"/>
    <x v="51"/>
    <s v="Planta electrica no funcionó"/>
  </r>
  <r>
    <x v="276"/>
    <x v="1"/>
    <x v="0"/>
    <d v="1899-12-30T08:00:00"/>
    <d v="1899-12-30T09:00:00"/>
    <n v="1"/>
    <x v="0"/>
    <x v="1"/>
    <s v="Falla operativa"/>
    <s v="Desfrutado"/>
    <x v="1"/>
    <s v="Taponamiento"/>
  </r>
  <r>
    <x v="277"/>
    <x v="1"/>
    <x v="0"/>
    <d v="1899-12-30T06:00:00"/>
    <d v="1899-12-30T10:25:00"/>
    <n v="4.416666666666667"/>
    <x v="0"/>
    <x v="0"/>
    <s v="Falla mecánica"/>
    <s v="Planta generación de vapor"/>
    <x v="22"/>
    <s v="Limpieza, parrilla viajera fuera de funcionamiento"/>
  </r>
  <r>
    <x v="277"/>
    <x v="1"/>
    <x v="0"/>
    <d v="1899-12-30T10:39:00"/>
    <d v="1899-12-30T11:06:00"/>
    <n v="0.45"/>
    <x v="0"/>
    <x v="1"/>
    <s v="Falla operativa"/>
    <s v="Planta generación de vapor"/>
    <x v="9"/>
    <s v="taponamiento en el transportador"/>
  </r>
  <r>
    <x v="277"/>
    <x v="1"/>
    <x v="0"/>
    <d v="1899-12-30T13:00:00"/>
    <d v="1899-12-30T16:40:00"/>
    <n v="3.6666666666666665"/>
    <x v="0"/>
    <x v="0"/>
    <s v="Falla mecánica"/>
    <s v="Planta generación energía electrica"/>
    <x v="51"/>
    <s v="No funciona bien la planta, cambios de voltaje"/>
  </r>
  <r>
    <x v="277"/>
    <x v="1"/>
    <x v="0"/>
    <d v="1899-12-30T21:48:00"/>
    <d v="1899-12-30T22:08:00"/>
    <n v="0.33333333333333331"/>
    <x v="0"/>
    <x v="1"/>
    <s v="Falla operativa"/>
    <s v="Planta generación de vapor"/>
    <x v="9"/>
    <s v="taponamiento en el transportador"/>
  </r>
  <r>
    <x v="277"/>
    <x v="1"/>
    <x v="0"/>
    <d v="1899-12-30T03:46:00"/>
    <d v="1899-12-30T04:11:00"/>
    <n v="0.41666666666666669"/>
    <x v="0"/>
    <x v="1"/>
    <s v="Falla operativa"/>
    <s v="Clarificación"/>
    <x v="48"/>
    <s v="centrifuga tapadas"/>
  </r>
  <r>
    <x v="278"/>
    <x v="1"/>
    <x v="0"/>
    <d v="1899-12-30T06:19:00"/>
    <d v="1899-12-30T10:08:00"/>
    <n v="3.8166666666666664"/>
    <x v="0"/>
    <x v="0"/>
    <s v="Falla mecánica"/>
    <s v="Planta generación de vapor"/>
    <x v="22"/>
    <s v="Limpieza, parrilla viajera fuera de funcionamiento"/>
  </r>
  <r>
    <x v="278"/>
    <x v="1"/>
    <x v="0"/>
    <d v="1899-12-30T12:09:00"/>
    <d v="1899-12-30T12:19:00"/>
    <n v="0.16666666666666666"/>
    <x v="0"/>
    <x v="0"/>
    <s v="Falla mecánica"/>
    <s v="Digestión y prensado"/>
    <x v="13"/>
    <s v="Falla electrica en la unidad"/>
  </r>
  <r>
    <x v="278"/>
    <x v="1"/>
    <x v="0"/>
    <d v="1899-12-30T22:21:00"/>
    <d v="1899-12-30T22:42:00"/>
    <n v="0.35"/>
    <x v="0"/>
    <x v="1"/>
    <s v="Falla operativa"/>
    <s v="Clarificación"/>
    <x v="48"/>
    <s v="centrifuga tapadas"/>
  </r>
  <r>
    <x v="278"/>
    <x v="1"/>
    <x v="0"/>
    <d v="1899-12-30T02:51:00"/>
    <d v="1899-12-30T03:01:00"/>
    <n v="0.16666666666666666"/>
    <x v="0"/>
    <x v="0"/>
    <s v="Falla mecánica"/>
    <s v="Planta generación de vapor"/>
    <x v="9"/>
    <s v="revisando el motor del transportador"/>
  </r>
  <r>
    <x v="278"/>
    <x v="1"/>
    <x v="0"/>
    <d v="1899-12-30T03:06:00"/>
    <d v="1899-12-30T03:29:00"/>
    <n v="0.38333333333333336"/>
    <x v="0"/>
    <x v="0"/>
    <s v="Falla mecánica"/>
    <s v="Desfrutado"/>
    <x v="18"/>
    <s v="Se monto la cadena"/>
  </r>
  <r>
    <x v="279"/>
    <x v="1"/>
    <x v="0"/>
    <d v="1899-12-30T07:03:00"/>
    <d v="1899-12-30T11:32:00"/>
    <n v="4.4833333333333334"/>
    <x v="0"/>
    <x v="1"/>
    <s v="Falla operativa"/>
    <s v="Planta generación de vapor"/>
    <x v="9"/>
    <s v="taponamiento en el transportador"/>
  </r>
  <r>
    <x v="279"/>
    <x v="1"/>
    <x v="0"/>
    <d v="1899-12-30T05:30:00"/>
    <d v="1899-12-30T06:00:00"/>
    <n v="0.5"/>
    <x v="0"/>
    <x v="0"/>
    <s v="Falla mecánica"/>
    <s v="Planta generación de vapor"/>
    <x v="22"/>
    <s v="Limpieza, parrilla viajera fuera de funcionamiento"/>
  </r>
  <r>
    <x v="280"/>
    <x v="1"/>
    <x v="0"/>
    <d v="1899-12-30T12:00:00"/>
    <d v="1899-12-30T15:52:00"/>
    <n v="3.8666666666666667"/>
    <x v="0"/>
    <x v="0"/>
    <s v="Falla mecánica"/>
    <s v="Planta generación de vapor"/>
    <x v="22"/>
    <s v="Reparacion de la parrilla viajera"/>
  </r>
  <r>
    <x v="280"/>
    <x v="1"/>
    <x v="0"/>
    <d v="1899-12-30T23:41:00"/>
    <d v="1899-12-31T00:00:00"/>
    <n v="0.31666666666666665"/>
    <x v="0"/>
    <x v="1"/>
    <s v="Falla operativa"/>
    <s v="Esterilización "/>
    <x v="32"/>
    <s v="Descarga de fruto crudo en vagoneta llena con fruto cocido"/>
  </r>
  <r>
    <x v="280"/>
    <x v="1"/>
    <x v="0"/>
    <d v="1899-12-30T00:00:00"/>
    <d v="1899-12-30T01:11:00"/>
    <n v="1.1833333333333333"/>
    <x v="0"/>
    <x v="1"/>
    <s v="Falla operativa"/>
    <s v="Esterilización "/>
    <x v="32"/>
    <s v="Descarga de fruto crudo en vagoneta llena con fruto cocido"/>
  </r>
  <r>
    <x v="280"/>
    <x v="1"/>
    <x v="0"/>
    <d v="1899-12-30T03:24:00"/>
    <d v="1899-12-30T05:55:00"/>
    <n v="2.5166666666666666"/>
    <x v="0"/>
    <x v="0"/>
    <s v="Falla mecánica"/>
    <s v="Digestión y prensado"/>
    <x v="28"/>
    <s v="daño en el motor"/>
  </r>
  <r>
    <x v="281"/>
    <x v="1"/>
    <x v="0"/>
    <d v="1899-12-30T15:25:00"/>
    <d v="1899-12-30T15:50:00"/>
    <n v="0.41666666666666669"/>
    <x v="0"/>
    <x v="0"/>
    <s v="Falla mecánica"/>
    <s v="Esterilización "/>
    <x v="44"/>
    <s v="Rodamiento de Vagoneta"/>
  </r>
  <r>
    <x v="281"/>
    <x v="1"/>
    <x v="0"/>
    <d v="1899-12-30T23:17:00"/>
    <d v="1899-12-30T23:55:00"/>
    <n v="0.6333333333333333"/>
    <x v="0"/>
    <x v="0"/>
    <s v="Falla mecánica"/>
    <s v="Esterilización "/>
    <x v="44"/>
    <s v="se descarrila vagoneta"/>
  </r>
  <r>
    <x v="282"/>
    <x v="1"/>
    <x v="0"/>
    <d v="1899-12-30T06:50:00"/>
    <d v="1899-12-30T07:30:00"/>
    <n v="0.66666666666666663"/>
    <x v="0"/>
    <x v="0"/>
    <s v="Falla mecánica"/>
    <s v="Clarificación"/>
    <x v="20"/>
    <s v="Bomba botó la cuña"/>
  </r>
  <r>
    <x v="282"/>
    <x v="1"/>
    <x v="0"/>
    <d v="1899-12-30T14:30:00"/>
    <d v="1899-12-30T16:00:00"/>
    <n v="1.5"/>
    <x v="0"/>
    <x v="0"/>
    <s v="Falla mecánica"/>
    <s v="Desfrutado"/>
    <x v="8"/>
    <s v="Se desencadena, piñon desgastado"/>
  </r>
  <r>
    <x v="282"/>
    <x v="1"/>
    <x v="0"/>
    <d v="1899-12-30T18:49:00"/>
    <d v="1899-12-30T19:50:00"/>
    <n v="1.0166666666666666"/>
    <x v="0"/>
    <x v="0"/>
    <s v="Falla mecánica"/>
    <s v="Esterilización "/>
    <x v="14"/>
    <s v="Se parte la cadena"/>
  </r>
  <r>
    <x v="282"/>
    <x v="1"/>
    <x v="0"/>
    <d v="1899-12-30T02:30:00"/>
    <d v="1899-12-30T03:03:00"/>
    <n v="0.55000000000000004"/>
    <x v="0"/>
    <x v="0"/>
    <s v="Falla mecánica"/>
    <s v="Planta generación energía electrica"/>
    <x v="51"/>
    <s v="fuera de servicio"/>
  </r>
  <r>
    <x v="282"/>
    <x v="1"/>
    <x v="0"/>
    <d v="1899-12-30T04:20:00"/>
    <d v="1899-12-30T06:00:00"/>
    <n v="1.6666666666666665"/>
    <x v="0"/>
    <x v="0"/>
    <s v="Falla mecánica"/>
    <s v="Planta generación energía electrica"/>
    <x v="51"/>
    <s v="fuera de servicio"/>
  </r>
  <r>
    <x v="283"/>
    <x v="1"/>
    <x v="0"/>
    <d v="1899-12-30T08:45:00"/>
    <d v="1899-12-30T08:57:00"/>
    <n v="0.2"/>
    <x v="0"/>
    <x v="0"/>
    <s v="Falla eléctrica"/>
    <s v="Desfibración"/>
    <x v="0"/>
    <s v="corte de fluido electrico"/>
  </r>
  <r>
    <x v="283"/>
    <x v="1"/>
    <x v="0"/>
    <d v="1899-12-30T14:24:00"/>
    <d v="1899-12-30T14:39:00"/>
    <n v="0.25"/>
    <x v="0"/>
    <x v="0"/>
    <s v="Falla mecánica"/>
    <s v="Clarificación"/>
    <x v="39"/>
    <s v="Se sale la cuña del acople de la bomba"/>
  </r>
  <r>
    <x v="283"/>
    <x v="1"/>
    <x v="0"/>
    <d v="1899-12-30T23:01:00"/>
    <d v="1899-12-30T23:27:00"/>
    <n v="0.43333333333333335"/>
    <x v="0"/>
    <x v="0"/>
    <s v="Falla mecánica"/>
    <s v="Clarificación"/>
    <x v="39"/>
    <s v="Se sale la cuña del acople de la bomba"/>
  </r>
  <r>
    <x v="283"/>
    <x v="1"/>
    <x v="0"/>
    <d v="1899-12-30T23:27:00"/>
    <d v="1899-12-31T00:00:00"/>
    <n v="0.55000000000000004"/>
    <x v="0"/>
    <x v="0"/>
    <s v="Falla mecánica"/>
    <s v="Planta generación energía electrica"/>
    <x v="51"/>
    <s v="fuera de servicio"/>
  </r>
  <r>
    <x v="283"/>
    <x v="1"/>
    <x v="0"/>
    <d v="1899-12-30T00:00:00"/>
    <d v="1899-12-30T00:21:00"/>
    <n v="0.35"/>
    <x v="0"/>
    <x v="0"/>
    <s v="Falla mecánica"/>
    <s v="Planta generación energía electrica"/>
    <x v="51"/>
    <s v="fuera de servicio"/>
  </r>
  <r>
    <x v="283"/>
    <x v="1"/>
    <x v="0"/>
    <d v="1899-12-30T02:30:00"/>
    <d v="1899-12-30T03:05:00"/>
    <n v="0.58333333333333337"/>
    <x v="0"/>
    <x v="0"/>
    <s v="Falla mecánica"/>
    <s v="Esterilización "/>
    <x v="14"/>
    <s v="Se atrasa proceso."/>
  </r>
  <r>
    <x v="283"/>
    <x v="1"/>
    <x v="0"/>
    <d v="1899-12-30T04:20:00"/>
    <d v="1899-12-30T06:00:00"/>
    <n v="1.6666666666666665"/>
    <x v="0"/>
    <x v="3"/>
    <s v="Fluído eléctrico"/>
    <s v="Planta generación energía electrica"/>
    <x v="51"/>
    <s v="Inyectores en mantenimiento."/>
  </r>
  <r>
    <x v="284"/>
    <x v="1"/>
    <x v="0"/>
    <d v="1899-12-30T14:00:00"/>
    <d v="1899-12-30T15:00:00"/>
    <n v="1"/>
    <x v="0"/>
    <x v="0"/>
    <s v="Falla mecánica"/>
    <s v="Planta generación de vapor"/>
    <x v="40"/>
    <s v="Mientras coordinaban el cambio de valvula moduladora , que al fin no se ejecuto"/>
  </r>
  <r>
    <x v="284"/>
    <x v="1"/>
    <x v="0"/>
    <d v="1899-12-30T15:00:00"/>
    <d v="1899-12-30T16:50:00"/>
    <n v="1.8333333333333335"/>
    <x v="1"/>
    <x v="2"/>
    <s v="Arranque planta"/>
    <s v="Planta general"/>
    <x v="5"/>
    <s v="arranque de proceso"/>
  </r>
  <r>
    <x v="284"/>
    <x v="1"/>
    <x v="0"/>
    <d v="1899-12-30T20:20:00"/>
    <d v="1899-12-30T20:31:00"/>
    <n v="0.18333333333333332"/>
    <x v="0"/>
    <x v="0"/>
    <s v="Falla mecánica"/>
    <s v="Planta generación energía electrica"/>
    <x v="51"/>
    <s v="fuera de servicio"/>
  </r>
  <r>
    <x v="284"/>
    <x v="1"/>
    <x v="0"/>
    <d v="1899-12-30T20:43:00"/>
    <d v="1899-12-30T20:56:00"/>
    <n v="0.21666666666666667"/>
    <x v="0"/>
    <x v="0"/>
    <s v="Falla mecánica"/>
    <s v="Clarificación"/>
    <x v="39"/>
    <s v="Se sale la cuña del acople de la bomba"/>
  </r>
  <r>
    <x v="284"/>
    <x v="1"/>
    <x v="0"/>
    <d v="1899-12-30T22:10:00"/>
    <d v="1899-12-30T22:49:00"/>
    <n v="0.65"/>
    <x v="0"/>
    <x v="0"/>
    <s v="Falla mecánica"/>
    <s v="Clarificación"/>
    <x v="39"/>
    <s v="Se sale la cuña del acople de la bomba"/>
  </r>
  <r>
    <x v="284"/>
    <x v="1"/>
    <x v="0"/>
    <d v="1899-12-30T03:05:00"/>
    <d v="1899-12-30T03:30:00"/>
    <n v="0.41666666666666669"/>
    <x v="0"/>
    <x v="1"/>
    <s v="Falla operativa"/>
    <s v="Desfrutado"/>
    <x v="2"/>
    <s v="anillo tapado "/>
  </r>
  <r>
    <x v="285"/>
    <x v="1"/>
    <x v="0"/>
    <d v="1899-12-30T07:00:00"/>
    <d v="1899-12-30T07:31:00"/>
    <n v="0.51666666666666672"/>
    <x v="0"/>
    <x v="0"/>
    <s v="Falla mecánica"/>
    <s v="Esterilización "/>
    <x v="18"/>
    <s v="se partio la cadena"/>
  </r>
  <r>
    <x v="285"/>
    <x v="1"/>
    <x v="0"/>
    <d v="1899-12-30T09:20:00"/>
    <d v="1899-12-30T10:31:00"/>
    <n v="1.1833333333333333"/>
    <x v="0"/>
    <x v="0"/>
    <s v="Falla mecánica"/>
    <s v="Esterilización "/>
    <x v="32"/>
    <s v="Parchar tubo de 4&quot; "/>
  </r>
  <r>
    <x v="285"/>
    <x v="1"/>
    <x v="0"/>
    <d v="1899-12-30T11:40:00"/>
    <d v="1899-12-30T12:40:00"/>
    <n v="1"/>
    <x v="0"/>
    <x v="0"/>
    <s v="Falla mecánica"/>
    <s v="Esterilización "/>
    <x v="56"/>
    <s v="Se le caen traviesas al redler"/>
  </r>
  <r>
    <x v="285"/>
    <x v="1"/>
    <x v="0"/>
    <d v="1899-12-30T18:17:00"/>
    <d v="1899-12-30T19:03:00"/>
    <n v="0.76666666666666672"/>
    <x v="0"/>
    <x v="0"/>
    <s v="Falla mecánica"/>
    <s v="Desfrutado"/>
    <x v="14"/>
    <s v="Se desencadena el redler"/>
  </r>
  <r>
    <x v="285"/>
    <x v="1"/>
    <x v="0"/>
    <d v="1899-12-30T19:45:00"/>
    <d v="1899-12-30T21:08:00"/>
    <n v="1.3833333333333333"/>
    <x v="0"/>
    <x v="0"/>
    <s v="Falla mecánica"/>
    <s v="Desfrutado"/>
    <x v="18"/>
    <s v="Se desencadena el redler"/>
  </r>
  <r>
    <x v="285"/>
    <x v="1"/>
    <x v="0"/>
    <d v="1899-12-30T11:02:00"/>
    <d v="1899-12-30T11:54:00"/>
    <n v="0.8666666666666667"/>
    <x v="0"/>
    <x v="0"/>
    <s v="Falla eléctrica"/>
    <s v="Clarificación"/>
    <x v="55"/>
    <s v="corto circuito en la acometida del motor"/>
  </r>
  <r>
    <x v="286"/>
    <x v="1"/>
    <x v="0"/>
    <d v="1899-12-30T07:40:00"/>
    <d v="1899-12-30T08:46:00"/>
    <n v="1.1000000000000001"/>
    <x v="0"/>
    <x v="0"/>
    <s v="Falla mecánica"/>
    <s v="Esterilización "/>
    <x v="18"/>
    <s v="Se salieron los rodamientos de los piñones conducidos"/>
  </r>
  <r>
    <x v="286"/>
    <x v="1"/>
    <x v="0"/>
    <d v="1899-12-30T10:00:00"/>
    <d v="1899-12-30T10:51:00"/>
    <n v="0.85"/>
    <x v="0"/>
    <x v="0"/>
    <s v="Falla mecánica"/>
    <s v="Recepción"/>
    <x v="7"/>
    <s v="se salio la cadena del piñon conductor"/>
  </r>
  <r>
    <x v="286"/>
    <x v="1"/>
    <x v="0"/>
    <d v="1899-12-30T14:20:00"/>
    <d v="1899-12-30T14:40:00"/>
    <n v="0.33333333333333331"/>
    <x v="0"/>
    <x v="0"/>
    <s v="Falla mecánica"/>
    <s v="Esterilización "/>
    <x v="44"/>
    <s v=" se descarrila la vagoneta"/>
  </r>
  <r>
    <x v="286"/>
    <x v="1"/>
    <x v="0"/>
    <d v="1899-12-30T14:40:00"/>
    <d v="1899-12-30T15:57:00"/>
    <n v="1.2833333333333332"/>
    <x v="0"/>
    <x v="0"/>
    <s v="Falla mecánica"/>
    <s v="Esterilización "/>
    <x v="14"/>
    <s v="Se para la desfrutadora para pegar cadena del redler de fruto esterilizado #1"/>
  </r>
  <r>
    <x v="286"/>
    <x v="1"/>
    <x v="0"/>
    <d v="1899-12-30T17:20:00"/>
    <d v="1899-12-30T20:00:00"/>
    <n v="2.6666666666666665"/>
    <x v="0"/>
    <x v="0"/>
    <s v="Falla mecánica"/>
    <s v="Desfrutado"/>
    <x v="8"/>
    <s v="Fractura platina de la cadena del elevador"/>
  </r>
  <r>
    <x v="286"/>
    <x v="1"/>
    <x v="0"/>
    <d v="1899-12-30T23:23:00"/>
    <d v="1899-12-31T00:00:00"/>
    <n v="0.6166666666666667"/>
    <x v="0"/>
    <x v="0"/>
    <s v="Falla mecánica"/>
    <s v="Recepción"/>
    <x v="56"/>
    <s v="se cae cadena del redler de las guias."/>
  </r>
  <r>
    <x v="286"/>
    <x v="1"/>
    <x v="0"/>
    <d v="1899-12-30T00:00:00"/>
    <d v="1899-12-30T01:30:00"/>
    <n v="1.5"/>
    <x v="0"/>
    <x v="0"/>
    <s v="Falla mecánica"/>
    <s v="Recepción"/>
    <x v="56"/>
    <s v="se cae cadena del redler de las guias."/>
  </r>
  <r>
    <x v="286"/>
    <x v="1"/>
    <x v="0"/>
    <d v="1899-12-30T01:30:00"/>
    <d v="1899-12-30T06:00:00"/>
    <n v="4.5"/>
    <x v="0"/>
    <x v="0"/>
    <s v="Falla mecánica"/>
    <s v="Planta generación energía electrica"/>
    <x v="51"/>
    <s v="fuera de servicio"/>
  </r>
  <r>
    <x v="287"/>
    <x v="1"/>
    <x v="1"/>
    <d v="1899-12-30T06:00:00"/>
    <d v="1899-12-30T15:02:00"/>
    <n v="9.0333333333333332"/>
    <x v="0"/>
    <x v="0"/>
    <s v="Falla mecánica"/>
    <s v="Recepción"/>
    <x v="56"/>
    <s v="se cae cadena del redler de las guias."/>
  </r>
  <r>
    <x v="287"/>
    <x v="1"/>
    <x v="1"/>
    <d v="1899-12-30T05:00:00"/>
    <d v="1899-12-30T05:25:00"/>
    <n v="0.41666666666666669"/>
    <x v="0"/>
    <x v="1"/>
    <s v="Falla operativa"/>
    <s v="Desfrutado"/>
    <x v="2"/>
    <s v="anillo tapado "/>
  </r>
  <r>
    <x v="288"/>
    <x v="1"/>
    <x v="1"/>
    <d v="1899-12-30T09:20:00"/>
    <d v="1899-12-30T09:56:00"/>
    <n v="0.6"/>
    <x v="0"/>
    <x v="0"/>
    <s v="Falla mecánica"/>
    <s v="Esterilización "/>
    <x v="44"/>
    <s v="Se descarrila vagoneta de la linea N°2"/>
  </r>
  <r>
    <x v="288"/>
    <x v="1"/>
    <x v="1"/>
    <d v="1899-12-30T11:27:00"/>
    <d v="1899-12-30T12:25:00"/>
    <n v="0.96666666666666667"/>
    <x v="0"/>
    <x v="0"/>
    <s v="Falla mecánica"/>
    <s v="Recepción"/>
    <x v="7"/>
    <s v="Se descadena redler principal"/>
  </r>
  <r>
    <x v="288"/>
    <x v="1"/>
    <x v="1"/>
    <d v="1899-12-30T17:30:00"/>
    <d v="1899-12-30T18:51:00"/>
    <n v="1.35"/>
    <x v="0"/>
    <x v="1"/>
    <s v="Falla operativa"/>
    <s v="Planta generación de vapor"/>
    <x v="9"/>
    <s v="Se tapa sin fin y se cae la presión."/>
  </r>
  <r>
    <x v="289"/>
    <x v="1"/>
    <x v="1"/>
    <d v="1899-12-30T06:00:00"/>
    <d v="1899-12-30T10:31:00"/>
    <n v="4.5166666666666666"/>
    <x v="0"/>
    <x v="0"/>
    <s v="Falla mecánica"/>
    <s v="Recepción"/>
    <x v="7"/>
    <s v="Se descadena y se incrusta piñon en babero, se elimina babero."/>
  </r>
  <r>
    <x v="289"/>
    <x v="1"/>
    <x v="1"/>
    <d v="1899-12-30T13:51:00"/>
    <d v="1899-12-30T14:05:00"/>
    <n v="0.23333333333333334"/>
    <x v="0"/>
    <x v="0"/>
    <s v="Falla mecánica"/>
    <s v="Desfibración"/>
    <x v="0"/>
    <s v="Cambio de paletas"/>
  </r>
  <r>
    <x v="289"/>
    <x v="1"/>
    <x v="1"/>
    <d v="1899-12-30T16:40:00"/>
    <d v="1899-12-30T16:57:00"/>
    <n v="0.28333333333333333"/>
    <x v="0"/>
    <x v="0"/>
    <s v="Falla mecánica"/>
    <s v="Clarificación"/>
    <x v="39"/>
    <s v="Bomba botó la cuña"/>
  </r>
  <r>
    <x v="290"/>
    <x v="1"/>
    <x v="1"/>
    <d v="1899-12-30T16:01:00"/>
    <d v="1899-12-30T16:11:00"/>
    <n v="0.16666666666666666"/>
    <x v="1"/>
    <x v="2"/>
    <s v="Fluído eléctrico"/>
    <s v="Planta general"/>
    <x v="5"/>
    <s v="Falla red externa de energia y planta en mantenimiento inyectores."/>
  </r>
  <r>
    <x v="290"/>
    <x v="1"/>
    <x v="1"/>
    <d v="1899-12-30T09:34:00"/>
    <d v="1899-12-30T10:26:00"/>
    <n v="0.8666666666666667"/>
    <x v="0"/>
    <x v="0"/>
    <s v="Falla mecánica"/>
    <s v="Esterilización "/>
    <x v="44"/>
    <s v="vagoneta de la linea N°2 se descarrila"/>
  </r>
  <r>
    <x v="291"/>
    <x v="1"/>
    <x v="1"/>
    <d v="1899-12-30T08:27:00"/>
    <d v="1899-12-30T09:04:00"/>
    <n v="0.6166666666666667"/>
    <x v="1"/>
    <x v="2"/>
    <s v="Fluído eléctrico"/>
    <s v="Planta general"/>
    <x v="5"/>
    <s v="Falla red externa de energia y se enciende planta"/>
  </r>
  <r>
    <x v="291"/>
    <x v="1"/>
    <x v="1"/>
    <d v="1899-12-30T14:01:00"/>
    <d v="1899-12-30T17:19:00"/>
    <n v="3.3"/>
    <x v="0"/>
    <x v="0"/>
    <s v="Falla mecánica"/>
    <s v="Esterilización "/>
    <x v="68"/>
    <s v="Se parte racor, se solda y se habilita"/>
  </r>
  <r>
    <x v="291"/>
    <x v="1"/>
    <x v="1"/>
    <d v="1899-12-30T04:10:00"/>
    <d v="1899-12-30T04:34:00"/>
    <n v="0.4"/>
    <x v="0"/>
    <x v="0"/>
    <s v="Falla mecánica"/>
    <s v="Palmistería"/>
    <x v="72"/>
    <s v="Se suelta pista del patin trasero del tambor pulidor se solda y se habilita"/>
  </r>
  <r>
    <x v="292"/>
    <x v="1"/>
    <x v="1"/>
    <d v="1899-12-30T07:11:00"/>
    <d v="1899-12-30T09:17:00"/>
    <n v="2.1"/>
    <x v="0"/>
    <x v="3"/>
    <s v="Falta de fruta fresca"/>
    <s v="Planta general"/>
    <x v="5"/>
    <s v="Sin RFF en tolva"/>
  </r>
  <r>
    <x v="292"/>
    <x v="1"/>
    <x v="1"/>
    <d v="1899-12-30T14:30:00"/>
    <d v="1899-12-30T16:36:00"/>
    <n v="2.1"/>
    <x v="0"/>
    <x v="0"/>
    <s v="Falla mecánica"/>
    <s v="Esterilización "/>
    <x v="44"/>
    <s v="Se descarrila dentro de la autoclave."/>
  </r>
  <r>
    <x v="292"/>
    <x v="1"/>
    <x v="1"/>
    <d v="1899-12-30T06:52:00"/>
    <d v="1899-12-30T08:20:00"/>
    <n v="1.4666666666666668"/>
    <x v="0"/>
    <x v="0"/>
    <s v="Falla mecánica"/>
    <s v="Esterilización "/>
    <x v="44"/>
    <s v="Se descarrila dentro de la autoclave."/>
  </r>
  <r>
    <x v="292"/>
    <x v="1"/>
    <x v="1"/>
    <d v="1899-12-30T02:58:00"/>
    <d v="1899-12-30T03:30:00"/>
    <n v="0.53333333333333333"/>
    <x v="0"/>
    <x v="0"/>
    <s v="Falla mecánica"/>
    <s v="Esterilización "/>
    <x v="44"/>
    <s v="Se descarrila en riel"/>
  </r>
  <r>
    <x v="293"/>
    <x v="1"/>
    <x v="1"/>
    <d v="1899-12-30T06:22:00"/>
    <d v="1899-12-30T07:32:00"/>
    <n v="1.1666666666666667"/>
    <x v="1"/>
    <x v="2"/>
    <s v="Capacitaciones"/>
    <s v="Planta general"/>
    <x v="5"/>
    <s v="Talento interviene a capacitación y llamado de atención todod el personal"/>
  </r>
  <r>
    <x v="293"/>
    <x v="1"/>
    <x v="1"/>
    <d v="1899-12-30T04:16:00"/>
    <d v="1899-12-30T06:20:00"/>
    <n v="2.0666666666666669"/>
    <x v="0"/>
    <x v="0"/>
    <s v="Falla mecánica"/>
    <s v="Esterilización "/>
    <x v="44"/>
    <s v="Se descarrila saliendo del tambor de volteo"/>
  </r>
  <r>
    <x v="294"/>
    <x v="1"/>
    <x v="1"/>
    <d v="1899-12-30T01:02:00"/>
    <d v="1899-12-30T05:32:00"/>
    <n v="4.5"/>
    <x v="0"/>
    <x v="0"/>
    <s v="Falla mecánica"/>
    <s v="Esterilización "/>
    <x v="44"/>
    <s v="Se descarrila saliendo del tambor de volteo"/>
  </r>
  <r>
    <x v="294"/>
    <x v="1"/>
    <x v="1"/>
    <d v="1899-12-30T04:01:00"/>
    <d v="1899-12-30T04:42:00"/>
    <n v="0.68333333333333335"/>
    <x v="0"/>
    <x v="0"/>
    <s v="Falla mecánica"/>
    <s v="Esterilización "/>
    <x v="44"/>
    <s v="Se descarrila saliendo del tambor de volteo"/>
  </r>
  <r>
    <x v="295"/>
    <x v="1"/>
    <x v="1"/>
    <d v="1899-12-30T11:45:00"/>
    <d v="1899-12-30T12:52:00"/>
    <n v="1.1166666666666667"/>
    <x v="0"/>
    <x v="0"/>
    <s v="Falla mecánica"/>
    <s v="Recepción"/>
    <x v="7"/>
    <s v="Se rompe fusible del hidroflow del equipo, se cambia y se habilita."/>
  </r>
  <r>
    <x v="295"/>
    <x v="1"/>
    <x v="1"/>
    <d v="1899-12-30T04:28:00"/>
    <d v="1899-12-30T04:53:00"/>
    <n v="0.41666666666666669"/>
    <x v="0"/>
    <x v="0"/>
    <s v="Falla mecánica"/>
    <s v="Esterilización "/>
    <x v="12"/>
    <s v="Se parte anillo pista del patin tracero, se solda y se habilita"/>
  </r>
  <r>
    <x v="295"/>
    <x v="1"/>
    <x v="1"/>
    <d v="1899-12-30T21:09:00"/>
    <d v="1899-12-30T22:47:00"/>
    <n v="1.6333333333333333"/>
    <x v="0"/>
    <x v="0"/>
    <s v="Falla mecánica"/>
    <s v="Esterilización "/>
    <x v="44"/>
    <s v="Se descarrila"/>
  </r>
  <r>
    <x v="296"/>
    <x v="1"/>
    <x v="1"/>
    <d v="1899-12-30T12:05:00"/>
    <d v="1899-12-30T14:02:00"/>
    <n v="1.95"/>
    <x v="0"/>
    <x v="0"/>
    <s v="Falla mecánica"/>
    <s v="Esterilización "/>
    <x v="44"/>
    <s v="Se parte chumacera del troque central, se cambia por una chumacera reconstruida"/>
  </r>
  <r>
    <x v="296"/>
    <x v="1"/>
    <x v="1"/>
    <d v="1899-12-30T16:25:00"/>
    <d v="1899-12-31T00:30:00"/>
    <n v="8.0833333333333339"/>
    <x v="0"/>
    <x v="0"/>
    <s v="Falla mecánica"/>
    <s v="Desfrutado"/>
    <x v="8"/>
    <s v="Se parte cadena y se cae en su totalidad"/>
  </r>
  <r>
    <x v="296"/>
    <x v="1"/>
    <x v="1"/>
    <d v="1899-12-30T04:00:00"/>
    <d v="1899-12-30T06:00:00"/>
    <n v="2"/>
    <x v="0"/>
    <x v="0"/>
    <s v="Falla mecánica"/>
    <s v="Planta generación de vapor"/>
    <x v="59"/>
    <s v="Se parte pin y se cae pinston del bastago que cierra el paso en la valvula del distibuidor, se apaga caldera, se cambia por muñeco y se trabaja valvula manual."/>
  </r>
  <r>
    <x v="297"/>
    <x v="1"/>
    <x v="1"/>
    <d v="1899-12-30T06:00:00"/>
    <d v="1899-12-30T11:10:00"/>
    <n v="5.166666666666667"/>
    <x v="0"/>
    <x v="0"/>
    <s v="Falla mecánica"/>
    <s v="Planta generación de vapor"/>
    <x v="59"/>
    <s v="Se parte pin y se cae pinston del bastago que cierra el paso en la valvula del distibuidor, se apaga caldera, se cambia por muñeco y se trabaja valvula manual."/>
  </r>
  <r>
    <x v="297"/>
    <x v="1"/>
    <x v="1"/>
    <d v="1899-12-30T20:01:00"/>
    <d v="1899-12-30T20:23:00"/>
    <n v="0.36666666666666664"/>
    <x v="1"/>
    <x v="2"/>
    <s v="Fluído eléctrico"/>
    <s v="Planta general"/>
    <x v="5"/>
    <s v="Falla planta electrica se ampero, posterior llega energia"/>
  </r>
  <r>
    <x v="297"/>
    <x v="1"/>
    <x v="1"/>
    <d v="1899-12-30T20:23:00"/>
    <d v="1899-12-30T22:30:00"/>
    <n v="2.1166666666666667"/>
    <x v="0"/>
    <x v="0"/>
    <s v="Falla mecánica"/>
    <s v="Desfibración"/>
    <x v="0"/>
    <s v="Se partes cauchos acoples del transportador de torta"/>
  </r>
  <r>
    <x v="298"/>
    <x v="1"/>
    <x v="1"/>
    <d v="1899-12-30T11:08:00"/>
    <d v="1899-12-30T11:25:00"/>
    <n v="0.28333333333333333"/>
    <x v="0"/>
    <x v="0"/>
    <s v="Falla mecánica"/>
    <s v="Desfibración"/>
    <x v="0"/>
    <s v="Se partes cauchos acoples del transportador de torta"/>
  </r>
  <r>
    <x v="298"/>
    <x v="1"/>
    <x v="1"/>
    <d v="1899-12-30T19:37:00"/>
    <d v="1899-12-30T20:31:00"/>
    <n v="0.9"/>
    <x v="0"/>
    <x v="0"/>
    <s v="Falla mecánica"/>
    <s v="Digestión y prensado"/>
    <x v="57"/>
    <s v="Se parte vidrio mirilla del pantalon del digestor"/>
  </r>
  <r>
    <x v="299"/>
    <x v="1"/>
    <x v="1"/>
    <d v="1899-12-30T09:00:00"/>
    <d v="1899-12-30T09:55:00"/>
    <n v="0.91666666666666663"/>
    <x v="1"/>
    <x v="2"/>
    <s v="Fluído eléctrico"/>
    <s v="Planta general"/>
    <x v="5"/>
    <s v="Se ampera planta electrica y se apaga no genera con constancia, lo que hace dispárar los equipos, se baja  condensadores y se habilita"/>
  </r>
  <r>
    <x v="299"/>
    <x v="1"/>
    <x v="1"/>
    <d v="1899-12-30T01:12:00"/>
    <d v="1899-12-30T01:37:00"/>
    <n v="0.41666666666666669"/>
    <x v="1"/>
    <x v="2"/>
    <s v="Fluído eléctrico"/>
    <s v="Planta general"/>
    <x v="5"/>
    <s v="Se ampera planta y se apaga, se apaga palmisteria y se enciende denuevo."/>
  </r>
  <r>
    <x v="299"/>
    <x v="1"/>
    <x v="1"/>
    <d v="1899-12-30T02:58:00"/>
    <d v="1899-12-30T04:03:00"/>
    <n v="1.0833333333333333"/>
    <x v="0"/>
    <x v="0"/>
    <s v="Falla mecánica"/>
    <s v="Desfibración"/>
    <x v="0"/>
    <s v="Se parte acople de caucho del transportador de torta, se cambian y se habilita."/>
  </r>
  <r>
    <x v="299"/>
    <x v="1"/>
    <x v="1"/>
    <d v="1899-12-30T20:50:00"/>
    <d v="1899-12-30T21:38:00"/>
    <n v="0.8"/>
    <x v="1"/>
    <x v="2"/>
    <s v="Fluído eléctrico"/>
    <s v="Planta general"/>
    <x v="5"/>
    <s v="Se ampera planta electrica"/>
  </r>
  <r>
    <x v="300"/>
    <x v="1"/>
    <x v="1"/>
    <d v="1899-12-30T04:25:00"/>
    <d v="1899-12-30T05:33:00"/>
    <n v="1.1333333333333333"/>
    <x v="0"/>
    <x v="1"/>
    <s v="Falla operativa"/>
    <s v="Planta generación de vapor"/>
    <x v="9"/>
    <s v="Se tapa por sobrecarga con redler de caldera"/>
  </r>
  <r>
    <x v="300"/>
    <x v="1"/>
    <x v="1"/>
    <d v="1899-12-30T20:50:00"/>
    <d v="1899-12-30T21:18:00"/>
    <n v="0.46666666666666667"/>
    <x v="1"/>
    <x v="2"/>
    <s v="Fluído eléctrico"/>
    <s v="Planta general"/>
    <x v="5"/>
    <s v="Se ampera planta electrica, se habilitacon solo cpo"/>
  </r>
  <r>
    <x v="300"/>
    <x v="1"/>
    <x v="1"/>
    <d v="1899-12-30T21:36:00"/>
    <d v="1899-12-30T21:47:00"/>
    <n v="0.18333333333333332"/>
    <x v="0"/>
    <x v="1"/>
    <s v="Falla operativa"/>
    <s v="Planta generación de vapor"/>
    <x v="9"/>
    <s v="Se tapa por sobrecarga con redler de caldera"/>
  </r>
  <r>
    <x v="300"/>
    <x v="1"/>
    <x v="1"/>
    <d v="1899-12-30T22:01:00"/>
    <d v="1899-12-30T22:38:00"/>
    <n v="0.6166666666666667"/>
    <x v="0"/>
    <x v="0"/>
    <s v="Falla eléctrica"/>
    <s v="Planta generación de vapor"/>
    <x v="9"/>
    <s v="Pulsor de apagado de este equipo no funciona se apaga directo al parecer es problema del arrancador suave."/>
  </r>
  <r>
    <x v="301"/>
    <x v="1"/>
    <x v="1"/>
    <d v="1899-12-30T05:22:00"/>
    <d v="1899-12-30T05:31:00"/>
    <n v="0.15"/>
    <x v="1"/>
    <x v="2"/>
    <s v="Fluído eléctrico"/>
    <s v="Planta general"/>
    <x v="5"/>
    <s v="Se inicia a enecender euipos para probar amperaje de estos y llega de nuevo energia red externa."/>
  </r>
  <r>
    <x v="302"/>
    <x v="1"/>
    <x v="1"/>
    <d v="1899-12-30T06:31:00"/>
    <d v="1899-12-30T07:34:00"/>
    <n v="1.05"/>
    <x v="0"/>
    <x v="0"/>
    <s v="Falla mecánica"/>
    <s v="Desfrutado"/>
    <x v="8"/>
    <s v="Cambio de ganguilon y ajuste de bujes del rompetorta."/>
  </r>
  <r>
    <x v="302"/>
    <x v="1"/>
    <x v="1"/>
    <d v="1899-12-30T14:20:00"/>
    <d v="1899-12-30T15:25:00"/>
    <n v="1.0833333333333333"/>
    <x v="0"/>
    <x v="1"/>
    <s v="Falla operativa"/>
    <s v="Desfrutado"/>
    <x v="2"/>
    <s v="Taponamiento bajante del desfrutador"/>
  </r>
  <r>
    <x v="303"/>
    <x v="1"/>
    <x v="1"/>
    <d v="1899-12-30T06:00:00"/>
    <d v="1899-12-30T08:00:00"/>
    <n v="2"/>
    <x v="0"/>
    <x v="0"/>
    <s v="Falla mecánica"/>
    <s v="Planta generación de vapor"/>
    <x v="22"/>
    <s v="La caldera se encuenta vacia sin agua y el tanque desaireador tambien debido a reparacion de mantenimiento que se hicieron el dia anterior."/>
  </r>
  <r>
    <x v="303"/>
    <x v="1"/>
    <x v="1"/>
    <d v="1899-12-30T08:00:00"/>
    <d v="1899-12-30T10:00:00"/>
    <n v="2"/>
    <x v="1"/>
    <x v="2"/>
    <s v="Arranque planta"/>
    <s v="Planta general"/>
    <x v="5"/>
    <s v="arranque de proceso"/>
  </r>
  <r>
    <x v="303"/>
    <x v="1"/>
    <x v="1"/>
    <d v="1899-12-30T10:00:00"/>
    <d v="1899-12-30T17:30:00"/>
    <n v="7.5"/>
    <x v="0"/>
    <x v="0"/>
    <s v="Falla mecánica"/>
    <s v="Desfrutado"/>
    <x v="8"/>
    <s v="Caida de cadena"/>
  </r>
  <r>
    <x v="303"/>
    <x v="1"/>
    <x v="1"/>
    <d v="1899-12-30T18:35:00"/>
    <d v="1899-12-30T19:50:00"/>
    <n v="1.25"/>
    <x v="0"/>
    <x v="0"/>
    <s v="Falla mecánica"/>
    <s v="Clarificación"/>
    <x v="48"/>
    <s v="Malla rota en el tamis de licor de prensa causa taponamiento centrifugas"/>
  </r>
  <r>
    <x v="303"/>
    <x v="1"/>
    <x v="1"/>
    <d v="1899-12-30T23:07:00"/>
    <d v="1899-12-30T23:17:00"/>
    <n v="0.16666666666666666"/>
    <x v="0"/>
    <x v="0"/>
    <s v="Falla mecánica"/>
    <s v="Desfrutado"/>
    <x v="8"/>
    <s v="Falta de fruto esterilizado, por caida de canguilon del elevador de fruto"/>
  </r>
  <r>
    <x v="303"/>
    <x v="1"/>
    <x v="1"/>
    <d v="1899-12-30T23:35:00"/>
    <d v="1899-12-31T00:00:00"/>
    <n v="0.41666666666666669"/>
    <x v="0"/>
    <x v="0"/>
    <s v="Falla mecánica"/>
    <s v="Desfrutado"/>
    <x v="19"/>
    <s v="Se quemo el motor y ocasiono atascamiento"/>
  </r>
  <r>
    <x v="303"/>
    <x v="1"/>
    <x v="1"/>
    <d v="1899-12-30T00:00:00"/>
    <d v="1899-12-30T03:55:00"/>
    <n v="3.9166666666666665"/>
    <x v="0"/>
    <x v="0"/>
    <s v="Falla mecánica"/>
    <s v="Desfrutado"/>
    <x v="19"/>
    <s v="Se quemo el motor y ocasiono atascamiento"/>
  </r>
  <r>
    <x v="304"/>
    <x v="1"/>
    <x v="1"/>
    <d v="1899-12-30T06:00:00"/>
    <d v="1899-12-30T07:15:00"/>
    <n v="1.25"/>
    <x v="0"/>
    <x v="0"/>
    <s v="Falla mecánica"/>
    <s v="Desfrutado"/>
    <x v="8"/>
    <s v=" por caida de canguilon del elevador de fruto"/>
  </r>
  <r>
    <x v="304"/>
    <x v="1"/>
    <x v="1"/>
    <d v="1899-12-30T08:12:00"/>
    <d v="1899-12-30T11:27:00"/>
    <n v="3.25"/>
    <x v="0"/>
    <x v="0"/>
    <s v="Falla mecánica"/>
    <s v="Clarificación"/>
    <x v="11"/>
    <s v="Se cambia malla, se baja modulo para reparar y se revisa ,se limpia, y repara filtros cepillos"/>
  </r>
  <r>
    <x v="304"/>
    <x v="1"/>
    <x v="1"/>
    <d v="1899-12-30T19:33:00"/>
    <d v="1899-12-30T20:13:00"/>
    <n v="0.66666666666666663"/>
    <x v="0"/>
    <x v="0"/>
    <s v="Falla mecánica"/>
    <s v="Desfibración"/>
    <x v="9"/>
    <s v="Taponamiento, motorreductor de menos rpm"/>
  </r>
  <r>
    <x v="304"/>
    <x v="1"/>
    <x v="1"/>
    <d v="1899-12-30T22:00:00"/>
    <d v="1899-12-30T23:10:00"/>
    <n v="1.1666666666666667"/>
    <x v="0"/>
    <x v="0"/>
    <s v="Falla mecánica"/>
    <s v="Desfrutado"/>
    <x v="8"/>
    <s v="Se revisa elevador y se cambia canguilon suelto"/>
  </r>
  <r>
    <x v="305"/>
    <x v="1"/>
    <x v="1"/>
    <d v="1899-12-30T10:32:00"/>
    <d v="1899-12-30T11:42:00"/>
    <n v="1.1666666666666667"/>
    <x v="0"/>
    <x v="0"/>
    <s v="Falla mecánica"/>
    <s v="Esterilización "/>
    <x v="23"/>
    <s v="Se cambia troque dañado que descarrilaba la vagoneta"/>
  </r>
  <r>
    <x v="305"/>
    <x v="1"/>
    <x v="1"/>
    <d v="1899-12-30T15:45:00"/>
    <d v="1899-12-30T16:50:00"/>
    <n v="1.0833333333333333"/>
    <x v="0"/>
    <x v="0"/>
    <s v="Falla mecánica"/>
    <s v="Planta generación de vapor"/>
    <x v="66"/>
    <s v="falla electrica en el variador"/>
  </r>
  <r>
    <x v="305"/>
    <x v="1"/>
    <x v="1"/>
    <d v="1899-12-30T17:22:00"/>
    <d v="1899-12-30T18:36:00"/>
    <n v="1.2333333333333334"/>
    <x v="0"/>
    <x v="0"/>
    <s v="Falla mecánica"/>
    <s v="Planta generación de vapor"/>
    <x v="66"/>
    <s v="falla electrica en el variador"/>
  </r>
  <r>
    <x v="305"/>
    <x v="1"/>
    <x v="1"/>
    <d v="1899-12-30T05:30:00"/>
    <d v="1899-12-30T06:00:00"/>
    <n v="0.5"/>
    <x v="0"/>
    <x v="0"/>
    <s v="Falla mecánica"/>
    <s v="Desfrutado"/>
    <x v="19"/>
    <s v="Se desacopla motorreductor del transportador"/>
  </r>
  <r>
    <x v="306"/>
    <x v="1"/>
    <x v="1"/>
    <d v="1899-12-30T06:00:00"/>
    <d v="1899-12-30T07:15:00"/>
    <n v="1.25"/>
    <x v="0"/>
    <x v="0"/>
    <s v="Falla mecánica"/>
    <s v="Desfrutado"/>
    <x v="19"/>
    <s v="Se desacopla motorreductor del transportador"/>
  </r>
  <r>
    <x v="306"/>
    <x v="1"/>
    <x v="1"/>
    <d v="1899-12-30T11:00:00"/>
    <d v="1899-12-30T11:20:00"/>
    <n v="0.33333333333333331"/>
    <x v="0"/>
    <x v="3"/>
    <s v="Fluído eléctrico"/>
    <s v="Planta generación energía electrica"/>
    <x v="5"/>
    <s v="Caida de voltaje atrasa proceso por fallas electricas en esterilizacion"/>
  </r>
  <r>
    <x v="306"/>
    <x v="1"/>
    <x v="1"/>
    <d v="1899-12-30T11:31:00"/>
    <d v="1899-12-30T13:15:00"/>
    <n v="1.7333333333333334"/>
    <x v="0"/>
    <x v="0"/>
    <s v="Falla mecánica"/>
    <s v="Clarificación"/>
    <x v="11"/>
    <s v="Cambio de malla rota y montaje del 3 modulo"/>
  </r>
  <r>
    <x v="307"/>
    <x v="1"/>
    <x v="1"/>
    <d v="1899-12-30T11:00:00"/>
    <d v="1899-12-30T13:00:00"/>
    <n v="2"/>
    <x v="0"/>
    <x v="0"/>
    <s v="Falla mecánica"/>
    <s v="Esterilización "/>
    <x v="52"/>
    <s v="se estaba resoldando las camisas de desgaste."/>
  </r>
  <r>
    <x v="307"/>
    <x v="1"/>
    <x v="1"/>
    <d v="1899-12-30T14:26:00"/>
    <d v="1899-12-30T15:10:00"/>
    <n v="0.73333333333333328"/>
    <x v="0"/>
    <x v="0"/>
    <s v="Falla mecánica"/>
    <s v="Esterilización "/>
    <x v="73"/>
    <s v="Reparacion del indexer cambio de rodamiento, y soldadura en topes de los cambios"/>
  </r>
  <r>
    <x v="307"/>
    <x v="1"/>
    <x v="1"/>
    <d v="1899-12-30T18:45:00"/>
    <d v="1899-12-30T22:10:00"/>
    <n v="3.4166666666666665"/>
    <x v="0"/>
    <x v="0"/>
    <s v="Falla mecánica"/>
    <s v="Desfibración"/>
    <x v="0"/>
    <s v="Se dañaron los acoples de caucho"/>
  </r>
  <r>
    <x v="307"/>
    <x v="1"/>
    <x v="1"/>
    <d v="1899-12-30T05:13:00"/>
    <d v="1899-12-30T05:40:00"/>
    <n v="0.45"/>
    <x v="0"/>
    <x v="0"/>
    <s v="Falla mecánica"/>
    <s v="Desfibración"/>
    <x v="9"/>
    <s v="Atascamiento por friccion entre el sin fin y la canoa"/>
  </r>
  <r>
    <x v="308"/>
    <x v="1"/>
    <x v="1"/>
    <d v="1899-12-30T07:20:00"/>
    <d v="1899-12-30T08:30:00"/>
    <n v="1.1666666666666667"/>
    <x v="0"/>
    <x v="0"/>
    <s v="Falla mecánica"/>
    <s v="Desfibración"/>
    <x v="9"/>
    <s v="Atascamiento por friccion entre el sin fin y la canoa"/>
  </r>
  <r>
    <x v="308"/>
    <x v="1"/>
    <x v="1"/>
    <d v="1899-12-30T09:40:00"/>
    <d v="1899-12-30T10:47:00"/>
    <n v="1.1166666666666667"/>
    <x v="0"/>
    <x v="0"/>
    <s v="Falla eléctrica"/>
    <s v="Planta generación de vapor"/>
    <x v="66"/>
    <s v="falla en el variador "/>
  </r>
  <r>
    <x v="308"/>
    <x v="1"/>
    <x v="1"/>
    <d v="1899-12-30T11:26:00"/>
    <d v="1899-12-30T11:46:00"/>
    <n v="0.33333333333333331"/>
    <x v="0"/>
    <x v="0"/>
    <s v="Falla eléctrica"/>
    <s v="Planta generación de vapor"/>
    <x v="66"/>
    <s v="falla en el variador "/>
  </r>
  <r>
    <x v="308"/>
    <x v="1"/>
    <x v="1"/>
    <d v="1899-12-30T13:50:00"/>
    <d v="1899-12-30T14:30:00"/>
    <n v="0.66666666666666663"/>
    <x v="0"/>
    <x v="1"/>
    <s v="Falla operativa"/>
    <s v="Clarificación"/>
    <x v="48"/>
    <s v="centrifugas tapadas"/>
  </r>
  <r>
    <x v="308"/>
    <x v="1"/>
    <x v="1"/>
    <d v="1899-12-30T10:20:00"/>
    <d v="1899-12-30T12:40:00"/>
    <n v="2.3333333333333335"/>
    <x v="0"/>
    <x v="0"/>
    <s v="Falla mecánica"/>
    <s v="Desfrutado"/>
    <x v="19"/>
    <s v="Tornillos partidos union secciones del transportador"/>
  </r>
  <r>
    <x v="309"/>
    <x v="1"/>
    <x v="1"/>
    <d v="1899-12-30T15:35:00"/>
    <d v="1899-12-30T15:52:00"/>
    <n v="0.28333333333333333"/>
    <x v="0"/>
    <x v="0"/>
    <s v="Falla mecánica"/>
    <s v="Desfibración"/>
    <x v="0"/>
    <s v="Paleta Suelta"/>
  </r>
  <r>
    <x v="309"/>
    <x v="1"/>
    <x v="1"/>
    <d v="1899-12-30T16:04:00"/>
    <d v="1899-12-30T16:20:00"/>
    <n v="0.26666666666666666"/>
    <x v="0"/>
    <x v="0"/>
    <s v="Falla mecánica"/>
    <s v="Desfibración"/>
    <x v="9"/>
    <s v="Se cambian Acoples"/>
  </r>
  <r>
    <x v="309"/>
    <x v="1"/>
    <x v="1"/>
    <d v="1899-12-30T16:50:00"/>
    <d v="1899-12-30T17:10:00"/>
    <n v="0.33333333333333331"/>
    <x v="0"/>
    <x v="0"/>
    <s v="Falla mecánica"/>
    <s v="Desfibración"/>
    <x v="9"/>
    <s v="Golpea canoa"/>
  </r>
  <r>
    <x v="309"/>
    <x v="1"/>
    <x v="1"/>
    <d v="1899-12-30T19:10:00"/>
    <d v="1899-12-30T21:10:00"/>
    <n v="2"/>
    <x v="0"/>
    <x v="0"/>
    <s v="Falla mecánica"/>
    <s v="Desfibración"/>
    <x v="9"/>
    <s v="Falla eléctrica motor"/>
  </r>
  <r>
    <x v="309"/>
    <x v="1"/>
    <x v="1"/>
    <d v="1899-12-30T22:50:00"/>
    <d v="1899-12-30T23:17:00"/>
    <n v="0.45"/>
    <x v="0"/>
    <x v="0"/>
    <s v="Falla mecánica"/>
    <s v="Desfibración"/>
    <x v="9"/>
    <s v="Falla eléctrica motor"/>
  </r>
  <r>
    <x v="309"/>
    <x v="1"/>
    <x v="1"/>
    <d v="1899-12-30T02:17:00"/>
    <d v="1899-12-30T02:56:00"/>
    <n v="0.65"/>
    <x v="0"/>
    <x v="0"/>
    <s v="Falla mecánica"/>
    <s v="Desfibración"/>
    <x v="9"/>
    <s v="Falla eléctrica motor"/>
  </r>
  <r>
    <x v="310"/>
    <x v="1"/>
    <x v="2"/>
    <d v="1899-12-30T14:00:00"/>
    <d v="1899-12-30T16:00:00"/>
    <n v="2"/>
    <x v="0"/>
    <x v="0"/>
    <s v="Falla mecánica"/>
    <s v="Clarificación"/>
    <x v="39"/>
    <s v="Cambio de sello mecanico"/>
  </r>
  <r>
    <x v="310"/>
    <x v="1"/>
    <x v="2"/>
    <d v="1899-12-30T22:00:00"/>
    <d v="1899-12-30T22:30:00"/>
    <n v="0.5"/>
    <x v="0"/>
    <x v="0"/>
    <s v="Falla mecánica"/>
    <s v="Desfibración"/>
    <x v="9"/>
    <s v="el Motor presenta falla"/>
  </r>
  <r>
    <x v="310"/>
    <x v="1"/>
    <x v="2"/>
    <d v="1899-12-30T23:30:00"/>
    <d v="1899-12-31T00:00:00"/>
    <n v="0.5"/>
    <x v="0"/>
    <x v="3"/>
    <s v="Fluído eléctrico"/>
    <s v="Planta generación energía electrica"/>
    <x v="5"/>
    <s v="Caida de voltaje atrasa proceso por fallas electricas en esterilizacion"/>
  </r>
  <r>
    <x v="311"/>
    <x v="1"/>
    <x v="2"/>
    <d v="1899-12-30T14:00:00"/>
    <d v="1899-12-30T18:20:00"/>
    <n v="4.333333333333333"/>
    <x v="0"/>
    <x v="0"/>
    <s v="Falla mecánica"/>
    <s v="Planta generación de vapor"/>
    <x v="22"/>
    <s v="cambio de cheques de la entrada de agua"/>
  </r>
  <r>
    <x v="311"/>
    <x v="1"/>
    <x v="2"/>
    <d v="1899-12-30T19:00:00"/>
    <d v="1899-12-30T21:00:00"/>
    <n v="2"/>
    <x v="0"/>
    <x v="0"/>
    <s v="Falla mecánica"/>
    <s v="Desfibración"/>
    <x v="9"/>
    <s v="Raparacion electrica en el tablero , contactor dañado"/>
  </r>
  <r>
    <x v="311"/>
    <x v="1"/>
    <x v="2"/>
    <d v="1899-12-30T20:00:00"/>
    <d v="1899-12-30T20:30:00"/>
    <n v="0.5"/>
    <x v="0"/>
    <x v="0"/>
    <s v="Falla mecánica"/>
    <s v="Desfibración"/>
    <x v="9"/>
    <s v="Raparacion electrica en el tablero , contactor dañado"/>
  </r>
  <r>
    <x v="312"/>
    <x v="1"/>
    <x v="2"/>
    <d v="1899-12-30T06:00:00"/>
    <d v="1899-12-30T06:50:00"/>
    <n v="0.83333333333333337"/>
    <x v="1"/>
    <x v="2"/>
    <s v="Arranque planta"/>
    <s v="Planta general"/>
    <x v="5"/>
    <s v="arranque de proceso"/>
  </r>
  <r>
    <x v="313"/>
    <x v="1"/>
    <x v="2"/>
    <d v="1899-12-30T14:00:00"/>
    <d v="1899-12-30T15:00:00"/>
    <n v="1"/>
    <x v="1"/>
    <x v="2"/>
    <s v="Arranque planta"/>
    <s v="Planta general"/>
    <x v="5"/>
    <s v="arranque de proceso"/>
  </r>
  <r>
    <x v="314"/>
    <x v="1"/>
    <x v="2"/>
    <d v="1899-12-30T14:00:00"/>
    <d v="1899-12-30T15:00:00"/>
    <n v="1"/>
    <x v="1"/>
    <x v="2"/>
    <s v="Arranque planta"/>
    <s v="Planta general"/>
    <x v="5"/>
    <s v="arranque de proceso"/>
  </r>
  <r>
    <x v="315"/>
    <x v="1"/>
    <x v="2"/>
    <d v="1899-12-30T06:00:00"/>
    <d v="1899-12-30T07:25:00"/>
    <n v="1.4166666666666667"/>
    <x v="1"/>
    <x v="2"/>
    <s v="Arranque planta"/>
    <s v="Planta general"/>
    <x v="5"/>
    <s v="arranque de proceso"/>
  </r>
  <r>
    <x v="315"/>
    <x v="1"/>
    <x v="2"/>
    <d v="1899-12-30T07:25:00"/>
    <d v="1899-12-30T08:20:00"/>
    <n v="0.91666666666666663"/>
    <x v="0"/>
    <x v="0"/>
    <s v="Falla mecánica"/>
    <s v="Desfrutado"/>
    <x v="19"/>
    <s v="Sinfín bajo desfrutador se giró acople."/>
  </r>
  <r>
    <x v="315"/>
    <x v="1"/>
    <x v="2"/>
    <d v="1899-12-30T08:21:00"/>
    <d v="1899-12-30T08:40:00"/>
    <n v="0.31666666666666665"/>
    <x v="0"/>
    <x v="0"/>
    <s v="Falla mecánica"/>
    <s v="Desfibración"/>
    <x v="0"/>
    <s v="Paleta torcida"/>
  </r>
  <r>
    <x v="315"/>
    <x v="1"/>
    <x v="2"/>
    <d v="1899-12-30T08:45:00"/>
    <d v="1899-12-30T10:25:00"/>
    <n v="1.6666666666666665"/>
    <x v="0"/>
    <x v="1"/>
    <s v="Falla operativa"/>
    <s v="Clarificación"/>
    <x v="43"/>
    <s v="Taponamiento tubería Aceite (No se purgó cuando se paró la planta)"/>
  </r>
  <r>
    <x v="315"/>
    <x v="1"/>
    <x v="2"/>
    <d v="1899-12-30T11:30:00"/>
    <d v="1899-12-30T11:49:00"/>
    <n v="0.31666666666666665"/>
    <x v="0"/>
    <x v="0"/>
    <s v="Falla eléctrica"/>
    <s v="Desfrutado"/>
    <x v="2"/>
    <s v="Falla eléctrica en variador de velocidad"/>
  </r>
  <r>
    <x v="316"/>
    <x v="1"/>
    <x v="2"/>
    <d v="1899-12-30T06:00:00"/>
    <d v="1899-12-30T07:44:00"/>
    <n v="1.7333333333333334"/>
    <x v="1"/>
    <x v="2"/>
    <s v="Arranque planta"/>
    <s v="Planta general"/>
    <x v="5"/>
    <s v="arranque de proceso"/>
  </r>
  <r>
    <x v="316"/>
    <x v="1"/>
    <x v="2"/>
    <d v="1899-12-30T03:38:00"/>
    <d v="1899-12-30T04:20:00"/>
    <n v="0.7"/>
    <x v="0"/>
    <x v="0"/>
    <s v="Falla mecánica"/>
    <s v="Desfibración"/>
    <x v="9"/>
    <s v="Motorreductor sin fin suelto se patina"/>
  </r>
  <r>
    <x v="317"/>
    <x v="1"/>
    <x v="2"/>
    <d v="1899-12-30T06:00:00"/>
    <d v="1899-12-30T08:25:00"/>
    <n v="2.4166666666666665"/>
    <x v="1"/>
    <x v="2"/>
    <s v="Arranque planta"/>
    <s v="Planta general"/>
    <x v="5"/>
    <s v="arranque de proceso"/>
  </r>
  <r>
    <x v="318"/>
    <x v="1"/>
    <x v="2"/>
    <d v="1899-12-30T06:00:00"/>
    <d v="1899-12-30T07:52:00"/>
    <n v="1.8666666666666667"/>
    <x v="1"/>
    <x v="2"/>
    <s v="Arranque planta"/>
    <s v="Planta general"/>
    <x v="5"/>
    <s v="arranque de proceso"/>
  </r>
  <r>
    <x v="318"/>
    <x v="1"/>
    <x v="2"/>
    <d v="1899-12-30T14:36:00"/>
    <d v="1899-12-30T15:26:00"/>
    <n v="0.83333333333333337"/>
    <x v="0"/>
    <x v="0"/>
    <s v="Falla mecánica"/>
    <s v="Desfrutado"/>
    <x v="2"/>
    <s v="Falla en un patin del desfrutador"/>
  </r>
  <r>
    <x v="319"/>
    <x v="1"/>
    <x v="2"/>
    <d v="1899-12-30T16:03:00"/>
    <d v="1899-12-30T16:40:00"/>
    <n v="0.6166666666666667"/>
    <x v="0"/>
    <x v="1"/>
    <s v="Falla operativa"/>
    <s v="Desfrutado"/>
    <x v="1"/>
    <s v="Taponamiento"/>
  </r>
  <r>
    <x v="320"/>
    <x v="1"/>
    <x v="2"/>
    <d v="1899-12-30T06:00:00"/>
    <d v="1899-12-30T07:45:00"/>
    <n v="1.75"/>
    <x v="1"/>
    <x v="2"/>
    <s v="Arranque planta"/>
    <s v="Planta general"/>
    <x v="5"/>
    <s v="arranque de proceso"/>
  </r>
  <r>
    <x v="320"/>
    <x v="1"/>
    <x v="2"/>
    <d v="1899-12-30T12:55:00"/>
    <d v="1899-12-30T14:15:00"/>
    <n v="1.3333333333333333"/>
    <x v="0"/>
    <x v="0"/>
    <s v="Falla mecánica"/>
    <s v="Clarificación"/>
    <x v="11"/>
    <s v="Cambio de malla rota."/>
  </r>
  <r>
    <x v="321"/>
    <x v="1"/>
    <x v="2"/>
    <d v="1899-12-30T14:00:00"/>
    <d v="1899-12-30T15:21:00"/>
    <n v="1.35"/>
    <x v="1"/>
    <x v="2"/>
    <s v="Arranque planta"/>
    <s v="Planta general"/>
    <x v="5"/>
    <s v="arranque de proceso"/>
  </r>
  <r>
    <x v="321"/>
    <x v="1"/>
    <x v="2"/>
    <d v="1899-12-30T16:02:00"/>
    <d v="1899-12-30T16:40:00"/>
    <n v="0.6333333333333333"/>
    <x v="0"/>
    <x v="0"/>
    <s v="Falla mecánica"/>
    <s v="Clarificación"/>
    <x v="65"/>
    <s v="Daño valvula de salida de agua hacia centrifugas y filtros cepillos."/>
  </r>
  <r>
    <x v="322"/>
    <x v="1"/>
    <x v="2"/>
    <d v="1899-12-30T06:00:00"/>
    <d v="1899-12-30T07:30:00"/>
    <n v="1.5"/>
    <x v="1"/>
    <x v="2"/>
    <s v="Arranque planta"/>
    <s v="Planta general"/>
    <x v="5"/>
    <s v="arranque de proceso"/>
  </r>
  <r>
    <x v="322"/>
    <x v="1"/>
    <x v="2"/>
    <d v="1899-12-30T08:05:00"/>
    <d v="1899-12-30T08:15:00"/>
    <n v="0.16666666666666666"/>
    <x v="0"/>
    <x v="1"/>
    <s v="Falla operativa"/>
    <s v="Desfibración"/>
    <x v="0"/>
    <s v="Taponamiento"/>
  </r>
  <r>
    <x v="322"/>
    <x v="1"/>
    <x v="2"/>
    <d v="1899-12-30T09:36:00"/>
    <d v="1899-12-30T11:40:00"/>
    <n v="2.0666666666666669"/>
    <x v="0"/>
    <x v="0"/>
    <s v="Falla eléctrica"/>
    <s v="Digestión y prensado"/>
    <x v="13"/>
    <s v="corto circuito en la acometida del motor"/>
  </r>
  <r>
    <x v="322"/>
    <x v="1"/>
    <x v="2"/>
    <d v="1899-12-30T14:15:00"/>
    <d v="1899-12-30T15:20:00"/>
    <n v="1.0833333333333333"/>
    <x v="0"/>
    <x v="0"/>
    <s v="Falla eléctrica"/>
    <s v="Esterilización "/>
    <x v="17"/>
    <s v="Falla electrica en el sistema de arranque del motor"/>
  </r>
  <r>
    <x v="322"/>
    <x v="1"/>
    <x v="2"/>
    <d v="1899-12-30T16:20:00"/>
    <d v="1899-12-30T17:17:00"/>
    <n v="0.95"/>
    <x v="0"/>
    <x v="0"/>
    <s v="Falla mecánica"/>
    <s v="Desfibración"/>
    <x v="0"/>
    <s v="Cambio de grapa fracturada, y ajuste de paletas que estaban haciendo friccion con la canoa."/>
  </r>
  <r>
    <x v="323"/>
    <x v="1"/>
    <x v="2"/>
    <d v="1899-12-30T09:20:00"/>
    <d v="1899-12-30T11:03:00"/>
    <n v="1.7166666666666668"/>
    <x v="0"/>
    <x v="0"/>
    <s v="Falla mecánica"/>
    <s v="Desfibración"/>
    <x v="0"/>
    <s v="Parte acoples y para transportado, se cambian acoples yse habilita"/>
  </r>
  <r>
    <x v="324"/>
    <x v="1"/>
    <x v="2"/>
    <d v="1899-12-30T11:59:00"/>
    <d v="1899-12-30T13:06:00"/>
    <n v="1.1166666666666667"/>
    <x v="0"/>
    <x v="0"/>
    <s v="Falla mecánica"/>
    <s v="Desfibración"/>
    <x v="9"/>
    <s v="Se cambia bujes y se corrige puente del sin fin N°1 a caldera"/>
  </r>
  <r>
    <x v="324"/>
    <x v="1"/>
    <x v="2"/>
    <d v="1899-12-30T22:41:00"/>
    <d v="1899-12-30T23:05:00"/>
    <n v="0.4"/>
    <x v="0"/>
    <x v="0"/>
    <s v="Falla eléctrica"/>
    <s v="Planta generación energía electrica"/>
    <x v="51"/>
    <s v="Falla bateria de la planta."/>
  </r>
  <r>
    <x v="325"/>
    <x v="1"/>
    <x v="2"/>
    <d v="1899-12-30T06:00:00"/>
    <d v="1899-12-30T08:28:00"/>
    <n v="2.4666666666666668"/>
    <x v="1"/>
    <x v="2"/>
    <s v="Arranque planta"/>
    <s v="Planta general"/>
    <x v="5"/>
    <s v="arranque de proceso"/>
  </r>
  <r>
    <x v="325"/>
    <x v="1"/>
    <x v="2"/>
    <d v="1899-12-30T14:52:00"/>
    <d v="1899-12-30T15:53:00"/>
    <n v="1.0166666666666666"/>
    <x v="0"/>
    <x v="0"/>
    <s v="Falla mecánica"/>
    <s v="Desfrutado"/>
    <x v="18"/>
    <s v="Se sale cadena piñones conducidos"/>
  </r>
  <r>
    <x v="326"/>
    <x v="1"/>
    <x v="2"/>
    <d v="1899-12-30T06:00:00"/>
    <d v="1899-12-30T07:50:00"/>
    <n v="1.8333333333333335"/>
    <x v="1"/>
    <x v="2"/>
    <s v="Arranque planta"/>
    <s v="Planta general"/>
    <x v="5"/>
    <s v="arranque de proceso"/>
  </r>
  <r>
    <x v="326"/>
    <x v="1"/>
    <x v="2"/>
    <d v="1899-12-30T10:40:00"/>
    <d v="1899-12-30T11:05:00"/>
    <n v="0.41666666666666669"/>
    <x v="0"/>
    <x v="0"/>
    <s v="Falla mecánica"/>
    <s v="Digestión y prensado"/>
    <x v="38"/>
    <s v="manguera enredada"/>
  </r>
  <r>
    <x v="326"/>
    <x v="1"/>
    <x v="2"/>
    <d v="1899-12-30T12:00:00"/>
    <d v="1899-12-30T12:38:00"/>
    <n v="0.6333333333333333"/>
    <x v="0"/>
    <x v="0"/>
    <s v="Falla mecánica"/>
    <s v="Desfrutado"/>
    <x v="8"/>
    <s v="Caida ganguilon"/>
  </r>
  <r>
    <x v="327"/>
    <x v="1"/>
    <x v="2"/>
    <d v="1899-12-30T06:00:00"/>
    <d v="1899-12-30T07:30:00"/>
    <n v="1.5"/>
    <x v="1"/>
    <x v="2"/>
    <s v="Arranque planta"/>
    <s v="Planta general"/>
    <x v="5"/>
    <s v="arranque de proceso"/>
  </r>
  <r>
    <x v="327"/>
    <x v="1"/>
    <x v="2"/>
    <d v="1899-12-30T09:00:00"/>
    <d v="1899-12-30T09:37:00"/>
    <n v="0.6166666666666667"/>
    <x v="0"/>
    <x v="0"/>
    <s v="Falla eléctrica"/>
    <s v="Planta generación energía electrica"/>
    <x v="51"/>
    <s v="Baterias descargadas"/>
  </r>
  <r>
    <x v="327"/>
    <x v="1"/>
    <x v="2"/>
    <d v="1899-12-30T11:00:00"/>
    <d v="1899-12-30T12:00:00"/>
    <n v="1"/>
    <x v="0"/>
    <x v="0"/>
    <s v="Falla eléctrica"/>
    <s v="Planta generación energía electrica"/>
    <x v="51"/>
    <s v="Falla en el equipo (bajo voltaje y baja frecuencia)"/>
  </r>
  <r>
    <x v="327"/>
    <x v="1"/>
    <x v="2"/>
    <d v="1899-12-30T21:30:00"/>
    <d v="1899-12-30T22:00:00"/>
    <n v="0.5"/>
    <x v="1"/>
    <x v="2"/>
    <s v="Arranque planta"/>
    <s v="Planta general"/>
    <x v="5"/>
    <s v="Terninacion de proceso"/>
  </r>
  <r>
    <x v="328"/>
    <x v="1"/>
    <x v="2"/>
    <d v="1899-12-30T06:00:00"/>
    <d v="1899-12-30T07:30:00"/>
    <n v="1.5"/>
    <x v="1"/>
    <x v="2"/>
    <s v="Arranque planta"/>
    <s v="Planta general"/>
    <x v="5"/>
    <s v="arranque de proceso"/>
  </r>
  <r>
    <x v="328"/>
    <x v="1"/>
    <x v="2"/>
    <d v="1899-12-30T08:40:00"/>
    <d v="1899-12-30T08:52:00"/>
    <n v="0.2"/>
    <x v="0"/>
    <x v="0"/>
    <s v="Falla mecánica"/>
    <s v="Desfrutado"/>
    <x v="8"/>
    <s v="se tensiono transmision"/>
  </r>
  <r>
    <x v="328"/>
    <x v="1"/>
    <x v="2"/>
    <d v="1899-12-30T14:00:00"/>
    <d v="1899-12-30T14:20:00"/>
    <n v="0.33333333333333331"/>
    <x v="0"/>
    <x v="3"/>
    <s v="Fluído eléctrico"/>
    <s v="Planta generación energía electrica"/>
    <x v="5"/>
    <s v="cortes continuos de energia"/>
  </r>
  <r>
    <x v="328"/>
    <x v="1"/>
    <x v="2"/>
    <d v="1899-12-30T15:32:00"/>
    <d v="1899-12-30T17:30:00"/>
    <n v="1.9666666666666668"/>
    <x v="0"/>
    <x v="0"/>
    <s v="Falla mecánica"/>
    <s v="Clarificación"/>
    <x v="11"/>
    <s v="Se daña grapa modulo superior"/>
  </r>
  <r>
    <x v="328"/>
    <x v="1"/>
    <x v="2"/>
    <d v="1899-12-30T18:53:00"/>
    <d v="1899-12-30T21:59:00"/>
    <n v="3.1"/>
    <x v="0"/>
    <x v="0"/>
    <s v="Falla mecánica"/>
    <s v="Clarificación"/>
    <x v="11"/>
    <s v="falla electrica y mecanica"/>
  </r>
  <r>
    <x v="328"/>
    <x v="1"/>
    <x v="2"/>
    <d v="1899-12-30T04:45:00"/>
    <d v="1899-12-30T05:05:00"/>
    <n v="0.33333333333333331"/>
    <x v="0"/>
    <x v="0"/>
    <s v="Falla mecánica"/>
    <s v="Desfrutado"/>
    <x v="8"/>
    <s v="Ajuste y cambio de ganguilones"/>
  </r>
  <r>
    <x v="329"/>
    <x v="1"/>
    <x v="2"/>
    <d v="1899-12-30T03:30:00"/>
    <d v="1899-12-30T04:30:00"/>
    <n v="1"/>
    <x v="0"/>
    <x v="0"/>
    <s v="Falla mecánica"/>
    <s v="Desfrutado"/>
    <x v="8"/>
    <s v="Ajuste y cambio de ganguilones"/>
  </r>
  <r>
    <x v="330"/>
    <x v="1"/>
    <x v="2"/>
    <d v="1899-12-30T06:10:00"/>
    <d v="1899-12-30T06:36:00"/>
    <n v="0.43333333333333335"/>
    <x v="0"/>
    <x v="0"/>
    <s v="Falla mecánica"/>
    <s v="Desfrutado"/>
    <x v="8"/>
    <s v="Cangilón suelto"/>
  </r>
  <r>
    <x v="330"/>
    <x v="1"/>
    <x v="2"/>
    <d v="1899-12-30T14:35:00"/>
    <d v="1899-12-30T14:55:00"/>
    <n v="0.33333333333333331"/>
    <x v="0"/>
    <x v="1"/>
    <s v="Falla operativa"/>
    <s v="Esterilización "/>
    <x v="23"/>
    <s v="Invonveniente con la salida de la vagoneta"/>
  </r>
  <r>
    <x v="330"/>
    <x v="1"/>
    <x v="2"/>
    <d v="1899-12-30T16:30:00"/>
    <d v="1899-12-30T16:50:00"/>
    <n v="0.33333333333333331"/>
    <x v="0"/>
    <x v="1"/>
    <s v="Falla operativa"/>
    <s v="Esterilización "/>
    <x v="23"/>
    <s v="Invonveniente con la salida de la vagoneta"/>
  </r>
  <r>
    <x v="330"/>
    <x v="1"/>
    <x v="2"/>
    <d v="1899-12-30T05:10:00"/>
    <d v="1899-12-30T05:45:00"/>
    <n v="0.58333333333333337"/>
    <x v="0"/>
    <x v="1"/>
    <s v="Falla operativa"/>
    <s v="Esterilización "/>
    <x v="23"/>
    <s v="Invonveniente con la salida de la vagoneta"/>
  </r>
  <r>
    <x v="331"/>
    <x v="1"/>
    <x v="2"/>
    <d v="1899-12-30T02:00:00"/>
    <d v="1899-12-30T03:00:00"/>
    <n v="1"/>
    <x v="1"/>
    <x v="2"/>
    <s v="Arranque planta"/>
    <s v="Planta general"/>
    <x v="5"/>
    <s v="arranque de proceso"/>
  </r>
  <r>
    <x v="332"/>
    <x v="1"/>
    <x v="2"/>
    <d v="1899-12-30T11:06:00"/>
    <d v="1899-12-30T12:00:00"/>
    <n v="0.9"/>
    <x v="0"/>
    <x v="0"/>
    <s v="Falla mecánica"/>
    <s v="Clarificación"/>
    <x v="10"/>
    <s v="Corrección fuga "/>
  </r>
  <r>
    <x v="332"/>
    <x v="1"/>
    <x v="2"/>
    <d v="1899-12-30T13:30:00"/>
    <d v="1899-12-30T14:30:00"/>
    <n v="1"/>
    <x v="0"/>
    <x v="0"/>
    <s v="Falla mecánica"/>
    <s v="Desfrutado"/>
    <x v="19"/>
    <s v="Se parten tornillos"/>
  </r>
  <r>
    <x v="332"/>
    <x v="1"/>
    <x v="2"/>
    <d v="1899-12-30T14:30:00"/>
    <d v="1899-12-30T15:30:00"/>
    <n v="1"/>
    <x v="0"/>
    <x v="0"/>
    <s v="Falla mecánica"/>
    <s v="Esterilización "/>
    <x v="44"/>
    <s v="Se descarrila"/>
  </r>
  <r>
    <x v="332"/>
    <x v="1"/>
    <x v="2"/>
    <d v="1899-12-30T21:19:00"/>
    <d v="1899-12-30T22:40:00"/>
    <n v="1.35"/>
    <x v="0"/>
    <x v="0"/>
    <s v="Falla mecánica"/>
    <s v="Esterilización "/>
    <x v="44"/>
    <s v="Se descarrila"/>
  </r>
  <r>
    <x v="332"/>
    <x v="1"/>
    <x v="2"/>
    <d v="1899-12-30T03:40:00"/>
    <d v="1899-12-30T04:20:00"/>
    <n v="0.66666666666666663"/>
    <x v="0"/>
    <x v="3"/>
    <s v="Incendios o eventos naturales"/>
    <s v="Desfrutado"/>
    <x v="50"/>
    <s v="Banda de tusa no giraba por la lluvia."/>
  </r>
  <r>
    <x v="332"/>
    <x v="1"/>
    <x v="2"/>
    <d v="1899-12-30T04:20:00"/>
    <d v="1899-12-30T06:00:00"/>
    <n v="1.6666666666666665"/>
    <x v="0"/>
    <x v="0"/>
    <s v="Falla mecánica"/>
    <s v="Desfrutado"/>
    <x v="8"/>
    <s v="Se descadena."/>
  </r>
  <r>
    <x v="333"/>
    <x v="1"/>
    <x v="2"/>
    <d v="1899-12-30T09:27:00"/>
    <d v="1899-12-30T11:10:00"/>
    <n v="1.7166666666666668"/>
    <x v="0"/>
    <x v="1"/>
    <s v="Falla operativa"/>
    <s v="Desfrutado"/>
    <x v="19"/>
    <s v="Taponamiento"/>
  </r>
  <r>
    <x v="333"/>
    <x v="1"/>
    <x v="2"/>
    <d v="1899-12-30T03:04:00"/>
    <d v="1899-12-30T04:10:00"/>
    <n v="1.1000000000000001"/>
    <x v="0"/>
    <x v="0"/>
    <s v="Falla mecánica"/>
    <s v="Desfrutado"/>
    <x v="8"/>
    <s v="Descadenamiento, se revisa y ajusta."/>
  </r>
  <r>
    <x v="333"/>
    <x v="1"/>
    <x v="2"/>
    <d v="1899-12-30T01:40:00"/>
    <d v="1899-12-30T03:19:00"/>
    <n v="1.65"/>
    <x v="0"/>
    <x v="0"/>
    <s v="Falla mecánica"/>
    <s v="Desfrutado"/>
    <x v="2"/>
    <s v="Cadena se partió"/>
  </r>
  <r>
    <x v="334"/>
    <x v="1"/>
    <x v="3"/>
    <d v="1899-12-30T02:35:00"/>
    <d v="1899-12-30T02:40:00"/>
    <n v="8.3333333333333329E-2"/>
    <x v="0"/>
    <x v="0"/>
    <s v="Falla mecánica"/>
    <s v="Digestión y prensado"/>
    <x v="28"/>
    <s v="Atascamiento por platina suelta ganguilon"/>
  </r>
  <r>
    <x v="334"/>
    <x v="1"/>
    <x v="3"/>
    <d v="1899-12-30T05:35:00"/>
    <d v="1899-12-30T05:40:00"/>
    <n v="8.3333333333333329E-2"/>
    <x v="0"/>
    <x v="1"/>
    <s v="Falla operativa"/>
    <s v="Desfrutado"/>
    <x v="19"/>
    <s v="anillo tapado "/>
  </r>
  <r>
    <x v="335"/>
    <x v="1"/>
    <x v="3"/>
    <d v="1899-12-30T10:00:00"/>
    <d v="1899-12-30T11:48:00"/>
    <n v="1.8"/>
    <x v="1"/>
    <x v="2"/>
    <s v="Arranque planta"/>
    <s v="Planta general"/>
    <x v="5"/>
    <s v="arranque de proceso"/>
  </r>
  <r>
    <x v="336"/>
    <x v="1"/>
    <x v="3"/>
    <d v="1899-12-30T11:00:00"/>
    <d v="1899-12-30T11:48:00"/>
    <n v="0.8"/>
    <x v="1"/>
    <x v="2"/>
    <s v="Arranque planta"/>
    <s v="Planta general"/>
    <x v="5"/>
    <s v="arranque de proceso"/>
  </r>
  <r>
    <x v="336"/>
    <x v="1"/>
    <x v="3"/>
    <d v="1899-12-30T16:40:00"/>
    <d v="1899-12-30T17:05:00"/>
    <n v="0.41666666666666669"/>
    <x v="0"/>
    <x v="0"/>
    <s v="Falla mecánica"/>
    <s v="Clarificación"/>
    <x v="20"/>
    <s v="Daño empaque espirometalico"/>
  </r>
  <r>
    <x v="337"/>
    <x v="1"/>
    <x v="3"/>
    <d v="1899-12-30T06:00:00"/>
    <d v="1899-12-30T08:20:00"/>
    <n v="2.3333333333333335"/>
    <x v="1"/>
    <x v="2"/>
    <s v="Arranque planta"/>
    <s v="Planta general"/>
    <x v="5"/>
    <s v="arranque de proceso"/>
  </r>
  <r>
    <x v="337"/>
    <x v="1"/>
    <x v="3"/>
    <d v="1899-12-30T09:45:00"/>
    <d v="1899-12-30T10:17:00"/>
    <n v="0.53333333333333333"/>
    <x v="0"/>
    <x v="1"/>
    <s v="Falla operativa"/>
    <s v="Clarificación"/>
    <x v="49"/>
    <s v="tuberia de la bomba de aceite del preclarificador tapada"/>
  </r>
  <r>
    <x v="337"/>
    <x v="1"/>
    <x v="3"/>
    <d v="1899-12-30T11:01:00"/>
    <d v="1899-12-30T11:22:00"/>
    <n v="0.35"/>
    <x v="0"/>
    <x v="3"/>
    <s v="Incendios o eventos naturales"/>
    <s v="Recuperación de aceite"/>
    <x v="5"/>
    <s v="muestre efluentes"/>
  </r>
  <r>
    <x v="337"/>
    <x v="1"/>
    <x v="3"/>
    <d v="1899-12-30T12:09:00"/>
    <d v="1899-12-30T12:40:00"/>
    <n v="0.51666666666666672"/>
    <x v="0"/>
    <x v="0"/>
    <s v="Falla mecánica"/>
    <s v="Desfrutado"/>
    <x v="8"/>
    <s v="Cangilón suelto"/>
  </r>
  <r>
    <x v="337"/>
    <x v="1"/>
    <x v="3"/>
    <d v="1899-12-30T15:59:00"/>
    <d v="1899-12-30T16:38:00"/>
    <n v="0.65"/>
    <x v="0"/>
    <x v="3"/>
    <s v="Incendios o eventos naturales"/>
    <s v="Recuperación de aceite"/>
    <x v="5"/>
    <s v="muestre efluentes"/>
  </r>
  <r>
    <x v="337"/>
    <x v="1"/>
    <x v="3"/>
    <d v="1899-12-30T19:03:00"/>
    <d v="1899-12-30T19:32:00"/>
    <n v="0.48333333333333334"/>
    <x v="0"/>
    <x v="1"/>
    <s v="Falla operativa"/>
    <s v="Esterilización "/>
    <x v="52"/>
    <s v="Falta de fruto esterilizado "/>
  </r>
  <r>
    <x v="338"/>
    <x v="1"/>
    <x v="3"/>
    <d v="1899-12-30T06:00:00"/>
    <d v="1899-12-30T07:56:00"/>
    <n v="1.9333333333333333"/>
    <x v="1"/>
    <x v="2"/>
    <s v="Arranque planta"/>
    <s v="Planta general"/>
    <x v="5"/>
    <s v="arranque de proceso"/>
  </r>
  <r>
    <x v="338"/>
    <x v="1"/>
    <x v="3"/>
    <d v="1899-12-30T16:36:00"/>
    <d v="1899-12-30T17:17:00"/>
    <n v="0.68333333333333335"/>
    <x v="0"/>
    <x v="0"/>
    <s v="Falla mecánica"/>
    <s v="Esterilización "/>
    <x v="52"/>
    <s v="Problemas de enganche de la vagoneta al salir del tambor de volteo."/>
  </r>
  <r>
    <x v="339"/>
    <x v="1"/>
    <x v="3"/>
    <d v="1899-12-30T06:00:00"/>
    <d v="1899-12-30T07:50:00"/>
    <n v="1.8333333333333335"/>
    <x v="1"/>
    <x v="2"/>
    <s v="Arranque planta"/>
    <s v="Planta general"/>
    <x v="5"/>
    <s v="arranque de proceso"/>
  </r>
  <r>
    <x v="339"/>
    <x v="1"/>
    <x v="3"/>
    <d v="1899-12-30T10:01:00"/>
    <d v="1899-12-30T10:32:00"/>
    <n v="0.51666666666666672"/>
    <x v="0"/>
    <x v="0"/>
    <s v="Falla mecánica"/>
    <s v="Digestión y prensado"/>
    <x v="13"/>
    <s v="Ruidos en la transmision"/>
  </r>
  <r>
    <x v="339"/>
    <x v="1"/>
    <x v="3"/>
    <d v="1899-12-30T15:07:00"/>
    <d v="1899-12-30T19:06:00"/>
    <n v="3.9833333333333334"/>
    <x v="0"/>
    <x v="0"/>
    <s v="Falla mecánica"/>
    <s v="Clarificación"/>
    <x v="11"/>
    <s v="daño cuerpo y problemas electricos del motor"/>
  </r>
  <r>
    <x v="339"/>
    <x v="1"/>
    <x v="3"/>
    <d v="1899-12-30T21:25:00"/>
    <d v="1899-12-30T22:00:00"/>
    <n v="0.58333333333333337"/>
    <x v="0"/>
    <x v="0"/>
    <s v="Falla mecánica"/>
    <s v="Esterilización "/>
    <x v="12"/>
    <s v="Falla sensores"/>
  </r>
  <r>
    <x v="340"/>
    <x v="1"/>
    <x v="3"/>
    <d v="1899-12-30T06:00:00"/>
    <d v="1899-12-30T07:30:00"/>
    <n v="1.5"/>
    <x v="1"/>
    <x v="2"/>
    <s v="Arranque planta"/>
    <s v="Planta general"/>
    <x v="5"/>
    <s v="arranque de proceso"/>
  </r>
  <r>
    <x v="340"/>
    <x v="1"/>
    <x v="3"/>
    <d v="1899-12-30T09:47:00"/>
    <d v="1899-12-30T10:16:00"/>
    <n v="0.48333333333333334"/>
    <x v="0"/>
    <x v="0"/>
    <s v="Falla mecánica"/>
    <s v="Desfibración"/>
    <x v="0"/>
    <s v="cambio de cauchos del acople "/>
  </r>
  <r>
    <x v="340"/>
    <x v="1"/>
    <x v="3"/>
    <d v="1899-12-30T13:41:00"/>
    <d v="1899-12-30T14:02:00"/>
    <n v="0.35"/>
    <x v="0"/>
    <x v="0"/>
    <s v="Falla eléctrica"/>
    <s v="Digestión y prensado"/>
    <x v="38"/>
    <s v="bobina quemada"/>
  </r>
  <r>
    <x v="340"/>
    <x v="1"/>
    <x v="3"/>
    <d v="1899-12-30T17:45:00"/>
    <d v="1899-12-30T19:20:00"/>
    <n v="1.5833333333333335"/>
    <x v="0"/>
    <x v="0"/>
    <s v="Falla mecánica"/>
    <s v="Desfrutado"/>
    <x v="18"/>
    <s v="se sale cadena de los piñones inferiores"/>
  </r>
  <r>
    <x v="340"/>
    <x v="1"/>
    <x v="3"/>
    <d v="1899-12-30T19:39:00"/>
    <d v="1899-12-30T20:40:00"/>
    <n v="1.0166666666666666"/>
    <x v="0"/>
    <x v="0"/>
    <s v="Falla eléctrica"/>
    <s v="Digestión y prensado"/>
    <x v="38"/>
    <s v="bobina quemada"/>
  </r>
  <r>
    <x v="340"/>
    <x v="1"/>
    <x v="3"/>
    <d v="1899-12-30T21:40:00"/>
    <d v="1899-12-30T23:02:00"/>
    <n v="1.3666666666666667"/>
    <x v="0"/>
    <x v="0"/>
    <s v="Falla eléctrica"/>
    <s v="Digestión y prensado"/>
    <x v="38"/>
    <s v="bobina quemada"/>
  </r>
  <r>
    <x v="340"/>
    <x v="1"/>
    <x v="3"/>
    <d v="1899-12-30T04:55:00"/>
    <d v="1899-12-30T05:17:00"/>
    <n v="0.36666666666666664"/>
    <x v="0"/>
    <x v="0"/>
    <s v="Falla mecánica"/>
    <s v="Esterilización "/>
    <x v="73"/>
    <s v="atascamiento de la vagoneta"/>
  </r>
  <r>
    <x v="341"/>
    <x v="1"/>
    <x v="3"/>
    <d v="1899-12-30T06:17:00"/>
    <d v="1899-12-30T07:03:00"/>
    <n v="0.76666666666666672"/>
    <x v="0"/>
    <x v="0"/>
    <s v="Falla mecánica"/>
    <s v="Clarificación"/>
    <x v="39"/>
    <s v="Se tapa bomba debido a que se trabaja hace dos dias sin tamiz de licor de prensa"/>
  </r>
  <r>
    <x v="341"/>
    <x v="1"/>
    <x v="3"/>
    <d v="1899-12-30T09:01:00"/>
    <d v="1899-12-30T09:30:00"/>
    <n v="0.48333333333333334"/>
    <x v="0"/>
    <x v="0"/>
    <s v="Falla mecánica"/>
    <s v="Esterilización "/>
    <x v="44"/>
    <s v="Se  suelta soporte de vagoneta y la atasca."/>
  </r>
  <r>
    <x v="341"/>
    <x v="1"/>
    <x v="3"/>
    <d v="1899-12-30T13:50:00"/>
    <d v="1899-12-30T14:02:00"/>
    <n v="0.2"/>
    <x v="0"/>
    <x v="1"/>
    <s v="Falla operativa"/>
    <s v="Palmistería"/>
    <x v="6"/>
    <s v="Se tapa el elevador  de nuez"/>
  </r>
  <r>
    <x v="341"/>
    <x v="1"/>
    <x v="3"/>
    <d v="1899-12-30T19:15:00"/>
    <d v="1899-12-30T21:07:00"/>
    <n v="1.8666666666666667"/>
    <x v="0"/>
    <x v="0"/>
    <s v="Falla mecánica"/>
    <s v="Clarificación"/>
    <x v="35"/>
    <s v="Se tapan los dos filtrocepillos no dejan pasar lodos ni las purgas ni a centrifuga por que se trabaja sin tamiz."/>
  </r>
  <r>
    <x v="342"/>
    <x v="1"/>
    <x v="3"/>
    <d v="1899-12-30T06:00:00"/>
    <d v="1899-12-30T08:20:00"/>
    <n v="2.3333333333333335"/>
    <x v="1"/>
    <x v="2"/>
    <s v="Arranque planta"/>
    <s v="Planta general"/>
    <x v="5"/>
    <s v="Se enciende caldera, se esteriliza fruto, se digesta e inicia proceso."/>
  </r>
  <r>
    <x v="343"/>
    <x v="1"/>
    <x v="3"/>
    <d v="1899-12-30T06:00:00"/>
    <d v="1899-12-30T07:12:00"/>
    <n v="1.2"/>
    <x v="1"/>
    <x v="2"/>
    <s v="Arranque planta"/>
    <s v="Planta general"/>
    <x v="5"/>
    <s v="Se enciende caldera, se esteriliza fruto, se digesta e inicia proceso."/>
  </r>
  <r>
    <x v="343"/>
    <x v="1"/>
    <x v="3"/>
    <d v="1899-12-30T05:40:00"/>
    <d v="1899-12-30T06:20:00"/>
    <n v="0.66666666666666663"/>
    <x v="0"/>
    <x v="1"/>
    <s v="Falla operativa"/>
    <s v="Recepción"/>
    <x v="7"/>
    <s v="Se llena el redler principal sobrecarga"/>
  </r>
  <r>
    <x v="343"/>
    <x v="1"/>
    <x v="3"/>
    <d v="1899-12-30T04:01:00"/>
    <d v="1899-12-30T05:00:00"/>
    <n v="0.98333333333333328"/>
    <x v="0"/>
    <x v="0"/>
    <s v="Falla mecánica"/>
    <s v="Desfrutado"/>
    <x v="14"/>
    <s v="Se revienta cadena redler N°1 de fruto cosido, se trabaja por la linea N°2"/>
  </r>
  <r>
    <x v="344"/>
    <x v="1"/>
    <x v="3"/>
    <d v="1899-12-30T08:18:00"/>
    <d v="1899-12-30T09:25:00"/>
    <n v="1.1166666666666667"/>
    <x v="0"/>
    <x v="0"/>
    <s v="Falla eléctrica"/>
    <s v="Planta generación energía electrica"/>
    <x v="51"/>
    <s v="Planta electrica presento falla en cableado de la misma."/>
  </r>
  <r>
    <x v="345"/>
    <x v="1"/>
    <x v="3"/>
    <d v="1899-12-30T11:47:00"/>
    <d v="1899-12-30T13:25:00"/>
    <n v="1.6333333333333333"/>
    <x v="0"/>
    <x v="0"/>
    <s v="Falla mecánica"/>
    <s v="Recepción"/>
    <x v="17"/>
    <s v="Se cae redler transversal en su mayoria"/>
  </r>
  <r>
    <x v="345"/>
    <x v="1"/>
    <x v="3"/>
    <d v="1899-12-30T04:28:00"/>
    <d v="1899-12-30T04:42:00"/>
    <n v="0.23333333333333334"/>
    <x v="0"/>
    <x v="0"/>
    <s v="Falla mecánica"/>
    <s v="Planta tratamiento de agua"/>
    <x v="74"/>
    <s v="Coje aire la bomba"/>
  </r>
  <r>
    <x v="346"/>
    <x v="1"/>
    <x v="3"/>
    <d v="1899-12-30T13:00:00"/>
    <d v="1899-12-30T14:40:00"/>
    <n v="1.6666666666666665"/>
    <x v="1"/>
    <x v="2"/>
    <s v="Arranque planta"/>
    <s v="Planta general"/>
    <x v="5"/>
    <s v="Se enciende caldera, se esteriliza fruto, se digesta e inicia proceso."/>
  </r>
  <r>
    <x v="346"/>
    <x v="1"/>
    <x v="3"/>
    <d v="1899-12-30T00:25:00"/>
    <d v="1899-12-30T01:00:00"/>
    <n v="0.58333333333333337"/>
    <x v="1"/>
    <x v="2"/>
    <s v="Arranque planta"/>
    <s v="Planta general"/>
    <x v="5"/>
    <s v="Se desocupo la prensa"/>
  </r>
  <r>
    <x v="347"/>
    <x v="1"/>
    <x v="3"/>
    <d v="1899-12-30T06:00:00"/>
    <d v="1899-12-30T08:13:00"/>
    <n v="2.2166666666666668"/>
    <x v="1"/>
    <x v="2"/>
    <s v="Arranque planta"/>
    <s v="Planta general"/>
    <x v="5"/>
    <s v="Se enciende caldera, se esteriliza fruto, se digesta e inicia proceso."/>
  </r>
  <r>
    <x v="347"/>
    <x v="1"/>
    <x v="3"/>
    <d v="1899-12-30T08:30:00"/>
    <d v="1899-12-30T09:13:00"/>
    <n v="0.71666666666666667"/>
    <x v="0"/>
    <x v="0"/>
    <s v="Falla eléctrica"/>
    <s v="Esterilización "/>
    <x v="58"/>
    <s v="fallas en los sensores"/>
  </r>
  <r>
    <x v="348"/>
    <x v="1"/>
    <x v="3"/>
    <d v="1899-12-30T06:00:00"/>
    <d v="1899-12-30T06:45:00"/>
    <n v="0.75"/>
    <x v="1"/>
    <x v="2"/>
    <s v="Arranque planta"/>
    <s v="Planta general"/>
    <x v="5"/>
    <s v="Se enciende caldera, se esteriliza fruto, se digesta e inicia proceso."/>
  </r>
  <r>
    <x v="348"/>
    <x v="1"/>
    <x v="3"/>
    <d v="1899-12-30T09:10:00"/>
    <d v="1899-12-30T09:55:00"/>
    <n v="0.75"/>
    <x v="0"/>
    <x v="0"/>
    <s v="Falla mecánica"/>
    <s v="Digestión y prensado"/>
    <x v="13"/>
    <s v="se apaga prensa para soldar brida suelta del cilindro hidraulico al cuerpo del porta-hidraulico"/>
  </r>
  <r>
    <x v="348"/>
    <x v="1"/>
    <x v="3"/>
    <d v="1899-12-30T22:00:00"/>
    <d v="1899-12-31T00:00:00"/>
    <n v="2"/>
    <x v="0"/>
    <x v="0"/>
    <s v="Falla mecánica"/>
    <s v="Clarificación"/>
    <x v="11"/>
    <s v="cambio de malla dañada."/>
  </r>
  <r>
    <x v="348"/>
    <x v="1"/>
    <x v="3"/>
    <d v="1899-12-30T00:00:00"/>
    <d v="1899-12-30T02:12:00"/>
    <n v="2.2000000000000002"/>
    <x v="0"/>
    <x v="0"/>
    <s v="Falla mecánica"/>
    <s v="Clarificación"/>
    <x v="35"/>
    <s v="caida del arbol de cepillo , atascamiento del filtro."/>
  </r>
  <r>
    <x v="348"/>
    <x v="1"/>
    <x v="3"/>
    <d v="1899-12-30T05:07:00"/>
    <d v="1899-12-30T06:00:00"/>
    <n v="0.8833333333333333"/>
    <x v="0"/>
    <x v="0"/>
    <s v="Falla mecánica"/>
    <s v="Desfrutado"/>
    <x v="2"/>
    <s v="Daño patin delantero lado elevador de fruto"/>
  </r>
  <r>
    <x v="349"/>
    <x v="1"/>
    <x v="3"/>
    <d v="1899-12-30T06:00:00"/>
    <d v="1899-12-30T10:30:00"/>
    <n v="4.5"/>
    <x v="0"/>
    <x v="0"/>
    <s v="Falla mecánica"/>
    <s v="Desfrutado"/>
    <x v="2"/>
    <s v="Daño patin delantero lado elevador de fruto"/>
  </r>
  <r>
    <x v="349"/>
    <x v="1"/>
    <x v="3"/>
    <d v="1899-12-30T10:45:00"/>
    <d v="1899-12-30T11:17:00"/>
    <n v="0.53333333333333333"/>
    <x v="0"/>
    <x v="1"/>
    <s v="Falla operativa"/>
    <s v="Planta generación energía electrica"/>
    <x v="51"/>
    <s v="Falta de combustible"/>
  </r>
  <r>
    <x v="349"/>
    <x v="1"/>
    <x v="3"/>
    <d v="1899-12-30T11:17:00"/>
    <d v="1899-12-30T12:49:00"/>
    <n v="1.5333333333333332"/>
    <x v="1"/>
    <x v="2"/>
    <s v="Capacitaciones"/>
    <s v="Planta general"/>
    <x v="5"/>
    <s v="capacitacion a todo el personal de planta"/>
  </r>
  <r>
    <x v="349"/>
    <x v="1"/>
    <x v="3"/>
    <d v="1899-12-30T12:49:00"/>
    <d v="1899-12-30T13:25:00"/>
    <n v="0.6"/>
    <x v="1"/>
    <x v="2"/>
    <s v="Arranque planta"/>
    <s v="Planta general"/>
    <x v="5"/>
    <s v="Se enciende caldera, se esteriliza fruto, se digesta e inicia proceso."/>
  </r>
  <r>
    <x v="349"/>
    <x v="1"/>
    <x v="3"/>
    <d v="1899-12-30T14:18:00"/>
    <d v="1899-12-30T15:35:00"/>
    <n v="1.2833333333333332"/>
    <x v="0"/>
    <x v="0"/>
    <s v="Falla mecánica"/>
    <s v="Clarificación"/>
    <x v="35"/>
    <s v="caida del arbol de cepillo , atascamiento del filtro."/>
  </r>
  <r>
    <x v="349"/>
    <x v="1"/>
    <x v="3"/>
    <d v="1899-12-30T06:45:00"/>
    <d v="1899-12-30T09:30:00"/>
    <n v="2.75"/>
    <x v="1"/>
    <x v="2"/>
    <s v="Trabajos de ampliación"/>
    <s v="Planta general"/>
    <x v="5"/>
    <s v="Falta de fruta por salida de operación Autoclave 1"/>
  </r>
  <r>
    <x v="350"/>
    <x v="1"/>
    <x v="3"/>
    <d v="1899-12-30T06:00:00"/>
    <d v="1899-12-30T07:12:00"/>
    <n v="1.2"/>
    <x v="1"/>
    <x v="2"/>
    <s v="Arranque planta"/>
    <s v="Planta general"/>
    <x v="5"/>
    <s v="Se enciende caldera, se esteriliza fruto, se digesta e inicia proceso."/>
  </r>
  <r>
    <x v="350"/>
    <x v="1"/>
    <x v="3"/>
    <d v="1899-12-30T09:12:00"/>
    <d v="1899-12-30T09:55:00"/>
    <n v="0.71666666666666667"/>
    <x v="0"/>
    <x v="0"/>
    <s v="Falla mecánica"/>
    <s v="Planta tratamiento de agua"/>
    <x v="75"/>
    <s v="El suavizador se tapa y no manda agua hacia la caldera"/>
  </r>
  <r>
    <x v="350"/>
    <x v="1"/>
    <x v="3"/>
    <d v="1899-12-30T13:14:00"/>
    <d v="1899-12-30T13:21:00"/>
    <n v="0.11666666666666667"/>
    <x v="1"/>
    <x v="2"/>
    <s v="Trabajos de ampliación"/>
    <s v="Planta general"/>
    <x v="5"/>
    <s v="Falta de fruta por salida de operación Autoclave 1"/>
  </r>
  <r>
    <x v="351"/>
    <x v="1"/>
    <x v="3"/>
    <d v="1899-12-30T18:25:00"/>
    <d v="1899-12-30T20:41:00"/>
    <n v="2.2666666666666666"/>
    <x v="1"/>
    <x v="2"/>
    <s v="Trabajos de ampliación"/>
    <s v="Planta general"/>
    <x v="5"/>
    <s v="Atraso por ampliación"/>
  </r>
  <r>
    <x v="351"/>
    <x v="1"/>
    <x v="3"/>
    <d v="1899-12-30T02:09:00"/>
    <d v="1899-12-30T04:08:00"/>
    <n v="1.9833333333333334"/>
    <x v="0"/>
    <x v="2"/>
    <s v="Falla eléctrica"/>
    <s v="Planta tratamiento de agua"/>
    <x v="69"/>
    <s v="Se daño interruptor de potencia principal"/>
  </r>
  <r>
    <x v="352"/>
    <x v="1"/>
    <x v="3"/>
    <d v="1899-12-30T09:01:00"/>
    <d v="1899-12-30T11:52:00"/>
    <n v="2.85"/>
    <x v="0"/>
    <x v="2"/>
    <s v="Falla mecánica"/>
    <s v="Recepción"/>
    <x v="56"/>
    <s v="Se descadena por falta de traviesas"/>
  </r>
  <r>
    <x v="352"/>
    <x v="1"/>
    <x v="3"/>
    <d v="1899-12-30T13:46:00"/>
    <d v="1899-12-30T18:16:00"/>
    <n v="4.5"/>
    <x v="1"/>
    <x v="2"/>
    <s v="Trabajos de ampliación"/>
    <s v="Planta general"/>
    <x v="5"/>
    <s v="Falta de fruta por salida de operación Autoclave 1"/>
  </r>
  <r>
    <x v="353"/>
    <x v="1"/>
    <x v="3"/>
    <d v="1899-12-30T12:10:00"/>
    <d v="1899-12-30T14:15:00"/>
    <n v="2.0833333333333335"/>
    <x v="1"/>
    <x v="2"/>
    <s v="Trabajos de ampliación"/>
    <s v="Planta general"/>
    <x v="5"/>
    <s v="Falta de fruta por salida de operación Autoclave 1"/>
  </r>
  <r>
    <x v="353"/>
    <x v="1"/>
    <x v="3"/>
    <d v="1899-12-30T18:00:00"/>
    <d v="1899-12-30T23:01:00"/>
    <n v="5.0166666666666666"/>
    <x v="0"/>
    <x v="2"/>
    <s v="Falla mecánica"/>
    <s v="Esterilización "/>
    <x v="44"/>
    <s v="vagoneta de la linea N°2 se descarrila"/>
  </r>
  <r>
    <x v="354"/>
    <x v="1"/>
    <x v="3"/>
    <d v="1899-12-30T06:27:00"/>
    <d v="1899-12-30T07:07:00"/>
    <n v="0.66666666666666663"/>
    <x v="0"/>
    <x v="2"/>
    <s v="Falla operativa"/>
    <s v="Planta generación de vapor"/>
    <x v="9"/>
    <s v="Taponamieno"/>
  </r>
  <r>
    <x v="354"/>
    <x v="1"/>
    <x v="3"/>
    <d v="1899-12-30T00:00:00"/>
    <d v="1899-12-30T03:18:00"/>
    <n v="3.3"/>
    <x v="0"/>
    <x v="2"/>
    <s v="Falla mecánica"/>
    <s v="Esterilización "/>
    <x v="18"/>
    <s v="Se descadena."/>
  </r>
  <r>
    <x v="354"/>
    <x v="1"/>
    <x v="3"/>
    <d v="1899-12-30T07:00:00"/>
    <d v="1899-12-30T08:30:00"/>
    <n v="1.5"/>
    <x v="1"/>
    <x v="2"/>
    <s v="Trabajos de ampliación"/>
    <s v="Planta general"/>
    <x v="5"/>
    <s v="Falta de fruta por salida de operación Autoclave 1"/>
  </r>
  <r>
    <x v="355"/>
    <x v="1"/>
    <x v="3"/>
    <d v="1899-12-30T09:00:00"/>
    <d v="1899-12-30T14:15:00"/>
    <n v="5.25"/>
    <x v="1"/>
    <x v="2"/>
    <s v="Trabajos de ampliación"/>
    <s v="Planta general"/>
    <x v="5"/>
    <s v="Falta de fruta por salida de operación Autoclave 1"/>
  </r>
  <r>
    <x v="355"/>
    <x v="1"/>
    <x v="3"/>
    <d v="1899-12-30T14:04:00"/>
    <d v="1899-12-30T15:20:00"/>
    <n v="1.2666666666666666"/>
    <x v="0"/>
    <x v="2"/>
    <s v="Falla mecánica"/>
    <s v="Esterilización "/>
    <x v="39"/>
    <s v="Cambio de Acople"/>
  </r>
  <r>
    <x v="355"/>
    <x v="1"/>
    <x v="3"/>
    <d v="1899-12-30T22:49:00"/>
    <d v="1899-12-30T23:20:00"/>
    <n v="0.51666666666666672"/>
    <x v="0"/>
    <x v="2"/>
    <s v="Falla mecánica"/>
    <s v="Esterilización "/>
    <x v="44"/>
    <s v="vagoneta de la linea N°2 se descarrila"/>
  </r>
  <r>
    <x v="356"/>
    <x v="1"/>
    <x v="3"/>
    <d v="1899-12-30T06:30:00"/>
    <d v="1899-12-30T11:15:00"/>
    <n v="4.75"/>
    <x v="1"/>
    <x v="2"/>
    <s v="Trabajos de ampliación"/>
    <s v="Planta general"/>
    <x v="5"/>
    <s v="Falta de fruta por salida de operación Autoclave 1"/>
  </r>
  <r>
    <x v="357"/>
    <x v="1"/>
    <x v="3"/>
    <d v="1899-12-30T06:10:00"/>
    <d v="1899-12-30T07:57:00"/>
    <n v="1.7833333333333332"/>
    <x v="1"/>
    <x v="2"/>
    <s v="Trabajos de ampliación"/>
    <s v="Planta general"/>
    <x v="5"/>
    <s v="Falta de fruta por salida de operación Autoclave 2"/>
  </r>
  <r>
    <x v="357"/>
    <x v="1"/>
    <x v="3"/>
    <d v="1899-12-30T08:28:00"/>
    <d v="1899-12-30T17:15:00"/>
    <n v="8.7833333333333332"/>
    <x v="0"/>
    <x v="2"/>
    <s v="Falla mecánica"/>
    <s v="Recepción"/>
    <x v="7"/>
    <s v="Se cae redler y se reconstruye las curvas superiores ya no contaba con guias y el cuerpo se reconstruyó en esta parte del equipo."/>
  </r>
  <r>
    <x v="357"/>
    <x v="1"/>
    <x v="3"/>
    <d v="1899-12-30T06:40:00"/>
    <d v="1899-12-30T07:39:00"/>
    <n v="0.98333333333333328"/>
    <x v="1"/>
    <x v="2"/>
    <s v="Trabajos de ampliación"/>
    <s v="Planta general"/>
    <x v="5"/>
    <s v="Falta de fruta por salida de operación Autoclave 1"/>
  </r>
  <r>
    <x v="357"/>
    <x v="1"/>
    <x v="3"/>
    <d v="1899-12-30T21:34:00"/>
    <d v="1899-12-30T23:36:00"/>
    <n v="2.0333333333333332"/>
    <x v="0"/>
    <x v="2"/>
    <s v="Falla mecánica"/>
    <s v="Recepción"/>
    <x v="7"/>
    <s v="Se descadena redler principal, se monta y se habilita"/>
  </r>
  <r>
    <x v="357"/>
    <x v="1"/>
    <x v="3"/>
    <d v="1899-12-30T00:24:00"/>
    <d v="1899-12-30T01:45:00"/>
    <n v="1.35"/>
    <x v="0"/>
    <x v="2"/>
    <s v="Falla operativa"/>
    <s v="Planta generación de vapor"/>
    <x v="22"/>
    <s v="Se acava la fibra seca, la fibra del patio se encuentra mojada se alimenta con cascarilla."/>
  </r>
  <r>
    <x v="358"/>
    <x v="1"/>
    <x v="3"/>
    <d v="1899-12-30T08:26:00"/>
    <d v="1899-12-30T09:16:00"/>
    <n v="0.83333333333333337"/>
    <x v="1"/>
    <x v="2"/>
    <s v="Trabajos de ampliación"/>
    <s v="Planta general"/>
    <x v="5"/>
    <s v="Falta de fruta por salida de operación Autoclave 1"/>
  </r>
  <r>
    <x v="358"/>
    <x v="1"/>
    <x v="3"/>
    <d v="1899-12-30T11:52:00"/>
    <d v="1899-12-30T12:58:00"/>
    <n v="1.1000000000000001"/>
    <x v="0"/>
    <x v="0"/>
    <s v="Falla mecánica"/>
    <s v="Desfrutado"/>
    <x v="18"/>
    <s v="Descadenamiento, se revisa y ajusta."/>
  </r>
  <r>
    <x v="358"/>
    <x v="1"/>
    <x v="3"/>
    <d v="1899-12-30T17:00:00"/>
    <d v="1899-12-30T21:51:00"/>
    <n v="4.8499999999999996"/>
    <x v="0"/>
    <x v="0"/>
    <s v="Falla mecánica"/>
    <s v="Recepción"/>
    <x v="7"/>
    <s v="Se descadena redler principal, se monta y se habilita"/>
  </r>
  <r>
    <x v="358"/>
    <x v="1"/>
    <x v="3"/>
    <d v="1899-12-30T22:00:00"/>
    <d v="1899-12-30T23:59:00"/>
    <n v="1.9833333333333334"/>
    <x v="0"/>
    <x v="1"/>
    <s v="Falla operativa"/>
    <s v="Planta generación de vapor"/>
    <x v="22"/>
    <s v="Falta de combustible"/>
  </r>
  <r>
    <x v="358"/>
    <x v="1"/>
    <x v="3"/>
    <d v="1899-12-30T00:30:00"/>
    <d v="1899-12-30T00:45:00"/>
    <n v="0.25"/>
    <x v="0"/>
    <x v="0"/>
    <s v="Falla mecánica"/>
    <s v="Desfrutado"/>
    <x v="18"/>
    <s v="Descadenamiento, se revisa y ajusta."/>
  </r>
  <r>
    <x v="358"/>
    <x v="1"/>
    <x v="3"/>
    <d v="1899-12-30T02:27:00"/>
    <d v="1899-12-30T03:30:00"/>
    <n v="1.05"/>
    <x v="1"/>
    <x v="3"/>
    <s v="Trabajos de ampliación"/>
    <s v="Planta general"/>
    <x v="5"/>
    <s v="Falta de fruta por salida de operación Autoclave 1"/>
  </r>
  <r>
    <x v="359"/>
    <x v="1"/>
    <x v="4"/>
    <d v="1899-12-30T06:00:00"/>
    <d v="1899-12-30T14:22:00"/>
    <n v="8.3666666666666671"/>
    <x v="0"/>
    <x v="0"/>
    <s v="Falla mecánica"/>
    <s v="Recepción"/>
    <x v="7"/>
    <s v="Se desencadena redler principal"/>
  </r>
  <r>
    <x v="359"/>
    <x v="1"/>
    <x v="4"/>
    <d v="1899-12-30T19:00:00"/>
    <d v="1899-12-30T19:37:00"/>
    <n v="0.6166666666666667"/>
    <x v="0"/>
    <x v="0"/>
    <s v="Falla mecánica"/>
    <s v="Esterilización "/>
    <x v="52"/>
    <s v="se descarrila vagoneta porque tiene los rodamientos en mal estado"/>
  </r>
  <r>
    <x v="359"/>
    <x v="1"/>
    <x v="4"/>
    <d v="1899-12-30T22:00:00"/>
    <d v="1899-12-30T23:00:00"/>
    <n v="1"/>
    <x v="1"/>
    <x v="3"/>
    <s v="Trabajos de ampliación"/>
    <s v="Planta general"/>
    <x v="5"/>
    <s v="Falta de fruta por salida de operación Autoclave 1"/>
  </r>
  <r>
    <x v="359"/>
    <x v="1"/>
    <x v="4"/>
    <d v="1899-12-30T00:00:00"/>
    <d v="1899-12-30T06:00:00"/>
    <n v="6"/>
    <x v="1"/>
    <x v="3"/>
    <s v="Trabajos de ampliación"/>
    <s v="Planta general"/>
    <x v="5"/>
    <s v="Falta de fruta por salida de operación Autoclave 1"/>
  </r>
  <r>
    <x v="360"/>
    <x v="1"/>
    <x v="4"/>
    <d v="1899-12-30T06:00:00"/>
    <d v="1899-12-30T07:00:00"/>
    <n v="1"/>
    <x v="1"/>
    <x v="3"/>
    <s v="Trabajos de ampliación"/>
    <s v="Planta general"/>
    <x v="5"/>
    <s v="Falta de fruta por salida de operación Autoclave 1"/>
  </r>
  <r>
    <x v="360"/>
    <x v="1"/>
    <x v="4"/>
    <d v="1899-12-30T17:00:00"/>
    <d v="1899-12-31T00:00:00"/>
    <n v="7"/>
    <x v="0"/>
    <x v="0"/>
    <s v="Falla eléctrica"/>
    <s v="Planta generación de vapor"/>
    <x v="66"/>
    <s v="Cable en corto circuito"/>
  </r>
  <r>
    <x v="360"/>
    <x v="1"/>
    <x v="4"/>
    <d v="1899-12-30T02:00:00"/>
    <d v="1899-12-30T06:00:00"/>
    <n v="4"/>
    <x v="0"/>
    <x v="0"/>
    <s v="Falla mecánica"/>
    <s v="Digestión y prensado"/>
    <x v="38"/>
    <s v="Manguera se suelta del racor, la unidad presenta problemas de ajuste, se devuelver los conos."/>
  </r>
  <r>
    <x v="361"/>
    <x v="1"/>
    <x v="4"/>
    <d v="1899-12-30T14:00:00"/>
    <d v="1899-12-30T18:00:00"/>
    <n v="4"/>
    <x v="1"/>
    <x v="3"/>
    <s v="Trabajos de ampliación"/>
    <s v="Planta general"/>
    <x v="5"/>
    <s v="Falta de fruta por salida de operación Autoclave 1"/>
  </r>
  <r>
    <x v="361"/>
    <x v="1"/>
    <x v="4"/>
    <d v="1899-12-30T00:00:00"/>
    <d v="1899-12-30T05:00:00"/>
    <n v="5"/>
    <x v="1"/>
    <x v="3"/>
    <s v="Trabajos de ampliación"/>
    <s v="Planta general"/>
    <x v="5"/>
    <s v="Falta de fruta por salida de operación Autoclave 1"/>
  </r>
  <r>
    <x v="362"/>
    <x v="1"/>
    <x v="4"/>
    <d v="1899-12-30T06:00:00"/>
    <d v="1899-12-30T12:00:00"/>
    <n v="6"/>
    <x v="1"/>
    <x v="3"/>
    <s v="Trabajos de ampliación"/>
    <s v="Planta general"/>
    <x v="5"/>
    <s v="Falta de fruta por salida de operación Autoclave 1"/>
  </r>
  <r>
    <x v="362"/>
    <x v="1"/>
    <x v="4"/>
    <d v="1899-12-30T12:00:00"/>
    <d v="1899-12-30T12:35:00"/>
    <n v="0.58333333333333337"/>
    <x v="0"/>
    <x v="0"/>
    <s v="Falla mecánica"/>
    <s v="Esterilización "/>
    <x v="52"/>
    <s v="se descarrila vagoneta porque tiene los rodamientos en mal estado"/>
  </r>
  <r>
    <x v="362"/>
    <x v="1"/>
    <x v="4"/>
    <d v="1899-12-30T18:00:00"/>
    <d v="1899-12-30T23:12:00"/>
    <n v="5.2"/>
    <x v="1"/>
    <x v="3"/>
    <s v="Trabajos de ampliación"/>
    <s v="Planta general"/>
    <x v="5"/>
    <s v="Falta de fruta por salida de operación Autoclave 1"/>
  </r>
  <r>
    <x v="363"/>
    <x v="1"/>
    <x v="4"/>
    <d v="1899-12-30T06:00:00"/>
    <d v="1899-12-30T07:32:00"/>
    <n v="1.5333333333333332"/>
    <x v="0"/>
    <x v="0"/>
    <s v="Falla mecánica"/>
    <s v="Recepción"/>
    <x v="7"/>
    <s v="Se descarrilo cadena "/>
  </r>
  <r>
    <x v="363"/>
    <x v="1"/>
    <x v="4"/>
    <d v="1899-12-30T08:11:00"/>
    <d v="1899-12-30T09:00:00"/>
    <n v="0.81666666666666665"/>
    <x v="0"/>
    <x v="0"/>
    <s v="Falla mecánica"/>
    <s v="Recepción"/>
    <x v="7"/>
    <s v="Se descarrilo cadena "/>
  </r>
  <r>
    <x v="363"/>
    <x v="1"/>
    <x v="4"/>
    <d v="1899-12-30T12:00:00"/>
    <d v="1899-12-30T17:00:00"/>
    <n v="5"/>
    <x v="1"/>
    <x v="3"/>
    <s v="Trabajos de ampliación"/>
    <s v="Planta general"/>
    <x v="5"/>
    <s v="Falta de fruta por salida de operación Autoclave 1"/>
  </r>
  <r>
    <x v="363"/>
    <x v="1"/>
    <x v="4"/>
    <d v="1899-12-30T00:00:00"/>
    <d v="1899-12-30T05:30:00"/>
    <n v="5.5"/>
    <x v="1"/>
    <x v="3"/>
    <s v="Trabajos de ampliación"/>
    <s v="Planta general"/>
    <x v="5"/>
    <s v="Falta de fruta por salida de operación Autoclave 1"/>
  </r>
  <r>
    <x v="364"/>
    <x v="1"/>
    <x v="4"/>
    <d v="1899-12-30T06:00:00"/>
    <d v="1899-12-30T13:12:00"/>
    <n v="7.2"/>
    <x v="0"/>
    <x v="0"/>
    <s v="Falla mecánica"/>
    <s v="Desfrutado"/>
    <x v="8"/>
    <s v="Se fractura cadena del elevador"/>
  </r>
  <r>
    <x v="364"/>
    <x v="1"/>
    <x v="4"/>
    <d v="1899-12-30T14:01:00"/>
    <d v="1899-12-30T14:59:00"/>
    <n v="0.96666666666666667"/>
    <x v="0"/>
    <x v="0"/>
    <s v="Falla mecánica"/>
    <s v="Desfrutado"/>
    <x v="50"/>
    <s v="banda de tusa se frena porque se encuentra desprendida y se atasca con los angulos y los rodillos"/>
  </r>
  <r>
    <x v="364"/>
    <x v="1"/>
    <x v="4"/>
    <d v="1899-12-30T17:07:00"/>
    <d v="1899-12-30T18:00:00"/>
    <n v="0.8833333333333333"/>
    <x v="0"/>
    <x v="0"/>
    <s v="Falla mecánica"/>
    <s v="Esterilización "/>
    <x v="52"/>
    <s v="se descarrila vagoneta porque tiene los rodamientos en mal estado"/>
  </r>
  <r>
    <x v="364"/>
    <x v="1"/>
    <x v="4"/>
    <d v="1899-12-30T18:00:00"/>
    <d v="1899-12-30T21:00:00"/>
    <n v="3"/>
    <x v="0"/>
    <x v="0"/>
    <s v="Falla mecánica"/>
    <s v="Esterilización "/>
    <x v="52"/>
    <s v="se descarrila vagoneta porque tiene los rodamientos en mal estado"/>
  </r>
  <r>
    <x v="364"/>
    <x v="1"/>
    <x v="4"/>
    <d v="1899-12-30T03:18:00"/>
    <d v="1899-12-30T04:12:00"/>
    <n v="0.9"/>
    <x v="0"/>
    <x v="0"/>
    <s v="Falla mecánica"/>
    <s v="Desfrutado"/>
    <x v="8"/>
    <s v="Se suelta ganguilon del elevador"/>
  </r>
  <r>
    <x v="365"/>
    <x v="1"/>
    <x v="4"/>
    <d v="1899-12-30T08:01:00"/>
    <d v="1899-12-30T08:29:00"/>
    <n v="0.46666666666666667"/>
    <x v="0"/>
    <x v="0"/>
    <s v="Falla mecánica"/>
    <s v="Desfrutado"/>
    <x v="50"/>
    <s v="Se atasca banda de tusa y tapa desfrutador a no tener la capacidad de evacuar tusa."/>
  </r>
  <r>
    <x v="365"/>
    <x v="1"/>
    <x v="4"/>
    <d v="1899-12-30T09:40:00"/>
    <d v="1899-12-30T10:12:00"/>
    <n v="0.53333333333333333"/>
    <x v="0"/>
    <x v="0"/>
    <s v="Falla mecánica"/>
    <s v="Desfrutado"/>
    <x v="50"/>
    <s v="Se corta banda y se inicia a trabajar sin bamda de tusa"/>
  </r>
  <r>
    <x v="365"/>
    <x v="1"/>
    <x v="4"/>
    <d v="1899-12-30T10:45:00"/>
    <d v="1899-12-30T13:49:00"/>
    <n v="3.0666666666666669"/>
    <x v="0"/>
    <x v="0"/>
    <s v="Falla mecánica"/>
    <s v="Planta generación de vapor"/>
    <x v="59"/>
    <s v="Se parte bastago del la valvula modulante"/>
  </r>
  <r>
    <x v="365"/>
    <x v="1"/>
    <x v="4"/>
    <d v="1899-12-30T14:30:00"/>
    <d v="1899-12-30T15:58:00"/>
    <n v="1.4666666666666668"/>
    <x v="1"/>
    <x v="2"/>
    <s v="Trabajos de ampliación"/>
    <s v="Planta general"/>
    <x v="5"/>
    <s v="no se produce la misma cantidada de biomasa necesaria para mantener caldera, al tabajar a media marcha"/>
  </r>
  <r>
    <x v="365"/>
    <x v="1"/>
    <x v="4"/>
    <d v="1899-12-30T09:50:00"/>
    <d v="1899-12-30T10:25:00"/>
    <n v="0.58333333333333337"/>
    <x v="0"/>
    <x v="1"/>
    <s v="Falla operativa"/>
    <s v="Desfrutado"/>
    <x v="50"/>
    <s v="Sin operario que retirara tusa, ya que no habia banda se retira tusa de forma manual. "/>
  </r>
  <r>
    <x v="365"/>
    <x v="1"/>
    <x v="4"/>
    <d v="1899-12-30T10:59:00"/>
    <d v="1899-12-30T11:26:00"/>
    <n v="0.45"/>
    <x v="0"/>
    <x v="0"/>
    <s v="Falla mecánica"/>
    <s v="Planta generación de vapor"/>
    <x v="76"/>
    <s v="Se parte pega del redler de la caldera"/>
  </r>
  <r>
    <x v="365"/>
    <x v="1"/>
    <x v="4"/>
    <d v="1899-12-30T00:10:00"/>
    <d v="1899-12-30T02:00:00"/>
    <n v="1.8333333333333335"/>
    <x v="1"/>
    <x v="2"/>
    <s v="Trabajos de ampliación"/>
    <s v="Planta general"/>
    <x v="5"/>
    <s v="no se produce la misma cantidada de biomasa necesaria para mantener caldera, al tabajar a media marcha"/>
  </r>
  <r>
    <x v="366"/>
    <x v="1"/>
    <x v="4"/>
    <d v="1899-12-30T03:20:00"/>
    <d v="1899-12-30T04:00:00"/>
    <n v="0.66666666666666663"/>
    <x v="0"/>
    <x v="1"/>
    <s v="Falla operativa"/>
    <s v="Desfrutado"/>
    <x v="19"/>
    <s v="Se  para sinfín bajo desfrutador por sobre alimentación de fruto."/>
  </r>
  <r>
    <x v="366"/>
    <x v="1"/>
    <x v="4"/>
    <d v="1899-12-30T05:20:00"/>
    <d v="1899-12-30T06:55:00"/>
    <n v="1.5833333333333335"/>
    <x v="1"/>
    <x v="2"/>
    <s v="Trabajos de ampliación"/>
    <s v="Planta general"/>
    <x v="5"/>
    <s v="no se produce la misma cantidada de biomasa necesaria para mantener caldera, al tabajar a media marcha"/>
  </r>
  <r>
    <x v="366"/>
    <x v="1"/>
    <x v="4"/>
    <d v="1899-12-30T01:16:00"/>
    <d v="1899-12-30T02:13:00"/>
    <n v="0.95"/>
    <x v="0"/>
    <x v="0"/>
    <s v="Falla mecánica"/>
    <s v="Desfibración"/>
    <x v="0"/>
    <s v="Se caen paletas y golpean  el cuerpo."/>
  </r>
  <r>
    <x v="367"/>
    <x v="1"/>
    <x v="4"/>
    <d v="1899-12-30T07:30:00"/>
    <d v="1899-12-30T11:13:00"/>
    <n v="3.7166666666666668"/>
    <x v="0"/>
    <x v="0"/>
    <s v="Falla eléctrica"/>
    <s v="Desfibración"/>
    <x v="46"/>
    <s v="Se daña rodamiento del motor de la esclusa de fibra "/>
  </r>
  <r>
    <x v="367"/>
    <x v="1"/>
    <x v="4"/>
    <d v="1899-12-30T02:45:00"/>
    <d v="1899-12-30T03:43:00"/>
    <n v="0.96666666666666667"/>
    <x v="1"/>
    <x v="2"/>
    <s v="Trabajos de ampliación"/>
    <s v="Planta general"/>
    <x v="5"/>
    <s v="no se produce la misma cantidada de biomasa necesaria para mantener caldera, al tabajar a media marcha"/>
  </r>
  <r>
    <x v="367"/>
    <x v="1"/>
    <x v="4"/>
    <d v="1899-12-30T10:50:00"/>
    <d v="1899-12-30T12:00:00"/>
    <n v="1.1666666666666667"/>
    <x v="0"/>
    <x v="0"/>
    <s v="Falla mecánica"/>
    <s v="Desfrutado"/>
    <x v="8"/>
    <s v="Se descadena elevador en piñon inferior"/>
  </r>
  <r>
    <x v="368"/>
    <x v="1"/>
    <x v="4"/>
    <d v="1899-12-30T12:28:00"/>
    <d v="1899-12-30T13:06:00"/>
    <n v="0.6333333333333333"/>
    <x v="0"/>
    <x v="0"/>
    <s v="Falla mecánica"/>
    <s v="Planta tratamiento de agua"/>
    <x v="74"/>
    <s v="Falla bomba al parecer por cheque de la tuberia."/>
  </r>
  <r>
    <x v="368"/>
    <x v="1"/>
    <x v="4"/>
    <d v="1899-12-30T17:25:00"/>
    <d v="1899-12-30T18:06:00"/>
    <n v="0.68333333333333335"/>
    <x v="0"/>
    <x v="1"/>
    <s v="Falla operativa"/>
    <s v="Planta generación de vapor"/>
    <x v="9"/>
    <s v="Se tapa por sobrecarga con redler de caldera"/>
  </r>
  <r>
    <x v="368"/>
    <x v="1"/>
    <x v="4"/>
    <d v="1899-12-30T21:40:00"/>
    <d v="1899-12-30T22:21:00"/>
    <n v="0.68333333333333335"/>
    <x v="1"/>
    <x v="2"/>
    <s v="Trabajos de ampliación"/>
    <s v="Planta general"/>
    <x v="5"/>
    <s v="no se produce la misma cantidada de biomasa necesaria para mantener caldera, al tabajar a media marcha"/>
  </r>
  <r>
    <x v="369"/>
    <x v="1"/>
    <x v="4"/>
    <d v="1899-12-30T06:00:00"/>
    <d v="1899-12-30T07:00:00"/>
    <n v="1"/>
    <x v="1"/>
    <x v="2"/>
    <s v="Trabajos de ampliación"/>
    <s v="Planta general"/>
    <x v="5"/>
    <s v="no se produce la misma cantidada de biomasa necesaria para mantener caldera, al tabajar a media marcha"/>
  </r>
  <r>
    <x v="369"/>
    <x v="1"/>
    <x v="4"/>
    <d v="1899-12-30T07:00:00"/>
    <d v="1899-12-30T09:57:00"/>
    <n v="2.95"/>
    <x v="1"/>
    <x v="2"/>
    <s v="Trabajos de ampliación"/>
    <s v="Planta general"/>
    <x v="5"/>
    <s v="no se produce la misma cantidada de biomasa necesaria para mantener caldera, al tabajar a media marcha"/>
  </r>
  <r>
    <x v="369"/>
    <x v="1"/>
    <x v="4"/>
    <d v="1899-12-30T05:19:00"/>
    <d v="1899-12-30T06:20:00"/>
    <n v="1.0166666666666666"/>
    <x v="0"/>
    <x v="0"/>
    <s v="Falla mecánica"/>
    <s v="Digestión y prensado"/>
    <x v="38"/>
    <s v="Se suelta manguera de la unidad hidraulica de la prensa."/>
  </r>
  <r>
    <x v="370"/>
    <x v="1"/>
    <x v="4"/>
    <d v="1899-12-30T08:23:00"/>
    <d v="1899-12-30T09:26:00"/>
    <n v="1.05"/>
    <x v="0"/>
    <x v="1"/>
    <s v="Falla operativa"/>
    <s v="Desfrutado"/>
    <x v="2"/>
    <s v="Se tapa anillos del desfrutador fruto que demaciada impureza"/>
  </r>
  <r>
    <x v="370"/>
    <x v="1"/>
    <x v="4"/>
    <d v="1899-12-30T13:10:00"/>
    <d v="1899-12-30T13:36:00"/>
    <n v="0.43333333333333335"/>
    <x v="1"/>
    <x v="2"/>
    <s v="Trabajos de ampliación"/>
    <s v="Planta general"/>
    <x v="5"/>
    <s v="no se produce la misma cantidada de biomasa necesaria para mantener caldera, al tabajar a media marcha"/>
  </r>
  <r>
    <x v="370"/>
    <x v="1"/>
    <x v="4"/>
    <d v="1899-12-30T18:20:00"/>
    <d v="1899-12-30T18:47:00"/>
    <n v="0.45"/>
    <x v="1"/>
    <x v="2"/>
    <s v="Trabajos de ampliación"/>
    <s v="Planta general"/>
    <x v="5"/>
    <s v="no se produce la misma cantidada de biomasa necesaria para mantener caldera, al tabajar a media marcha"/>
  </r>
  <r>
    <x v="370"/>
    <x v="1"/>
    <x v="4"/>
    <d v="1899-12-30T19:15:00"/>
    <d v="1899-12-30T20:10:00"/>
    <n v="0.91666666666666663"/>
    <x v="1"/>
    <x v="2"/>
    <s v="Trabajos de ampliación"/>
    <s v="Planta general"/>
    <x v="5"/>
    <s v="no se produce la misma cantidada de biomasa necesaria para mantener caldera, al tabajar a media marcha"/>
  </r>
  <r>
    <x v="371"/>
    <x v="1"/>
    <x v="4"/>
    <d v="1899-12-30T06:00:00"/>
    <d v="1899-12-30T07:40:00"/>
    <n v="1.6666666666666665"/>
    <x v="1"/>
    <x v="2"/>
    <s v="Arranque planta"/>
    <s v="Planta general"/>
    <x v="5"/>
    <s v="Se enciende caldera, se esteriliza fruto, se digesta e inicia proceso."/>
  </r>
  <r>
    <x v="371"/>
    <x v="1"/>
    <x v="4"/>
    <d v="1899-12-30T08:30:00"/>
    <d v="1899-12-30T09:04:00"/>
    <n v="0.56666666666666665"/>
    <x v="0"/>
    <x v="0"/>
    <s v="Falla mecánica"/>
    <s v="Desfibración"/>
    <x v="0"/>
    <s v="Ajuste de Paletas sueltas"/>
  </r>
  <r>
    <x v="371"/>
    <x v="1"/>
    <x v="4"/>
    <d v="1899-12-30T13:00:00"/>
    <d v="1899-12-30T13:50:00"/>
    <n v="0.83333333333333337"/>
    <x v="0"/>
    <x v="0"/>
    <s v="Falla mecánica"/>
    <s v="Digestión y prensado"/>
    <x v="13"/>
    <s v="Se despego el ocho que sostiene la canasta de prensado"/>
  </r>
  <r>
    <x v="372"/>
    <x v="1"/>
    <x v="4"/>
    <d v="1899-12-30T06:00:00"/>
    <d v="1899-12-30T07:25:00"/>
    <n v="1.4166666666666667"/>
    <x v="1"/>
    <x v="2"/>
    <s v="Arranque planta"/>
    <s v="Planta general"/>
    <x v="5"/>
    <s v="Se enciende caldera, se esteriliza fruto, se digesta e inicia proceso."/>
  </r>
  <r>
    <x v="372"/>
    <x v="1"/>
    <x v="4"/>
    <d v="1899-12-30T09:46:00"/>
    <d v="1899-12-30T10:37:00"/>
    <n v="0.85"/>
    <x v="1"/>
    <x v="2"/>
    <s v="Trabajos de ampliación"/>
    <s v="Planta general"/>
    <x v="5"/>
    <s v="no se produce la misma cantidada de biomasa necesaria para mantener caldera, al tabajar a media marcha"/>
  </r>
  <r>
    <x v="372"/>
    <x v="1"/>
    <x v="4"/>
    <d v="1899-12-30T14:00:00"/>
    <d v="1899-12-30T14:18:00"/>
    <n v="0.3"/>
    <x v="1"/>
    <x v="2"/>
    <s v="Trabajos de ampliación"/>
    <s v="Planta general"/>
    <x v="5"/>
    <s v="no se produce la misma cantidada de biomasa necesaria para mantener caldera, al tabajar a media marcha"/>
  </r>
  <r>
    <x v="372"/>
    <x v="1"/>
    <x v="4"/>
    <d v="1899-12-30T20:32:00"/>
    <d v="1899-12-30T21:04:00"/>
    <n v="0.53333333333333333"/>
    <x v="0"/>
    <x v="1"/>
    <s v="Falla operativa"/>
    <s v="Clarificación"/>
    <x v="48"/>
    <s v="Boquillas tapadas"/>
  </r>
  <r>
    <x v="373"/>
    <x v="1"/>
    <x v="4"/>
    <d v="1899-12-30T06:00:00"/>
    <d v="1899-12-30T06:38:00"/>
    <n v="0.6333333333333333"/>
    <x v="1"/>
    <x v="2"/>
    <s v="Arranque planta"/>
    <s v="Planta general"/>
    <x v="5"/>
    <s v="Se enciende caldera, se esteriliza fruto, se digesta e inicia proceso."/>
  </r>
  <r>
    <x v="373"/>
    <x v="1"/>
    <x v="4"/>
    <d v="1899-12-30T06:38:00"/>
    <d v="1899-12-30T07:19:00"/>
    <n v="0.68333333333333335"/>
    <x v="0"/>
    <x v="0"/>
    <s v="Falla mecánica"/>
    <s v="Desfrutado"/>
    <x v="2"/>
    <s v="se fractura cadena del desfrutador"/>
  </r>
  <r>
    <x v="374"/>
    <x v="1"/>
    <x v="4"/>
    <d v="1899-12-30T06:00:00"/>
    <d v="1899-12-30T06:40:00"/>
    <n v="0.66666666666666663"/>
    <x v="1"/>
    <x v="2"/>
    <s v="Arranque planta"/>
    <s v="Planta general"/>
    <x v="5"/>
    <s v="Se enciende caldera, se esteriliza fruto, se digesta e inicia proceso."/>
  </r>
  <r>
    <x v="374"/>
    <x v="1"/>
    <x v="4"/>
    <d v="1899-12-30T06:40:00"/>
    <d v="1899-12-30T11:40:00"/>
    <n v="5"/>
    <x v="0"/>
    <x v="0"/>
    <s v="Falla mecánica"/>
    <s v="Desfrutado"/>
    <x v="8"/>
    <s v="se fracturo la cadena del desfrutador se soltaron y atascaron 3 canguilones"/>
  </r>
  <r>
    <x v="374"/>
    <x v="1"/>
    <x v="4"/>
    <d v="1899-12-30T11:40:00"/>
    <d v="1899-12-30T12:40:00"/>
    <n v="1"/>
    <x v="0"/>
    <x v="0"/>
    <s v="Falla mecánica"/>
    <s v="Desfibración"/>
    <x v="61"/>
    <s v="se paro para cambiar buje dañado en uno de los puentes intermedios"/>
  </r>
  <r>
    <x v="374"/>
    <x v="1"/>
    <x v="4"/>
    <d v="1899-12-30T12:40:00"/>
    <d v="1899-12-30T13:20:00"/>
    <n v="0.66666666666666663"/>
    <x v="0"/>
    <x v="0"/>
    <s v="Falla mecánica"/>
    <s v="Digestión y prensado"/>
    <x v="13"/>
    <s v="Se paro para ajustar correas que no tenian agarre"/>
  </r>
  <r>
    <x v="375"/>
    <x v="1"/>
    <x v="4"/>
    <d v="1899-12-30T20:00:00"/>
    <d v="1899-12-30T22:12:00"/>
    <n v="2.2000000000000002"/>
    <x v="1"/>
    <x v="2"/>
    <s v="Trabajos de ampliación"/>
    <s v="Planta general"/>
    <x v="5"/>
    <s v="Se tiene el factor de esterilización bajo"/>
  </r>
  <r>
    <x v="376"/>
    <x v="1"/>
    <x v="4"/>
    <d v="1899-12-30T11:08:00"/>
    <d v="1899-12-30T13:21:00"/>
    <n v="2.2166666666666668"/>
    <x v="0"/>
    <x v="0"/>
    <s v="Falla mecánica"/>
    <s v="Desfrutado"/>
    <x v="8"/>
    <s v="Cadena tarta de descadenarce, se para para revisar"/>
  </r>
  <r>
    <x v="377"/>
    <x v="1"/>
    <x v="4"/>
    <d v="1899-12-30T08:00:00"/>
    <d v="1899-12-30T08:26:00"/>
    <n v="0.43333333333333335"/>
    <x v="0"/>
    <x v="1"/>
    <s v="Falla operativa"/>
    <s v="Desfrutado"/>
    <x v="2"/>
    <s v="Debido al los dias de lluvia el fruto llega con impureza lo que tapa la desfrutadora operarios ingresan a desfrutadora y limpian."/>
  </r>
  <r>
    <x v="377"/>
    <x v="1"/>
    <x v="4"/>
    <d v="1899-12-30T10:07:00"/>
    <d v="1899-12-30T13:34:00"/>
    <n v="3.45"/>
    <x v="0"/>
    <x v="0"/>
    <s v="Falla mecánica"/>
    <s v="Recepción"/>
    <x v="7"/>
    <s v="Se parte chumacera del troque central"/>
  </r>
  <r>
    <x v="377"/>
    <x v="1"/>
    <x v="4"/>
    <d v="1899-12-30T16:10:00"/>
    <d v="1899-12-30T17:15:00"/>
    <n v="1.0833333333333333"/>
    <x v="0"/>
    <x v="1"/>
    <s v="Falla operativa"/>
    <s v="Desfrutado"/>
    <x v="2"/>
    <s v="Debido al los dias de lluvia el fruto llega con impureza lo que tapa la desfrutadora operarios ingresan a desfrutadora y limpian."/>
  </r>
  <r>
    <x v="378"/>
    <x v="1"/>
    <x v="4"/>
    <d v="1899-12-30T06:00:00"/>
    <d v="1899-12-30T06:48:00"/>
    <n v="0.8"/>
    <x v="0"/>
    <x v="1"/>
    <s v="Falla operativa"/>
    <s v="Desfrutado"/>
    <x v="2"/>
    <s v="Se tiene el factor de esterilización bajo"/>
  </r>
  <r>
    <x v="379"/>
    <x v="1"/>
    <x v="4"/>
    <d v="1899-12-30T06:00:00"/>
    <d v="1899-12-30T07:00:00"/>
    <n v="1"/>
    <x v="1"/>
    <x v="2"/>
    <s v="Arranque planta"/>
    <s v="Planta general"/>
    <x v="5"/>
    <s v="Se enciende caldera, se esteriliza fruto, se digesta e inicia proceso."/>
  </r>
  <r>
    <x v="379"/>
    <x v="1"/>
    <x v="4"/>
    <d v="1899-12-30T08:15:00"/>
    <d v="1899-12-30T09:10:00"/>
    <n v="0.91666666666666663"/>
    <x v="1"/>
    <x v="2"/>
    <s v="Trabajos de ampliación"/>
    <s v="Planta general"/>
    <x v="5"/>
    <s v="Se tiene el factor de esterilización bajo"/>
  </r>
  <r>
    <x v="379"/>
    <x v="1"/>
    <x v="4"/>
    <d v="1899-12-30T16:30:00"/>
    <d v="1899-12-30T22:00:00"/>
    <n v="5.5"/>
    <x v="0"/>
    <x v="0"/>
    <s v="Falla mecánica"/>
    <s v="Planta generación de vapor"/>
    <x v="66"/>
    <s v="Se daña chumacera y acople omega 50, del eje del ventilador"/>
  </r>
  <r>
    <x v="380"/>
    <x v="1"/>
    <x v="4"/>
    <d v="1899-12-30T18:00:00"/>
    <d v="1899-12-30T20:51:00"/>
    <n v="2.85"/>
    <x v="1"/>
    <x v="2"/>
    <s v="Arranque planta"/>
    <s v="Planta general"/>
    <x v="5"/>
    <s v="Se enciende caldera, se esteriliza fruto, se digesta e inicia proceso."/>
  </r>
  <r>
    <x v="380"/>
    <x v="1"/>
    <x v="4"/>
    <d v="1899-12-30T21:55:00"/>
    <d v="1899-12-30T22:25:00"/>
    <n v="0.5"/>
    <x v="0"/>
    <x v="0"/>
    <s v="Falla mecánica"/>
    <s v="Digestión y prensado"/>
    <x v="38"/>
    <s v="Falla mangueras"/>
  </r>
  <r>
    <x v="380"/>
    <x v="1"/>
    <x v="4"/>
    <d v="1899-12-30T03:57:00"/>
    <d v="1899-12-30T04:23:00"/>
    <n v="0.43333333333333335"/>
    <x v="0"/>
    <x v="0"/>
    <s v="Falla eléctrica"/>
    <s v="Planta generación energía electrica"/>
    <x v="69"/>
    <s v="Falla electrica problemas con la ups"/>
  </r>
  <r>
    <x v="381"/>
    <x v="1"/>
    <x v="5"/>
    <d v="1899-12-30T06:00:00"/>
    <d v="1899-12-30T08:13:00"/>
    <n v="2.2166666666666668"/>
    <x v="0"/>
    <x v="0"/>
    <s v="Falla eléctrica"/>
    <s v="Planta generación de vapor"/>
    <x v="77"/>
    <s v="Corto electrico en la acometida del motor"/>
  </r>
  <r>
    <x v="382"/>
    <x v="1"/>
    <x v="5"/>
    <d v="1899-12-30T20:00:00"/>
    <d v="1899-12-30T20:30:00"/>
    <n v="0.5"/>
    <x v="1"/>
    <x v="2"/>
    <s v="Arranque planta"/>
    <s v="Planta general"/>
    <x v="5"/>
    <s v="Se enciende caldera, se esteriliza fruto, se digesta e inicia proceso."/>
  </r>
  <r>
    <x v="382"/>
    <x v="1"/>
    <x v="5"/>
    <d v="1899-12-30T21:15:00"/>
    <d v="1899-12-31T00:00:00"/>
    <n v="2.75"/>
    <x v="0"/>
    <x v="0"/>
    <s v="Falla mecánica"/>
    <s v="Planta generación de vapor"/>
    <x v="76"/>
    <s v="Se fractura cadena ocasiona atrasos en la esterilizacion "/>
  </r>
  <r>
    <x v="382"/>
    <x v="1"/>
    <x v="5"/>
    <d v="1899-12-30T03:19:00"/>
    <d v="1899-12-30T03:37:00"/>
    <n v="0.3"/>
    <x v="0"/>
    <x v="1"/>
    <s v="Falla operativa"/>
    <s v="Digestión y prensado"/>
    <x v="28"/>
    <s v="atascamiento en el sinfín"/>
  </r>
  <r>
    <x v="383"/>
    <x v="1"/>
    <x v="5"/>
    <d v="1899-12-30T09:01:00"/>
    <d v="1899-12-30T09:26:00"/>
    <n v="0.41666666666666669"/>
    <x v="1"/>
    <x v="2"/>
    <s v="Trabajos de ampliación"/>
    <s v="Planta general"/>
    <x v="5"/>
    <s v="Se tiene el factor de esterilización bajo"/>
  </r>
  <r>
    <x v="383"/>
    <x v="1"/>
    <x v="5"/>
    <d v="1899-12-30T09:26:00"/>
    <d v="1899-12-30T09:50:00"/>
    <n v="0.4"/>
    <x v="0"/>
    <x v="0"/>
    <s v="Falla mecánica"/>
    <s v="Desfrutado"/>
    <x v="14"/>
    <s v="falla por traviesas"/>
  </r>
  <r>
    <x v="383"/>
    <x v="1"/>
    <x v="5"/>
    <d v="1899-12-30T14:10:00"/>
    <d v="1899-12-30T14:50:00"/>
    <n v="0.66666666666666663"/>
    <x v="0"/>
    <x v="0"/>
    <s v="Falla eléctrica"/>
    <s v="Desfrutado"/>
    <x v="78"/>
    <s v="Falla en la camara "/>
  </r>
  <r>
    <x v="383"/>
    <x v="1"/>
    <x v="5"/>
    <d v="1899-12-30T20:32:00"/>
    <d v="1899-12-30T21:18:00"/>
    <n v="0.76666666666666672"/>
    <x v="0"/>
    <x v="1"/>
    <s v="Falla operativa"/>
    <s v="Desfrutado"/>
    <x v="1"/>
    <s v="atascamiento en el sinfín"/>
  </r>
  <r>
    <x v="384"/>
    <x v="1"/>
    <x v="5"/>
    <d v="1899-12-30T18:00:00"/>
    <d v="1899-12-30T18:36:00"/>
    <n v="0.6"/>
    <x v="1"/>
    <x v="2"/>
    <s v="Arranque planta"/>
    <s v="Planta general"/>
    <x v="5"/>
    <s v="Se enciende caldera, se esteriliza fruto, se digesta e inicia proceso."/>
  </r>
  <r>
    <x v="384"/>
    <x v="1"/>
    <x v="5"/>
    <d v="1899-12-30T18:40:00"/>
    <d v="1899-12-30T19:40:00"/>
    <n v="1"/>
    <x v="0"/>
    <x v="0"/>
    <s v="Falla mecánica"/>
    <s v="Desfrutado"/>
    <x v="8"/>
    <s v="Falla en la cadena del elevador"/>
  </r>
  <r>
    <x v="385"/>
    <x v="1"/>
    <x v="5"/>
    <d v="1899-12-30T04:00:00"/>
    <d v="1899-12-30T06:30:00"/>
    <n v="2.5"/>
    <x v="0"/>
    <x v="0"/>
    <s v="Falla mecánica"/>
    <s v="Clarificación"/>
    <x v="55"/>
    <s v="Se parten cables del tamiz de lodos, se empalma cableado y se hailita"/>
  </r>
  <r>
    <x v="386"/>
    <x v="1"/>
    <x v="5"/>
    <d v="1899-12-30T17:30:00"/>
    <d v="1899-12-30T18:10:00"/>
    <n v="0.66666666666666663"/>
    <x v="0"/>
    <x v="0"/>
    <s v="Falla mecánica"/>
    <s v="Desfrutado"/>
    <x v="18"/>
    <s v="Se descadena redler, se encadena y se habiita."/>
  </r>
  <r>
    <x v="386"/>
    <x v="1"/>
    <x v="5"/>
    <d v="1899-12-30T19:10:00"/>
    <d v="1899-12-30T19:40:00"/>
    <n v="0.5"/>
    <x v="0"/>
    <x v="0"/>
    <s v="Falla mecánica"/>
    <s v="Desfrutado"/>
    <x v="18"/>
    <s v="Se revienta cadena del redler"/>
  </r>
  <r>
    <x v="387"/>
    <x v="1"/>
    <x v="5"/>
    <d v="1899-12-30T01:32:00"/>
    <d v="1899-12-30T02:10:00"/>
    <n v="0.6333333333333333"/>
    <x v="0"/>
    <x v="0"/>
    <s v="Falla mecánica"/>
    <s v="Clarificación"/>
    <x v="55"/>
    <s v="Se corre cuerpo del tamiz, se acomoda y se ajusta de nuevo."/>
  </r>
  <r>
    <x v="388"/>
    <x v="1"/>
    <x v="5"/>
    <d v="1899-12-30T22:25:00"/>
    <d v="1899-12-30T23:00:00"/>
    <n v="0.58333333333333337"/>
    <x v="0"/>
    <x v="0"/>
    <s v="Falla mecánica"/>
    <s v="Recepción"/>
    <x v="29"/>
    <s v="Se atasca y se corren correas."/>
  </r>
  <r>
    <x v="388"/>
    <x v="1"/>
    <x v="5"/>
    <d v="1899-12-30T01:45:00"/>
    <d v="1899-12-30T02:00:00"/>
    <n v="0.25"/>
    <x v="0"/>
    <x v="1"/>
    <s v="Falla operativa"/>
    <s v="Planta generación de vapor"/>
    <x v="22"/>
    <s v="operario deja caer presión por alimentación manual por no hay pajarita"/>
  </r>
  <r>
    <x v="389"/>
    <x v="1"/>
    <x v="5"/>
    <d v="1899-12-30T11:55:00"/>
    <d v="1899-12-30T12:08:00"/>
    <n v="0.21666666666666667"/>
    <x v="0"/>
    <x v="0"/>
    <s v="Falla mecánica"/>
    <s v="Desfibración"/>
    <x v="9"/>
    <s v="Se corre buje del puente intermedio, se para y se posiciona."/>
  </r>
  <r>
    <x v="389"/>
    <x v="1"/>
    <x v="5"/>
    <d v="1899-12-30T00:01:00"/>
    <d v="1899-12-30T01:50:00"/>
    <n v="1.8166666666666667"/>
    <x v="0"/>
    <x v="0"/>
    <s v="Falla mecánica"/>
    <s v="Desfrutado"/>
    <x v="19"/>
    <s v="Se parten tornillos pasantes, se evacua fruto y se cambian tornillos."/>
  </r>
  <r>
    <x v="390"/>
    <x v="1"/>
    <x v="5"/>
    <d v="1899-12-30T09:24:00"/>
    <d v="1899-12-30T09:57:00"/>
    <n v="0.55000000000000004"/>
    <x v="0"/>
    <x v="0"/>
    <s v="Falla mecánica"/>
    <s v="Desfrutado"/>
    <x v="8"/>
    <s v="Golpea en el cuerpo, se para y se revisa "/>
  </r>
  <r>
    <x v="390"/>
    <x v="1"/>
    <x v="5"/>
    <d v="1899-12-30T13:20:00"/>
    <d v="1899-12-30T15:00:00"/>
    <n v="1.6666666666666665"/>
    <x v="0"/>
    <x v="3"/>
    <s v="Falta de fruta fresca"/>
    <s v="Planta general"/>
    <x v="5"/>
    <s v="Falta de fruta en tolva"/>
  </r>
  <r>
    <x v="391"/>
    <x v="1"/>
    <x v="5"/>
    <d v="1899-12-30T11:45:00"/>
    <d v="1899-12-30T12:20:00"/>
    <n v="0.58333333333333337"/>
    <x v="0"/>
    <x v="0"/>
    <s v="Falla mecánica"/>
    <s v="Esterilización "/>
    <x v="44"/>
    <s v="falla  vagoneta linea N°1"/>
  </r>
  <r>
    <x v="391"/>
    <x v="1"/>
    <x v="5"/>
    <d v="1899-12-30T14:50:00"/>
    <d v="1899-12-30T17:53:00"/>
    <n v="3.05"/>
    <x v="0"/>
    <x v="0"/>
    <s v="Falla mecánica"/>
    <s v="Planta tratamiento de agua"/>
    <x v="75"/>
    <s v="Se baja el nivel de agua en la caldera hace caer la presión."/>
  </r>
  <r>
    <x v="392"/>
    <x v="1"/>
    <x v="5"/>
    <d v="1899-12-30T12:50:00"/>
    <d v="1899-12-30T14:31:00"/>
    <n v="1.6833333333333333"/>
    <x v="0"/>
    <x v="0"/>
    <s v="Falla mecánica"/>
    <s v="Clarificación"/>
    <x v="55"/>
    <s v="Se satura y se tapa, se ajustan pesas y se invierte"/>
  </r>
  <r>
    <x v="393"/>
    <x v="1"/>
    <x v="5"/>
    <d v="1899-12-30T09:50:00"/>
    <d v="1899-12-30T10:40:00"/>
    <n v="0.83333333333333337"/>
    <x v="0"/>
    <x v="3"/>
    <s v="Falta de fruta fresca"/>
    <s v="Planta general"/>
    <x v="5"/>
    <s v="-"/>
  </r>
  <r>
    <x v="393"/>
    <x v="1"/>
    <x v="5"/>
    <d v="1899-12-30T10:40:00"/>
    <d v="1899-12-30T11:20:00"/>
    <n v="0.66666666666666663"/>
    <x v="0"/>
    <x v="0"/>
    <s v="Falla mecánica"/>
    <s v="Esterilización "/>
    <x v="44"/>
    <s v="Se parte acople entre vagonetas "/>
  </r>
  <r>
    <x v="393"/>
    <x v="1"/>
    <x v="5"/>
    <d v="1899-12-30T11:20:00"/>
    <d v="1899-12-30T11:40:00"/>
    <n v="0.33333333333333331"/>
    <x v="0"/>
    <x v="0"/>
    <s v="Falla eléctrica"/>
    <s v="Desfrutado"/>
    <x v="2"/>
    <s v="Falla elecrica al arranque "/>
  </r>
  <r>
    <x v="393"/>
    <x v="1"/>
    <x v="5"/>
    <d v="1899-12-30T14:00:00"/>
    <d v="1899-12-30T16:30:00"/>
    <n v="2.5"/>
    <x v="0"/>
    <x v="0"/>
    <s v="Falla mecánica"/>
    <s v="Esterilización "/>
    <x v="44"/>
    <s v="Se parte acople y se dobla lamina de la vagoneta"/>
  </r>
  <r>
    <x v="393"/>
    <x v="1"/>
    <x v="5"/>
    <d v="1899-12-30T04:46:00"/>
    <d v="1899-12-30T06:48:00"/>
    <n v="2.0333333333333332"/>
    <x v="0"/>
    <x v="0"/>
    <s v="Falla mecánica"/>
    <s v="Desfrutado"/>
    <x v="14"/>
    <s v="Se revienta pega de cadena, se cambia dicha pega."/>
  </r>
  <r>
    <x v="393"/>
    <x v="1"/>
    <x v="5"/>
    <d v="1899-12-30T08:26:00"/>
    <d v="1899-12-30T09:36:00"/>
    <n v="1.1666666666666667"/>
    <x v="0"/>
    <x v="0"/>
    <s v="Falla mecánica"/>
    <s v="Desfrutado"/>
    <x v="14"/>
    <s v="Se revienta pega de cadena, se cambia dicha pega."/>
  </r>
  <r>
    <x v="394"/>
    <x v="1"/>
    <x v="5"/>
    <d v="1899-12-30T06:21:00"/>
    <d v="1899-12-30T08:44:00"/>
    <n v="2.3833333333333333"/>
    <x v="0"/>
    <x v="0"/>
    <s v="Falla mecánica"/>
    <s v="Recepción"/>
    <x v="29"/>
    <s v="Se revientan correas y atraza el llenado"/>
  </r>
  <r>
    <x v="394"/>
    <x v="1"/>
    <x v="5"/>
    <d v="1899-12-30T12:18:00"/>
    <d v="1899-12-30T16:18:00"/>
    <n v="4"/>
    <x v="0"/>
    <x v="0"/>
    <s v="Falla mecánica"/>
    <s v="Planta generación de vapor"/>
    <x v="22"/>
    <s v="Falla valvula modulante del desaireador de la caldera se elimina valvula y se trabaja directo"/>
  </r>
  <r>
    <x v="395"/>
    <x v="1"/>
    <x v="5"/>
    <d v="1899-12-30T13:01:00"/>
    <d v="1899-12-30T22:00:00"/>
    <n v="8.9833333333333325"/>
    <x v="0"/>
    <x v="0"/>
    <s v="Falla mecánica"/>
    <s v="Esterilización "/>
    <x v="12"/>
    <s v="Motoreductor del tambor de volteo falla"/>
  </r>
  <r>
    <x v="396"/>
    <x v="1"/>
    <x v="5"/>
    <d v="1899-12-30T06:00:00"/>
    <d v="1899-12-30T22:00:00"/>
    <n v="16"/>
    <x v="0"/>
    <x v="0"/>
    <s v="Falla mecánica"/>
    <s v="Esterilización "/>
    <x v="12"/>
    <s v="Motoreductor del tambor de volteo falla"/>
  </r>
  <r>
    <x v="397"/>
    <x v="1"/>
    <x v="5"/>
    <d v="1899-12-30T06:00:00"/>
    <d v="1899-12-30T22:00:00"/>
    <n v="16"/>
    <x v="0"/>
    <x v="0"/>
    <s v="Falla mecánica"/>
    <s v="Esterilización "/>
    <x v="12"/>
    <s v="Motoreductor del tambor de volteo falla"/>
  </r>
  <r>
    <x v="398"/>
    <x v="1"/>
    <x v="5"/>
    <d v="1899-12-30T06:00:00"/>
    <d v="1899-12-30T14:45:00"/>
    <n v="8.75"/>
    <x v="0"/>
    <x v="0"/>
    <s v="Falla mecánica"/>
    <s v="Esterilización "/>
    <x v="12"/>
    <s v="Motoreductor del tambor de volteo falla"/>
  </r>
  <r>
    <x v="399"/>
    <x v="1"/>
    <x v="5"/>
    <d v="1899-12-30T20:05:00"/>
    <d v="1899-12-30T21:22:00"/>
    <n v="1.2833333333333332"/>
    <x v="0"/>
    <x v="0"/>
    <s v="Falla mecánica"/>
    <s v="Esterilización "/>
    <x v="44"/>
    <s v="Se atasca vagoneta en linea N°2"/>
  </r>
  <r>
    <x v="399"/>
    <x v="1"/>
    <x v="5"/>
    <d v="1899-12-30T22:50:00"/>
    <d v="1899-12-30T23:20:00"/>
    <n v="0.5"/>
    <x v="0"/>
    <x v="0"/>
    <s v="Falla mecánica"/>
    <s v="Recepción"/>
    <x v="56"/>
    <s v="Se suelta pega"/>
  </r>
  <r>
    <x v="399"/>
    <x v="1"/>
    <x v="5"/>
    <d v="1899-12-30T11:30:00"/>
    <d v="1899-12-30T12:20:00"/>
    <n v="0.83333333333333337"/>
    <x v="0"/>
    <x v="0"/>
    <s v="Falla mecánica"/>
    <s v="Esterilización "/>
    <x v="44"/>
    <s v="Se atasca vagoneta en linea N°2"/>
  </r>
  <r>
    <x v="400"/>
    <x v="1"/>
    <x v="5"/>
    <d v="1899-12-30T06:57:00"/>
    <d v="1899-12-30T10:03:00"/>
    <n v="3.1"/>
    <x v="0"/>
    <x v="0"/>
    <s v="Falla mecánica"/>
    <s v="Desfrutado"/>
    <x v="36"/>
    <s v="Se atascan gatos de las compuertas de descarga de basculantes"/>
  </r>
  <r>
    <x v="401"/>
    <x v="1"/>
    <x v="5"/>
    <d v="1899-12-30T06:00:00"/>
    <d v="1899-12-30T09:40:00"/>
    <n v="3.6666666666666665"/>
    <x v="0"/>
    <x v="0"/>
    <s v="Falla mecánica"/>
    <s v="Esterilización "/>
    <x v="12"/>
    <s v="Camión no disponible para volteo."/>
  </r>
  <r>
    <x v="401"/>
    <x v="1"/>
    <x v="5"/>
    <d v="1899-12-30T13:40:00"/>
    <d v="1899-12-30T15:01:00"/>
    <n v="1.35"/>
    <x v="0"/>
    <x v="0"/>
    <s v="Falla mecánica"/>
    <s v="Planta generación de vapor"/>
    <x v="22"/>
    <s v="Falta de fruta esterilizada porque la parrilla viajera molestando"/>
  </r>
  <r>
    <x v="401"/>
    <x v="1"/>
    <x v="5"/>
    <d v="1899-12-30T20:14:00"/>
    <d v="1899-12-30T22:20:00"/>
    <n v="2.1"/>
    <x v="0"/>
    <x v="0"/>
    <s v="Falla mecánica"/>
    <s v="Esterilización "/>
    <x v="12"/>
    <s v="Camión no disponible para volteo."/>
  </r>
  <r>
    <x v="402"/>
    <x v="1"/>
    <x v="5"/>
    <d v="1899-12-30T09:00:00"/>
    <d v="1899-12-30T09:35:00"/>
    <n v="0.58333333333333337"/>
    <x v="0"/>
    <x v="0"/>
    <s v="Falla mecánica"/>
    <s v="Esterilización "/>
    <x v="44"/>
    <s v="Se descarrila en riel"/>
  </r>
  <r>
    <x v="402"/>
    <x v="1"/>
    <x v="5"/>
    <d v="1899-12-30T09:35:00"/>
    <d v="1899-12-30T10:35:00"/>
    <n v="1"/>
    <x v="0"/>
    <x v="0"/>
    <s v="Falla mecánica"/>
    <s v="Esterilización "/>
    <x v="12"/>
    <s v="Camión no disponible para volteo."/>
  </r>
  <r>
    <x v="402"/>
    <x v="1"/>
    <x v="5"/>
    <d v="1899-12-30T15:01:00"/>
    <d v="1899-12-30T16:20:00"/>
    <n v="1.3166666666666667"/>
    <x v="0"/>
    <x v="0"/>
    <s v="Falla mecánica"/>
    <s v="Esterilización "/>
    <x v="44"/>
    <s v="Se descarrila en riel"/>
  </r>
  <r>
    <x v="402"/>
    <x v="1"/>
    <x v="5"/>
    <d v="1899-12-30T17:35:00"/>
    <d v="1899-12-30T20:01:00"/>
    <n v="2.4333333333333336"/>
    <x v="0"/>
    <x v="0"/>
    <s v="Falla mecánica"/>
    <s v="Esterilización "/>
    <x v="12"/>
    <s v="Camión no disponible para volteo."/>
  </r>
  <r>
    <x v="403"/>
    <x v="1"/>
    <x v="5"/>
    <d v="1899-12-30T06:30:00"/>
    <d v="1899-12-30T10:02:00"/>
    <n v="3.5333333333333332"/>
    <x v="0"/>
    <x v="0"/>
    <s v="Falla mecánica"/>
    <s v="Digestión y prensado"/>
    <x v="13"/>
    <s v="Falla Unidad Hidráulica, se daña acople"/>
  </r>
  <r>
    <x v="403"/>
    <x v="1"/>
    <x v="5"/>
    <d v="1899-12-30T12:20:00"/>
    <d v="1899-12-30T17:00:00"/>
    <n v="4.666666666666667"/>
    <x v="0"/>
    <x v="0"/>
    <s v="Falla mecánica"/>
    <s v="Esterilización "/>
    <x v="12"/>
    <s v="Camión no disponible para volteo."/>
  </r>
  <r>
    <x v="404"/>
    <x v="1"/>
    <x v="5"/>
    <d v="1899-12-30T12:20:00"/>
    <d v="1899-12-30T12:50:00"/>
    <n v="0.5"/>
    <x v="0"/>
    <x v="0"/>
    <s v="Falla mecánica"/>
    <s v="Esterilización "/>
    <x v="12"/>
    <s v="Camión no disponible para volteo."/>
  </r>
  <r>
    <x v="405"/>
    <x v="2"/>
    <x v="6"/>
    <d v="1899-12-30T13:34:00"/>
    <d v="1899-12-30T16:02:00"/>
    <n v="2.4666666666666668"/>
    <x v="0"/>
    <x v="0"/>
    <s v="Falla mecánica"/>
    <s v="Esterilización "/>
    <x v="12"/>
    <s v="Camión no disponible para volteo."/>
  </r>
  <r>
    <x v="405"/>
    <x v="2"/>
    <x v="6"/>
    <d v="1899-12-30T17:33:00"/>
    <d v="1899-12-30T18:00:00"/>
    <n v="0.45"/>
    <x v="0"/>
    <x v="0"/>
    <s v="Falla mecánica"/>
    <s v="Esterilización "/>
    <x v="12"/>
    <s v="Camión no disponible para volteo."/>
  </r>
  <r>
    <x v="405"/>
    <x v="2"/>
    <x v="6"/>
    <d v="1899-12-30T18:00:00"/>
    <d v="1899-12-30T19:00:00"/>
    <n v="1"/>
    <x v="0"/>
    <x v="0"/>
    <s v="Falla mecánica"/>
    <s v="Esterilización "/>
    <x v="12"/>
    <s v="Camión no disponible para volteo."/>
  </r>
  <r>
    <x v="405"/>
    <x v="2"/>
    <x v="6"/>
    <d v="1899-12-30T21:20:00"/>
    <d v="1899-12-30T22:03:00"/>
    <n v="0.71666666666666667"/>
    <x v="0"/>
    <x v="0"/>
    <s v="Falla mecánica"/>
    <s v="Clarificación"/>
    <x v="37"/>
    <s v="Fuga de lodos"/>
  </r>
  <r>
    <x v="405"/>
    <x v="2"/>
    <x v="6"/>
    <d v="1899-12-30T01:00:00"/>
    <d v="1899-12-30T02:00:00"/>
    <n v="1"/>
    <x v="0"/>
    <x v="0"/>
    <s v="Falla mecánica"/>
    <s v="Planta generación de vapor"/>
    <x v="79"/>
    <s v="zapatas y perfiles en mal estado, parrilla frenada."/>
  </r>
  <r>
    <x v="405"/>
    <x v="2"/>
    <x v="6"/>
    <d v="1899-12-30T11:51:00"/>
    <d v="1899-12-30T12:15:00"/>
    <n v="0.4"/>
    <x v="0"/>
    <x v="0"/>
    <s v="Falla mecánica"/>
    <s v="Esterilización "/>
    <x v="12"/>
    <s v="Camión no disponible para volteo."/>
  </r>
  <r>
    <x v="405"/>
    <x v="2"/>
    <x v="6"/>
    <d v="1899-12-30T13:00:00"/>
    <d v="1899-12-30T18:00:00"/>
    <n v="5"/>
    <x v="0"/>
    <x v="0"/>
    <s v="Falla mecánica"/>
    <s v="Clarificación"/>
    <x v="80"/>
    <s v="habilitar centrifuga"/>
  </r>
  <r>
    <x v="405"/>
    <x v="2"/>
    <x v="6"/>
    <d v="1899-12-30T20:00:00"/>
    <d v="1899-12-31T00:00:00"/>
    <n v="4"/>
    <x v="0"/>
    <x v="0"/>
    <s v="Falla mecánica"/>
    <s v="Esterilización "/>
    <x v="12"/>
    <s v="Camión no disponible para volteo."/>
  </r>
  <r>
    <x v="405"/>
    <x v="2"/>
    <x v="6"/>
    <d v="1899-12-30T00:00:00"/>
    <d v="1899-12-30T06:00:00"/>
    <n v="6"/>
    <x v="0"/>
    <x v="0"/>
    <s v="Falla mecánica"/>
    <s v="Planta generación de vapor"/>
    <x v="79"/>
    <s v="zapatas y perfiles en mal estado, parrilla frenada."/>
  </r>
  <r>
    <x v="406"/>
    <x v="2"/>
    <x v="6"/>
    <d v="1899-12-30T18:20:00"/>
    <d v="1899-12-31T00:00:00"/>
    <n v="2.8333333333333335"/>
    <x v="0"/>
    <x v="0"/>
    <s v="Falla mecánica"/>
    <s v="Esterilización "/>
    <x v="12"/>
    <s v="Camión no disponible para volteo."/>
  </r>
  <r>
    <x v="406"/>
    <x v="2"/>
    <x v="6"/>
    <d v="1899-12-30T00:00:00"/>
    <d v="1899-12-30T06:00:00"/>
    <n v="3"/>
    <x v="0"/>
    <x v="0"/>
    <s v="Falla mecánica"/>
    <s v="Esterilización "/>
    <x v="12"/>
    <s v="Camión no disponible para volteo."/>
  </r>
  <r>
    <x v="406"/>
    <x v="2"/>
    <x v="6"/>
    <d v="1899-12-30T06:00:00"/>
    <d v="1899-12-30T09:55:00"/>
    <n v="1.9583333333333333"/>
    <x v="0"/>
    <x v="0"/>
    <s v="Falla mecánica"/>
    <s v="Esterilización "/>
    <x v="12"/>
    <s v="Camión no disponible para volteo."/>
  </r>
  <r>
    <x v="406"/>
    <x v="2"/>
    <x v="6"/>
    <d v="1899-12-30T06:00:00"/>
    <d v="1899-12-30T14:15:00"/>
    <n v="4.125"/>
    <x v="0"/>
    <x v="0"/>
    <s v="Falla mecánica"/>
    <s v="Esterilización "/>
    <x v="12"/>
    <s v="Camión no disponible para volteo."/>
  </r>
  <r>
    <x v="406"/>
    <x v="2"/>
    <x v="6"/>
    <d v="1899-12-30T15:00:00"/>
    <d v="1899-12-30T16:25:00"/>
    <n v="0.70833333333333337"/>
    <x v="0"/>
    <x v="0"/>
    <s v="Falla mecánica"/>
    <s v="Esterilización "/>
    <x v="12"/>
    <s v="Camión no disponible para volteo."/>
  </r>
  <r>
    <x v="406"/>
    <x v="2"/>
    <x v="6"/>
    <d v="1899-12-30T16:45:00"/>
    <d v="1899-12-30T18:00:00"/>
    <n v="0.625"/>
    <x v="0"/>
    <x v="0"/>
    <s v="Falla mecánica"/>
    <s v="Esterilización "/>
    <x v="12"/>
    <s v="Camión no disponible para volteo."/>
  </r>
  <r>
    <x v="406"/>
    <x v="2"/>
    <x v="6"/>
    <d v="1899-12-30T06:00:00"/>
    <d v="1899-12-30T12:00:00"/>
    <n v="3"/>
    <x v="0"/>
    <x v="0"/>
    <s v="Falla mecánica"/>
    <s v="Planta generación de vapor"/>
    <x v="79"/>
    <s v="zapatas y perfiles en mal estado, parrilla frenada."/>
  </r>
  <r>
    <x v="406"/>
    <x v="2"/>
    <x v="6"/>
    <d v="1899-12-30T04:40:00"/>
    <d v="1899-12-30T06:00:00"/>
    <n v="0.66666666666666663"/>
    <x v="0"/>
    <x v="1"/>
    <s v="Falla operativa"/>
    <s v="Desfibración"/>
    <x v="46"/>
    <s v="atascamiento"/>
  </r>
  <r>
    <x v="407"/>
    <x v="2"/>
    <x v="6"/>
    <d v="1899-12-30T06:00:00"/>
    <d v="1899-12-30T07:00:00"/>
    <n v="0.5"/>
    <x v="0"/>
    <x v="0"/>
    <s v="Falla mecánica"/>
    <s v="Esterilización "/>
    <x v="12"/>
    <s v="Camión no disponible para volteo."/>
  </r>
  <r>
    <x v="407"/>
    <x v="2"/>
    <x v="6"/>
    <d v="1899-12-30T09:24:00"/>
    <d v="1899-12-30T18:00:00"/>
    <n v="4.3"/>
    <x v="0"/>
    <x v="1"/>
    <s v="Falla operativa"/>
    <s v="Planta generación de vapor"/>
    <x v="81"/>
    <s v="ductos tapados"/>
  </r>
  <r>
    <x v="407"/>
    <x v="2"/>
    <x v="6"/>
    <d v="1899-12-30T09:24:00"/>
    <d v="1899-12-30T18:00:00"/>
    <n v="4.3"/>
    <x v="0"/>
    <x v="1"/>
    <s v="Falla operativa"/>
    <s v="Planta generación de vapor"/>
    <x v="81"/>
    <s v="ductos tapados"/>
  </r>
  <r>
    <x v="407"/>
    <x v="2"/>
    <x v="6"/>
    <d v="1899-12-30T18:00:00"/>
    <d v="1899-12-31T00:00:00"/>
    <n v="3"/>
    <x v="0"/>
    <x v="0"/>
    <s v="Falla mecánica"/>
    <s v="Digestión y prensado"/>
    <x v="13"/>
    <s v="motor quemado"/>
  </r>
  <r>
    <x v="407"/>
    <x v="2"/>
    <x v="6"/>
    <d v="1899-12-30T00:00:00"/>
    <d v="1899-12-30T06:00:00"/>
    <n v="3"/>
    <x v="0"/>
    <x v="0"/>
    <s v="Falla mecánica"/>
    <s v="Digestión y prensado"/>
    <x v="13"/>
    <s v="motor quemado"/>
  </r>
  <r>
    <x v="407"/>
    <x v="2"/>
    <x v="6"/>
    <d v="1899-12-30T19:30:00"/>
    <d v="1899-12-31T00:00:00"/>
    <n v="2.25"/>
    <x v="0"/>
    <x v="0"/>
    <s v="Falla mecánica"/>
    <s v="Digestión y prensado"/>
    <x v="82"/>
    <s v="daño acople"/>
  </r>
  <r>
    <x v="407"/>
    <x v="2"/>
    <x v="6"/>
    <d v="1899-12-30T00:00:00"/>
    <d v="1899-12-30T06:00:00"/>
    <n v="3"/>
    <x v="0"/>
    <x v="0"/>
    <s v="Falla mecánica"/>
    <s v="Digestión y prensado"/>
    <x v="82"/>
    <s v="daño acople"/>
  </r>
  <r>
    <x v="408"/>
    <x v="2"/>
    <x v="6"/>
    <d v="1899-12-30T06:00:00"/>
    <d v="1899-12-30T12:10:00"/>
    <n v="3.0833333333333335"/>
    <x v="0"/>
    <x v="0"/>
    <s v="Falla mecánica"/>
    <s v="Digestión y prensado"/>
    <x v="13"/>
    <s v="motor quemado"/>
  </r>
  <r>
    <x v="408"/>
    <x v="2"/>
    <x v="6"/>
    <d v="1899-12-30T15:56:00"/>
    <d v="1899-12-30T16:52:00"/>
    <n v="0.46666666666666667"/>
    <x v="0"/>
    <x v="0"/>
    <s v="Falla mecánica"/>
    <s v="Esterilización "/>
    <x v="12"/>
    <s v="Camión no disponible para volteo."/>
  </r>
  <r>
    <x v="408"/>
    <x v="2"/>
    <x v="6"/>
    <d v="1899-12-30T20:00:00"/>
    <d v="1899-12-30T21:50:00"/>
    <n v="0.91666666666666674"/>
    <x v="0"/>
    <x v="0"/>
    <s v="Falla mecánica"/>
    <s v="Esterilización "/>
    <x v="12"/>
    <s v="Camión no disponible para volteo."/>
  </r>
  <r>
    <x v="408"/>
    <x v="2"/>
    <x v="6"/>
    <d v="1899-12-30T00:00:00"/>
    <d v="1899-12-30T06:00:00"/>
    <n v="3"/>
    <x v="0"/>
    <x v="0"/>
    <s v="Falla mecánica"/>
    <s v="Desfrutado"/>
    <x v="8"/>
    <s v="se fracturo la cadena del elevador"/>
  </r>
  <r>
    <x v="408"/>
    <x v="2"/>
    <x v="6"/>
    <d v="1899-12-30T06:00:00"/>
    <d v="1899-12-31T00:00:00"/>
    <n v="9"/>
    <x v="0"/>
    <x v="0"/>
    <s v="Falla mecánica"/>
    <s v="Digestión y prensado"/>
    <x v="82"/>
    <s v="daño acople"/>
  </r>
  <r>
    <x v="408"/>
    <x v="2"/>
    <x v="6"/>
    <d v="1899-12-30T00:00:00"/>
    <d v="1899-12-30T06:00:00"/>
    <n v="3"/>
    <x v="0"/>
    <x v="0"/>
    <s v="Falla mecánica"/>
    <s v="Digestión y prensado"/>
    <x v="82"/>
    <s v="daño acople"/>
  </r>
  <r>
    <x v="409"/>
    <x v="2"/>
    <x v="6"/>
    <d v="1899-12-30T06:00:00"/>
    <d v="1899-12-30T09:00:00"/>
    <n v="1.5"/>
    <x v="0"/>
    <x v="0"/>
    <s v="Falla mecánica"/>
    <s v="Desfrutado"/>
    <x v="8"/>
    <s v="se fracturo la cadena del elevador"/>
  </r>
  <r>
    <x v="409"/>
    <x v="2"/>
    <x v="6"/>
    <d v="1899-12-30T05:00:00"/>
    <d v="1899-12-30T05:30:00"/>
    <n v="0.25"/>
    <x v="0"/>
    <x v="0"/>
    <s v="Falla mecánica"/>
    <s v="Desfibración"/>
    <x v="0"/>
    <s v="daño cauchos del acople "/>
  </r>
  <r>
    <x v="409"/>
    <x v="2"/>
    <x v="6"/>
    <d v="1899-12-30T06:00:00"/>
    <d v="1899-12-31T00:00:00"/>
    <n v="9"/>
    <x v="0"/>
    <x v="0"/>
    <s v="Falla mecánica"/>
    <s v="Digestión y prensado"/>
    <x v="82"/>
    <s v="daño acople"/>
  </r>
  <r>
    <x v="409"/>
    <x v="2"/>
    <x v="6"/>
    <d v="1899-12-30T00:00:00"/>
    <d v="1899-12-30T06:00:00"/>
    <n v="3"/>
    <x v="0"/>
    <x v="0"/>
    <s v="Falla mecánica"/>
    <s v="Digestión y prensado"/>
    <x v="82"/>
    <s v="daño acople"/>
  </r>
  <r>
    <x v="410"/>
    <x v="2"/>
    <x v="6"/>
    <d v="1899-12-30T07:00:00"/>
    <d v="1899-12-30T08:00:00"/>
    <n v="1"/>
    <x v="0"/>
    <x v="0"/>
    <s v="Falla mecánica"/>
    <s v="Esterilización "/>
    <x v="12"/>
    <s v="Camión no disponible para volteo."/>
  </r>
  <r>
    <x v="410"/>
    <x v="2"/>
    <x v="6"/>
    <d v="1899-12-30T19:00:00"/>
    <d v="1899-12-30T21:00:00"/>
    <n v="2"/>
    <x v="0"/>
    <x v="0"/>
    <s v="Falla mecánica"/>
    <s v="Clarificación"/>
    <x v="37"/>
    <s v="Ciclon roto"/>
  </r>
  <r>
    <x v="411"/>
    <x v="2"/>
    <x v="6"/>
    <d v="1899-12-30T07:00:00"/>
    <d v="1899-12-30T09:00:00"/>
    <n v="2"/>
    <x v="0"/>
    <x v="0"/>
    <s v="Falla mecánica"/>
    <s v="Esterilización "/>
    <x v="12"/>
    <s v="Camión no disponible para volteo."/>
  </r>
  <r>
    <x v="411"/>
    <x v="2"/>
    <x v="6"/>
    <d v="1899-12-30T04:50:00"/>
    <d v="1899-12-30T06:00:00"/>
    <n v="1.1666666666666667"/>
    <x v="0"/>
    <x v="0"/>
    <s v="Falla mecánica"/>
    <s v="Desfrutado"/>
    <x v="8"/>
    <s v="se fracturo la cadena del elevador"/>
  </r>
  <r>
    <x v="412"/>
    <x v="2"/>
    <x v="6"/>
    <d v="1899-12-30T14:00:00"/>
    <d v="1899-12-30T17:00:00"/>
    <n v="3"/>
    <x v="0"/>
    <x v="0"/>
    <s v="Falla mecánica"/>
    <s v="Planta generación de vapor"/>
    <x v="79"/>
    <s v="Atascamiento de la parrilla"/>
  </r>
  <r>
    <x v="412"/>
    <x v="2"/>
    <x v="6"/>
    <d v="1899-12-30T17:00:00"/>
    <d v="1899-12-30T18:27:00"/>
    <n v="1.45"/>
    <x v="0"/>
    <x v="0"/>
    <s v="Falla mecánica"/>
    <s v="Desfrutado"/>
    <x v="8"/>
    <s v="Se atasca un canguilon"/>
  </r>
  <r>
    <x v="412"/>
    <x v="2"/>
    <x v="6"/>
    <d v="1899-12-30T23:31:00"/>
    <d v="1899-12-30T23:42:00"/>
    <n v="0.18333333333333332"/>
    <x v="0"/>
    <x v="0"/>
    <s v="Falla mecánica"/>
    <s v="Desfrutado"/>
    <x v="14"/>
    <s v="ajuste de traviesas"/>
  </r>
  <r>
    <x v="412"/>
    <x v="2"/>
    <x v="6"/>
    <d v="1899-12-30T05:11:00"/>
    <d v="1899-12-30T06:00:00"/>
    <n v="0.81666666666666665"/>
    <x v="0"/>
    <x v="0"/>
    <s v="Falla mecánica"/>
    <s v="Desfrutado"/>
    <x v="8"/>
    <s v="Ruidos anormales se revisa"/>
  </r>
  <r>
    <x v="413"/>
    <x v="2"/>
    <x v="6"/>
    <d v="1899-12-30T08:22:00"/>
    <d v="1899-12-30T09:15:00"/>
    <n v="0.8833333333333333"/>
    <x v="0"/>
    <x v="0"/>
    <s v="Falla mecánica"/>
    <s v="Planta generación de vapor"/>
    <x v="79"/>
    <s v="Atascamiento de la parrilla"/>
  </r>
  <r>
    <x v="413"/>
    <x v="2"/>
    <x v="6"/>
    <d v="1899-12-30T04:00:00"/>
    <d v="1899-12-30T05:00:00"/>
    <n v="1"/>
    <x v="0"/>
    <x v="0"/>
    <s v="Falla mecánica"/>
    <s v="Desfibración"/>
    <x v="0"/>
    <s v="daño acoples de caucho"/>
  </r>
  <r>
    <x v="414"/>
    <x v="2"/>
    <x v="6"/>
    <d v="1899-12-30T18:00:00"/>
    <d v="1899-12-30T22:29:00"/>
    <n v="4.4833333333333334"/>
    <x v="0"/>
    <x v="0"/>
    <s v="Falla mecánica"/>
    <s v="Planta generación de vapor"/>
    <x v="79"/>
    <s v="Reparaciones en la parrilla"/>
  </r>
  <r>
    <x v="414"/>
    <x v="2"/>
    <x v="6"/>
    <d v="1899-12-30T05:20:00"/>
    <d v="1899-12-30T06:00:00"/>
    <n v="0.66666666666666663"/>
    <x v="0"/>
    <x v="0"/>
    <s v="Falla mecánica"/>
    <s v="Desfibración"/>
    <x v="0"/>
    <s v="daño acoples de caucho"/>
  </r>
  <r>
    <x v="415"/>
    <x v="2"/>
    <x v="6"/>
    <d v="1899-12-30T09:25:00"/>
    <d v="1899-12-30T11:00:00"/>
    <n v="1.5833333333333335"/>
    <x v="0"/>
    <x v="0"/>
    <s v="Falla mecánica"/>
    <s v="Esterilización "/>
    <x v="12"/>
    <s v="Camión no disponible para volteo."/>
  </r>
  <r>
    <x v="415"/>
    <x v="2"/>
    <x v="6"/>
    <d v="1899-12-30T15:40:00"/>
    <d v="1899-12-30T18:37:00"/>
    <n v="2.95"/>
    <x v="0"/>
    <x v="0"/>
    <s v="Falla mecánica"/>
    <s v="Esterilización "/>
    <x v="12"/>
    <s v="Camión no disponible para volteo."/>
  </r>
  <r>
    <x v="415"/>
    <x v="2"/>
    <x v="6"/>
    <d v="1899-12-30T19:30:00"/>
    <d v="1899-12-30T20:20:00"/>
    <n v="0.83333333333333337"/>
    <x v="0"/>
    <x v="0"/>
    <s v="Falla mecánica"/>
    <s v="Esterilización "/>
    <x v="12"/>
    <s v="Camión no disponible para volteo."/>
  </r>
  <r>
    <x v="415"/>
    <x v="2"/>
    <x v="6"/>
    <d v="1899-12-30T03:17:00"/>
    <d v="1899-12-30T06:00:00"/>
    <n v="2.7166666666666668"/>
    <x v="0"/>
    <x v="0"/>
    <s v="Falla mecánica"/>
    <s v="Esterilización "/>
    <x v="12"/>
    <s v="Camión no disponible para volteo."/>
  </r>
  <r>
    <x v="416"/>
    <x v="2"/>
    <x v="6"/>
    <d v="1899-12-30T06:00:00"/>
    <d v="1899-12-30T11:00:00"/>
    <n v="5"/>
    <x v="0"/>
    <x v="0"/>
    <s v="Falla mecánica"/>
    <s v="Recepción"/>
    <x v="7"/>
    <s v="Se sale cadena del redler"/>
  </r>
  <r>
    <x v="416"/>
    <x v="2"/>
    <x v="6"/>
    <d v="1899-12-30T11:00:00"/>
    <d v="1899-12-30T12:00:00"/>
    <n v="1"/>
    <x v="0"/>
    <x v="0"/>
    <s v="Falla mecánica"/>
    <s v="Desfrutado"/>
    <x v="19"/>
    <s v="Se corre acople y se daña estomero"/>
  </r>
  <r>
    <x v="416"/>
    <x v="2"/>
    <x v="6"/>
    <d v="1899-12-30T12:00:00"/>
    <d v="1899-12-30T14:00:00"/>
    <n v="2"/>
    <x v="0"/>
    <x v="0"/>
    <s v="Falla mecánica"/>
    <s v="Desfrutado"/>
    <x v="8"/>
    <s v="Ruidos anormales se revisa"/>
  </r>
  <r>
    <x v="416"/>
    <x v="2"/>
    <x v="6"/>
    <d v="1899-12-30T16:15:00"/>
    <d v="1899-12-30T17:30:00"/>
    <n v="1.25"/>
    <x v="0"/>
    <x v="0"/>
    <s v="Falla mecánica"/>
    <s v="Digestión y prensado"/>
    <x v="38"/>
    <s v="No ajustan los conos, torta humedad"/>
  </r>
  <r>
    <x v="416"/>
    <x v="2"/>
    <x v="6"/>
    <d v="1899-12-30T18:30:00"/>
    <d v="1899-12-31T00:00:00"/>
    <n v="5.5"/>
    <x v="0"/>
    <x v="0"/>
    <s v="Falla mecánica"/>
    <s v="Desfrutado"/>
    <x v="19"/>
    <s v="Se corre acople y se daña estomero"/>
  </r>
  <r>
    <x v="416"/>
    <x v="2"/>
    <x v="6"/>
    <d v="1899-12-30T00:00:00"/>
    <d v="1899-12-30T01:40:00"/>
    <n v="1.6666666666666665"/>
    <x v="0"/>
    <x v="0"/>
    <s v="Falla mecánica"/>
    <s v="Desfrutado"/>
    <x v="19"/>
    <s v="Se corre acople y se daña estomero"/>
  </r>
  <r>
    <x v="416"/>
    <x v="2"/>
    <x v="6"/>
    <d v="1899-12-30T00:00:00"/>
    <d v="1899-12-30T01:40:00"/>
    <n v="1.6666666666666665"/>
    <x v="0"/>
    <x v="1"/>
    <s v="Falla operativa"/>
    <s v="Desfrutado"/>
    <x v="2"/>
    <s v="anillos tapados"/>
  </r>
  <r>
    <x v="417"/>
    <x v="2"/>
    <x v="6"/>
    <d v="1899-12-30T07:20:00"/>
    <d v="1899-12-30T07:40:00"/>
    <n v="0.16666666666666666"/>
    <x v="0"/>
    <x v="0"/>
    <s v="Falla mecánica"/>
    <s v="Planta generación de vapor"/>
    <x v="79"/>
    <s v="Baja presion por dificulta para limpiar la caldera"/>
  </r>
  <r>
    <x v="417"/>
    <x v="2"/>
    <x v="6"/>
    <d v="1899-12-30T11:00:00"/>
    <d v="1899-12-30T12:18:00"/>
    <n v="0.65"/>
    <x v="0"/>
    <x v="0"/>
    <s v="Falla mecánica"/>
    <s v="Desfibración"/>
    <x v="0"/>
    <s v="daño cauchos del acople "/>
  </r>
  <r>
    <x v="417"/>
    <x v="2"/>
    <x v="6"/>
    <d v="1899-12-30T16:00:00"/>
    <d v="1899-12-30T22:00:00"/>
    <n v="3"/>
    <x v="0"/>
    <x v="0"/>
    <s v="Falla mecánica"/>
    <s v="Desfibración"/>
    <x v="0"/>
    <s v="daño cauchos del acople "/>
  </r>
  <r>
    <x v="417"/>
    <x v="2"/>
    <x v="6"/>
    <d v="1899-12-30T22:00:00"/>
    <d v="1899-12-30T23:49:00"/>
    <n v="0.90833333333333333"/>
    <x v="0"/>
    <x v="1"/>
    <s v="Falla operativa"/>
    <s v="Planta tratamiento de agua"/>
    <x v="83"/>
    <s v="Se deja bajar mucho el nivel"/>
  </r>
  <r>
    <x v="417"/>
    <x v="2"/>
    <x v="6"/>
    <d v="1899-12-30T01:50:00"/>
    <d v="1899-12-30T02:29:00"/>
    <n v="0.32500000000000001"/>
    <x v="0"/>
    <x v="1"/>
    <s v="Falla operativa"/>
    <s v="Desfrutado"/>
    <x v="2"/>
    <s v="anillos tapados"/>
  </r>
  <r>
    <x v="417"/>
    <x v="2"/>
    <x v="6"/>
    <d v="1899-12-30T07:10:00"/>
    <d v="1899-12-30T08:12:00"/>
    <n v="0.51666666666666672"/>
    <x v="0"/>
    <x v="0"/>
    <s v="Falla mecánica"/>
    <s v="Planta generación de vapor"/>
    <x v="79"/>
    <s v="Baja presion por dificulta para limpiar la caldera"/>
  </r>
  <r>
    <x v="417"/>
    <x v="2"/>
    <x v="6"/>
    <d v="1899-12-30T10:20:00"/>
    <d v="1899-12-30T10:40:00"/>
    <n v="0.16666666666666666"/>
    <x v="0"/>
    <x v="1"/>
    <s v="Falla operativa"/>
    <s v="Clarificación"/>
    <x v="16"/>
    <s v="tapada"/>
  </r>
  <r>
    <x v="417"/>
    <x v="2"/>
    <x v="6"/>
    <d v="1899-12-30T11:00:00"/>
    <d v="1899-12-30T12:00:00"/>
    <n v="0.5"/>
    <x v="0"/>
    <x v="0"/>
    <s v="Falla mecánica"/>
    <s v="Desfibración"/>
    <x v="0"/>
    <s v="daño cauchos del acople "/>
  </r>
  <r>
    <x v="417"/>
    <x v="2"/>
    <x v="6"/>
    <d v="1899-12-30T12:00:00"/>
    <d v="1899-12-30T16:00:00"/>
    <n v="2"/>
    <x v="0"/>
    <x v="0"/>
    <s v="Falla mecánica"/>
    <s v="Digestión y prensado"/>
    <x v="84"/>
    <s v="El cilindro de la unidad no funciona, se revisa circuito hidraulico y electrico."/>
  </r>
  <r>
    <x v="417"/>
    <x v="2"/>
    <x v="6"/>
    <d v="1899-12-30T01:50:00"/>
    <d v="1899-12-30T02:29:00"/>
    <n v="0.32500000000000001"/>
    <x v="0"/>
    <x v="1"/>
    <s v="Falla operativa"/>
    <s v="Desfrutado"/>
    <x v="2"/>
    <s v="anillos tapados"/>
  </r>
  <r>
    <x v="417"/>
    <x v="2"/>
    <x v="6"/>
    <d v="1899-12-30T16:00:00"/>
    <d v="1899-12-30T22:00:00"/>
    <n v="3"/>
    <x v="0"/>
    <x v="0"/>
    <s v="Falla mecánica"/>
    <s v="Desfibración"/>
    <x v="0"/>
    <s v="daño cauchos del acople "/>
  </r>
  <r>
    <x v="417"/>
    <x v="2"/>
    <x v="6"/>
    <d v="1899-12-30T22:00:00"/>
    <d v="1899-12-30T23:49:00"/>
    <n v="0.90833333333333333"/>
    <x v="0"/>
    <x v="1"/>
    <s v="Falla operativa"/>
    <s v="Planta tratamiento de agua"/>
    <x v="0"/>
    <s v="Se deja bajar mucho el nivel"/>
  </r>
  <r>
    <x v="418"/>
    <x v="2"/>
    <x v="6"/>
    <d v="1899-12-30T18:00:00"/>
    <d v="1899-12-30T22:00:00"/>
    <n v="2"/>
    <x v="0"/>
    <x v="1"/>
    <s v="Falla operativa"/>
    <s v="Planta tratamiento de agua"/>
    <x v="74"/>
    <s v="Reservorio con bajo nivel de agua (15%)"/>
  </r>
  <r>
    <x v="418"/>
    <x v="2"/>
    <x v="6"/>
    <d v="1899-12-30T08:00:00"/>
    <d v="1899-12-30T11:30:00"/>
    <n v="1.75"/>
    <x v="0"/>
    <x v="0"/>
    <s v="Falla mecánica"/>
    <s v="Planta generación de vapor"/>
    <x v="74"/>
    <s v="Caldera, falla en la bomba de agua"/>
  </r>
  <r>
    <x v="418"/>
    <x v="2"/>
    <x v="6"/>
    <d v="1899-12-30T13:00:00"/>
    <d v="1899-12-30T15:30:00"/>
    <n v="1.25"/>
    <x v="0"/>
    <x v="0"/>
    <s v="Falla mecánica"/>
    <s v="Esterilización "/>
    <x v="74"/>
    <s v=" Vagonetas e indexer, enganche de las vagonetas en mal estado, indexer funcionando mal"/>
  </r>
  <r>
    <x v="419"/>
    <x v="2"/>
    <x v="6"/>
    <d v="1899-12-30T09:00:00"/>
    <d v="1899-12-30T14:00:00"/>
    <n v="2.5"/>
    <x v="0"/>
    <x v="0"/>
    <s v="Falla mecánica"/>
    <s v="Desfibración"/>
    <x v="0"/>
    <s v="Rompe torta "/>
  </r>
  <r>
    <x v="419"/>
    <x v="2"/>
    <x v="6"/>
    <d v="1899-12-30T16:00:00"/>
    <d v="1899-12-30T17:00:00"/>
    <n v="0.5"/>
    <x v="0"/>
    <x v="0"/>
    <s v="Falla mecánica"/>
    <s v="Esterilización "/>
    <x v="74"/>
    <s v="indexer 1 , 3 y 4 , fallas por fuga y topes"/>
  </r>
  <r>
    <x v="420"/>
    <x v="2"/>
    <x v="6"/>
    <d v="1899-12-30T19:00:00"/>
    <d v="1899-12-30T23:00:00"/>
    <n v="2"/>
    <x v="0"/>
    <x v="1"/>
    <s v="Falla operativa"/>
    <s v="Planta tratamiento de agua"/>
    <x v="74"/>
    <s v=" Reservorio con bajo nivel de agua (15%)"/>
  </r>
  <r>
    <x v="420"/>
    <x v="2"/>
    <x v="6"/>
    <d v="1899-12-30T07:00:00"/>
    <d v="1899-12-30T11:00:00"/>
    <n v="2"/>
    <x v="0"/>
    <x v="0"/>
    <s v="Falla mecánica"/>
    <s v="Planta tratamiento de agua"/>
    <x v="74"/>
    <m/>
  </r>
  <r>
    <x v="421"/>
    <x v="2"/>
    <x v="6"/>
    <d v="1899-12-30T01:45:00"/>
    <d v="1899-12-30T02:45:00"/>
    <n v="0.5"/>
    <x v="0"/>
    <x v="0"/>
    <s v="Falla mecánica"/>
    <s v="Clarificación"/>
    <x v="20"/>
    <m/>
  </r>
  <r>
    <x v="421"/>
    <x v="2"/>
    <x v="6"/>
    <d v="1899-12-30T18:00:00"/>
    <d v="1899-12-30T18:30:00"/>
    <n v="0.25"/>
    <x v="0"/>
    <x v="0"/>
    <s v="Falla mecánica"/>
    <s v="Desfrutado"/>
    <x v="8"/>
    <s v="se frana por cangulon suelto"/>
  </r>
  <r>
    <x v="421"/>
    <x v="2"/>
    <x v="6"/>
    <d v="1899-12-30T12:20:00"/>
    <d v="1899-12-30T13:50:00"/>
    <n v="0.75"/>
    <x v="0"/>
    <x v="0"/>
    <s v="Falla mecánica"/>
    <s v="Planta generación de vapor"/>
    <x v="22"/>
    <s v="se limpia caldera"/>
  </r>
  <r>
    <x v="421"/>
    <x v="2"/>
    <x v="6"/>
    <d v="1899-12-30T03:11:00"/>
    <d v="1899-12-30T04:20:00"/>
    <n v="0.57499999999999996"/>
    <x v="0"/>
    <x v="0"/>
    <s v="Falla mecánica"/>
    <s v="Recepción"/>
    <x v="56"/>
    <m/>
  </r>
  <r>
    <x v="421"/>
    <x v="2"/>
    <x v="6"/>
    <d v="1899-12-30T05:00:00"/>
    <d v="1899-12-30T08:30:00"/>
    <n v="1.75"/>
    <x v="0"/>
    <x v="0"/>
    <s v="Falla mecánica"/>
    <s v="Planta generación de vapor"/>
    <x v="22"/>
    <s v="valvula moddulante de agua del desaireador de la caldera se cambia y se trabaja sin valvula"/>
  </r>
  <r>
    <x v="422"/>
    <x v="2"/>
    <x v="6"/>
    <d v="1899-12-30T02:25:00"/>
    <d v="1899-12-30T03:58:00"/>
    <n v="0.77500000000000002"/>
    <x v="0"/>
    <x v="0"/>
    <s v="Falla mecánica"/>
    <s v="Planta generación de vapor"/>
    <x v="22"/>
    <s v="Se limpia caldera"/>
  </r>
  <r>
    <x v="422"/>
    <x v="2"/>
    <x v="6"/>
    <d v="1899-12-30T10:25:00"/>
    <d v="1899-12-30T10:40:00"/>
    <n v="0.125"/>
    <x v="0"/>
    <x v="0"/>
    <s v="Falla mecánica"/>
    <s v="Desfrutado"/>
    <x v="2"/>
    <s v="se dispara totalizador por alto voltaje"/>
  </r>
  <r>
    <x v="422"/>
    <x v="2"/>
    <x v="6"/>
    <d v="1899-12-30T18:00:00"/>
    <d v="1899-12-30T19:01:00"/>
    <n v="0.5083333333333333"/>
    <x v="0"/>
    <x v="0"/>
    <s v="Falla mecánica"/>
    <s v="Planta generación de vapor"/>
    <x v="22"/>
    <s v="se para y se limpia"/>
  </r>
  <r>
    <x v="422"/>
    <x v="2"/>
    <x v="6"/>
    <d v="1899-12-30T21:00:00"/>
    <d v="1899-12-30T21:30:00"/>
    <n v="0.25"/>
    <x v="0"/>
    <x v="0"/>
    <s v="Falla mecánica"/>
    <s v="Desfrutado"/>
    <x v="8"/>
    <s v="Se parte canguilon"/>
  </r>
  <r>
    <x v="423"/>
    <x v="2"/>
    <x v="6"/>
    <d v="1899-12-30T10:05:00"/>
    <d v="1899-12-30T14:13:00"/>
    <n v="2.0666666666666669"/>
    <x v="0"/>
    <x v="0"/>
    <s v="Falla mecánica"/>
    <s v="Planta generación de vapor"/>
    <x v="22"/>
    <s v="se para y se limpia"/>
  </r>
  <r>
    <x v="423"/>
    <x v="2"/>
    <x v="6"/>
    <d v="1899-12-30T03:00:00"/>
    <d v="1899-12-30T04:08:00"/>
    <n v="0.56666666666666665"/>
    <x v="0"/>
    <x v="0"/>
    <s v="Falla mecánica"/>
    <s v="Digestión y prensado"/>
    <x v="28"/>
    <s v="Se parte cadena de transmición."/>
  </r>
  <r>
    <x v="423"/>
    <x v="2"/>
    <x v="6"/>
    <d v="1899-12-30T05:00:00"/>
    <d v="1899-12-30T05:24:00"/>
    <n v="0.2"/>
    <x v="0"/>
    <x v="0"/>
    <s v="Falla mecánica"/>
    <s v="Recepción"/>
    <x v="25"/>
    <s v="falla bomba de la unidad hidraulica de dosificación"/>
  </r>
  <r>
    <x v="423"/>
    <x v="2"/>
    <x v="6"/>
    <d v="1899-12-30T21:00:00"/>
    <d v="1899-12-30T21:30:00"/>
    <n v="0.25"/>
    <x v="0"/>
    <x v="0"/>
    <s v="Falla mecánica"/>
    <s v="Desfrutado"/>
    <x v="18"/>
    <s v="Se revienta cadena"/>
  </r>
  <r>
    <x v="423"/>
    <x v="2"/>
    <x v="6"/>
    <d v="1899-12-30T23:00:00"/>
    <d v="1899-12-31T00:00:00"/>
    <n v="0.5"/>
    <x v="0"/>
    <x v="0"/>
    <s v="Falla mecánica"/>
    <s v="Esterilización "/>
    <x v="73"/>
    <s v="se cae puente, y descarrila vagoneta "/>
  </r>
  <r>
    <x v="424"/>
    <x v="2"/>
    <x v="6"/>
    <d v="1899-12-30T06:47:00"/>
    <d v="1899-12-30T07:25:00"/>
    <n v="0.31666666666666665"/>
    <x v="0"/>
    <x v="0"/>
    <s v="Falla mecánica"/>
    <s v="Clarificación"/>
    <x v="55"/>
    <s v="Se corre cuerpo"/>
  </r>
  <r>
    <x v="424"/>
    <x v="2"/>
    <x v="6"/>
    <d v="1899-12-30T12:00:00"/>
    <d v="1899-12-30T17:30:00"/>
    <n v="2.75"/>
    <x v="0"/>
    <x v="0"/>
    <s v="Falla mecánica"/>
    <s v="Planta generación de vapor"/>
    <x v="22"/>
    <s v="se para y se limpia"/>
  </r>
  <r>
    <x v="424"/>
    <x v="2"/>
    <x v="6"/>
    <d v="1899-12-30T21:30:00"/>
    <d v="1899-12-30T22:40:00"/>
    <n v="0.58333333333333337"/>
    <x v="0"/>
    <x v="0"/>
    <s v="Falla mecánica"/>
    <s v="Desfrutado"/>
    <x v="8"/>
    <s v="se frena por cangulon suelto"/>
  </r>
  <r>
    <x v="424"/>
    <x v="2"/>
    <x v="6"/>
    <d v="1899-12-31T00:10:00"/>
    <d v="1899-12-31T00:57:00"/>
    <n v="0.39166666666666666"/>
    <x v="0"/>
    <x v="0"/>
    <s v="Falla mecánica"/>
    <s v="Desfrutado"/>
    <x v="8"/>
    <s v="se frena por cangulon suelto"/>
  </r>
  <r>
    <x v="424"/>
    <x v="2"/>
    <x v="6"/>
    <d v="1899-12-30T02:10:00"/>
    <d v="1899-12-30T02:34:00"/>
    <n v="0.2"/>
    <x v="0"/>
    <x v="0"/>
    <s v="Falla mecánica"/>
    <s v="Palmistería"/>
    <x v="72"/>
    <s v="Se dispara motor"/>
  </r>
  <r>
    <x v="425"/>
    <x v="2"/>
    <x v="6"/>
    <d v="1899-12-30T09:50:00"/>
    <d v="1899-12-30T10:30:00"/>
    <n v="0.33333333333333331"/>
    <x v="0"/>
    <x v="0"/>
    <s v="Falla mecánica"/>
    <s v="Digestión y prensado"/>
    <x v="28"/>
    <s v="Se atasca con un metal"/>
  </r>
  <r>
    <x v="425"/>
    <x v="2"/>
    <x v="6"/>
    <d v="1899-12-30T01:35:00"/>
    <d v="1899-12-30T03:35:00"/>
    <n v="1"/>
    <x v="0"/>
    <x v="0"/>
    <s v="Falla mecánica"/>
    <s v="Planta generación de vapor"/>
    <x v="22"/>
    <s v="se para y se limpia"/>
  </r>
  <r>
    <x v="425"/>
    <x v="2"/>
    <x v="6"/>
    <d v="1899-12-30T15:35:00"/>
    <d v="1899-12-30T21:30:00"/>
    <n v="2.9583333333333335"/>
    <x v="0"/>
    <x v="0"/>
    <s v="Falla mecánica"/>
    <s v="Desfrutado"/>
    <x v="8"/>
    <s v="se revisa y se encuentra cadena en mal estado se cambian dos pegas, y se alinea piñon que se sale."/>
  </r>
  <r>
    <x v="425"/>
    <x v="2"/>
    <x v="6"/>
    <d v="1899-12-30T23:00:00"/>
    <d v="1899-12-30T23:51:00"/>
    <n v="0.42499999999999999"/>
    <x v="0"/>
    <x v="0"/>
    <s v="Falla mecánica"/>
    <s v="Desfrutado"/>
    <x v="8"/>
    <s v="Se cae canguilon"/>
  </r>
  <r>
    <x v="425"/>
    <x v="2"/>
    <x v="6"/>
    <d v="1899-12-30T02:00:00"/>
    <d v="1899-12-30T05:50:00"/>
    <n v="1.9166666666666667"/>
    <x v="0"/>
    <x v="0"/>
    <s v="Falla mecánica"/>
    <s v="Desfrutado"/>
    <x v="8"/>
    <s v="Se descadena"/>
  </r>
  <r>
    <x v="426"/>
    <x v="2"/>
    <x v="7"/>
    <d v="1899-12-30T13:15:00"/>
    <d v="1899-12-30T13:52:00"/>
    <n v="0.6166666666666667"/>
    <x v="0"/>
    <x v="0"/>
    <s v="Falla mecánica"/>
    <s v="Esterilización "/>
    <x v="58"/>
    <s v="Falla mecanicas con los indexer"/>
  </r>
  <r>
    <x v="426"/>
    <x v="2"/>
    <x v="7"/>
    <d v="1899-12-30T14:41:00"/>
    <d v="1899-12-30T15:13:00"/>
    <n v="0.53333333333333333"/>
    <x v="0"/>
    <x v="0"/>
    <s v="Falla mecánica"/>
    <s v="Esterilización "/>
    <x v="58"/>
    <s v="Falla mecanicas con los indexer"/>
  </r>
  <r>
    <x v="426"/>
    <x v="2"/>
    <x v="7"/>
    <d v="1899-12-30T16:23:00"/>
    <d v="1899-12-30T17:05:00"/>
    <n v="0.7"/>
    <x v="0"/>
    <x v="1"/>
    <s v="Falla operativa"/>
    <s v="Desfrutado"/>
    <x v="2"/>
    <s v="anillos tapados"/>
  </r>
  <r>
    <x v="426"/>
    <x v="2"/>
    <x v="7"/>
    <d v="1899-12-30T06:00:00"/>
    <d v="1899-12-30T13:00:00"/>
    <n v="7"/>
    <x v="0"/>
    <x v="0"/>
    <s v="Falla mecánica"/>
    <s v="Planta generación de vapor"/>
    <x v="22"/>
    <s v="parrilla viajera"/>
  </r>
  <r>
    <x v="427"/>
    <x v="2"/>
    <x v="7"/>
    <d v="1899-12-30T08:09:00"/>
    <d v="1899-12-30T08:50:00"/>
    <n v="0.68333333333333335"/>
    <x v="0"/>
    <x v="0"/>
    <s v="Falla mecánica"/>
    <s v="Desfrutado"/>
    <x v="8"/>
    <s v="revisa la cadena"/>
  </r>
  <r>
    <x v="427"/>
    <x v="2"/>
    <x v="7"/>
    <d v="1899-12-30T13:00:00"/>
    <d v="1899-12-30T13:37:00"/>
    <n v="0.6166666666666667"/>
    <x v="0"/>
    <x v="0"/>
    <s v="Falla mecánica"/>
    <s v="Desfibración"/>
    <x v="0"/>
    <s v="paletas sueltas"/>
  </r>
  <r>
    <x v="427"/>
    <x v="2"/>
    <x v="7"/>
    <d v="1899-12-30T15:50:00"/>
    <d v="1899-12-30T16:49:00"/>
    <n v="0.98333333333333328"/>
    <x v="0"/>
    <x v="0"/>
    <s v="Falla mecánica"/>
    <s v="Esterilización "/>
    <x v="23"/>
    <s v="vagoneta de la linea N°1 se descarrila"/>
  </r>
  <r>
    <x v="427"/>
    <x v="2"/>
    <x v="7"/>
    <d v="1899-12-30T23:04:00"/>
    <d v="1899-12-30T23:38:00"/>
    <n v="0.56666666666666665"/>
    <x v="0"/>
    <x v="0"/>
    <s v="Falla mecánica"/>
    <s v="Esterilización "/>
    <x v="85"/>
    <s v="Falla mecanicas con los indexer"/>
  </r>
  <r>
    <x v="427"/>
    <x v="2"/>
    <x v="7"/>
    <d v="1899-12-30T00:48:00"/>
    <d v="1899-12-30T01:28:00"/>
    <n v="0.66666666666666663"/>
    <x v="0"/>
    <x v="0"/>
    <s v="Falla mecánica"/>
    <s v="Esterilización "/>
    <x v="85"/>
    <s v="Falla mecanicas con los indexer"/>
  </r>
  <r>
    <x v="427"/>
    <x v="2"/>
    <x v="7"/>
    <d v="1899-12-30T02:15:00"/>
    <d v="1899-12-30T03:13:00"/>
    <n v="0.96666666666666667"/>
    <x v="0"/>
    <x v="0"/>
    <s v="Falla mecánica"/>
    <s v="Esterilización "/>
    <x v="68"/>
    <s v="Falla mecanicas con los indexer"/>
  </r>
  <r>
    <x v="427"/>
    <x v="2"/>
    <x v="7"/>
    <d v="1899-12-30T04:33:00"/>
    <d v="1899-12-30T04:58:00"/>
    <n v="0.41666666666666669"/>
    <x v="0"/>
    <x v="0"/>
    <s v="Falla mecánica"/>
    <s v="Esterilización "/>
    <x v="68"/>
    <s v="Falla mecanicas con los indexer"/>
  </r>
  <r>
    <x v="428"/>
    <x v="2"/>
    <x v="7"/>
    <d v="1899-12-30T12:30:00"/>
    <d v="1899-12-30T13:40:00"/>
    <n v="0.58333333333333337"/>
    <x v="0"/>
    <x v="0"/>
    <s v="Falla mecánica"/>
    <s v="Desfrutado"/>
    <x v="18"/>
    <s v="Se desencadena"/>
  </r>
  <r>
    <x v="428"/>
    <x v="2"/>
    <x v="7"/>
    <d v="1899-12-30T09:25:00"/>
    <d v="1899-12-30T12:27:00"/>
    <n v="1.5166666666666666"/>
    <x v="0"/>
    <x v="0"/>
    <s v="Falla mecánica"/>
    <s v="Digestión y prensado"/>
    <x v="13"/>
    <s v="se ampera el motor"/>
  </r>
  <r>
    <x v="428"/>
    <x v="2"/>
    <x v="7"/>
    <d v="1899-12-30T06:00:00"/>
    <d v="1899-12-30T08:00:00"/>
    <n v="1"/>
    <x v="0"/>
    <x v="0"/>
    <s v="Falla mecánica"/>
    <s v="Esterilización "/>
    <x v="73"/>
    <s v="ciclo atrasados"/>
  </r>
  <r>
    <x v="428"/>
    <x v="2"/>
    <x v="7"/>
    <d v="1899-12-30T12:30:00"/>
    <d v="1899-12-30T13:41:00"/>
    <n v="0.59166666666666667"/>
    <x v="0"/>
    <x v="0"/>
    <s v="Falla mecánica"/>
    <s v="Desfrutado"/>
    <x v="18"/>
    <s v="Se desencadena"/>
  </r>
  <r>
    <x v="428"/>
    <x v="2"/>
    <x v="7"/>
    <d v="1899-12-30T19:48:00"/>
    <d v="1899-12-30T20:24:00"/>
    <n v="0.3"/>
    <x v="0"/>
    <x v="0"/>
    <s v="Falla mecánica"/>
    <s v="Esterilización "/>
    <x v="73"/>
    <s v="Falla mecanicas con los indexer"/>
  </r>
  <r>
    <x v="428"/>
    <x v="2"/>
    <x v="7"/>
    <d v="1899-12-30T05:37:00"/>
    <d v="1899-12-30T05:48:00"/>
    <n v="9.166666666666666E-2"/>
    <x v="0"/>
    <x v="0"/>
    <s v="Falla mecánica"/>
    <s v="Esterilización "/>
    <x v="73"/>
    <s v="Falla mecanicas con los indexer"/>
  </r>
  <r>
    <x v="429"/>
    <x v="2"/>
    <x v="7"/>
    <d v="1899-12-30T06:00:00"/>
    <d v="1899-12-30T07:00:00"/>
    <n v="0.5"/>
    <x v="0"/>
    <x v="0"/>
    <s v="Falla mecánica"/>
    <s v="Esterilización "/>
    <x v="44"/>
    <s v="enganche dañado"/>
  </r>
  <r>
    <x v="429"/>
    <x v="2"/>
    <x v="7"/>
    <d v="1899-12-30T13:20:00"/>
    <d v="1899-12-30T13:45:00"/>
    <n v="0.20833333333333334"/>
    <x v="0"/>
    <x v="0"/>
    <s v="Falla mecánica"/>
    <s v="Planta generación de vapor"/>
    <x v="22"/>
    <s v="parrilla viajera"/>
  </r>
  <r>
    <x v="429"/>
    <x v="2"/>
    <x v="7"/>
    <d v="1899-12-30T16:01:00"/>
    <d v="1899-12-30T17:50:00"/>
    <n v="1.8166666666666667"/>
    <x v="0"/>
    <x v="0"/>
    <s v="Falla mecánica"/>
    <s v="Desfrutado"/>
    <x v="8"/>
    <s v="se desencadena piñon inferior"/>
  </r>
  <r>
    <x v="429"/>
    <x v="2"/>
    <x v="7"/>
    <d v="1899-12-30T20:05:00"/>
    <d v="1899-12-30T22:25:00"/>
    <n v="1.1666666666666667"/>
    <x v="0"/>
    <x v="0"/>
    <s v="Falla mecánica"/>
    <s v="Desfrutado"/>
    <x v="8"/>
    <s v="se desencadena piñon inferior"/>
  </r>
  <r>
    <x v="429"/>
    <x v="2"/>
    <x v="7"/>
    <d v="1899-12-30T23:29:00"/>
    <d v="1899-12-31T00:00:00"/>
    <n v="0.51666666666666672"/>
    <x v="0"/>
    <x v="0"/>
    <s v="Falla mecánica"/>
    <s v="Desfrutado"/>
    <x v="28"/>
    <s v="falla electrica motor "/>
  </r>
  <r>
    <x v="429"/>
    <x v="2"/>
    <x v="7"/>
    <d v="1899-12-30T00:00:00"/>
    <d v="1899-12-30T00:49:00"/>
    <n v="0.81666666666666665"/>
    <x v="0"/>
    <x v="0"/>
    <s v="Falla mecánica"/>
    <s v="Desfrutado"/>
    <x v="28"/>
    <s v="falla electrica motor "/>
  </r>
  <r>
    <x v="429"/>
    <x v="2"/>
    <x v="7"/>
    <d v="1899-12-30T03:20:00"/>
    <d v="1899-12-30T05:35:00"/>
    <n v="2.25"/>
    <x v="0"/>
    <x v="0"/>
    <s v="Falla mecánica"/>
    <s v="Desfrutado"/>
    <x v="28"/>
    <s v="falla electrica motor "/>
  </r>
  <r>
    <x v="430"/>
    <x v="2"/>
    <x v="7"/>
    <d v="1899-12-30T10:30:00"/>
    <d v="1899-12-30T11:00:00"/>
    <n v="0.5"/>
    <x v="0"/>
    <x v="0"/>
    <s v="Falla mecánica"/>
    <s v="Desfrutado"/>
    <x v="18"/>
    <s v="se descadeno"/>
  </r>
  <r>
    <x v="430"/>
    <x v="2"/>
    <x v="7"/>
    <d v="1899-12-30T14:30:00"/>
    <d v="1899-12-30T15:00:00"/>
    <n v="0.5"/>
    <x v="0"/>
    <x v="0"/>
    <s v="Falla mecánica"/>
    <s v="Desfrutado"/>
    <x v="8"/>
    <s v="canjilon"/>
  </r>
  <r>
    <x v="430"/>
    <x v="2"/>
    <x v="7"/>
    <d v="1899-12-30T16:40:00"/>
    <d v="1899-12-30T17:37:00"/>
    <n v="0.95"/>
    <x v="0"/>
    <x v="0"/>
    <s v="Falla mecánica"/>
    <s v="Clarificación"/>
    <x v="20"/>
    <s v="esta presentado fallas"/>
  </r>
  <r>
    <x v="431"/>
    <x v="2"/>
    <x v="7"/>
    <d v="1899-12-30T18:00:00"/>
    <d v="1899-12-30T19:30:00"/>
    <n v="1.5"/>
    <x v="0"/>
    <x v="0"/>
    <s v="Falla mecánica"/>
    <s v="Clarificación"/>
    <x v="60"/>
    <m/>
  </r>
  <r>
    <x v="431"/>
    <x v="2"/>
    <x v="7"/>
    <d v="1899-12-30T04:40:00"/>
    <d v="1899-12-30T05:08:00"/>
    <n v="0.46666666666666667"/>
    <x v="0"/>
    <x v="0"/>
    <s v="Falla mecánica"/>
    <s v="Esterilización "/>
    <x v="56"/>
    <s v="se desencadeno"/>
  </r>
  <r>
    <x v="432"/>
    <x v="2"/>
    <x v="7"/>
    <d v="1899-12-30T22:01:00"/>
    <d v="1899-12-30T22:30:00"/>
    <n v="0.48333333333333334"/>
    <x v="0"/>
    <x v="1"/>
    <s v="Falla operativa"/>
    <s v="Desfrutado"/>
    <x v="2"/>
    <s v="ciclo atrasados en esterilzacion turno anterior"/>
  </r>
  <r>
    <x v="432"/>
    <x v="2"/>
    <x v="7"/>
    <d v="1899-12-30T00:00:00"/>
    <d v="1899-12-30T00:40:00"/>
    <n v="0.66666666666666663"/>
    <x v="0"/>
    <x v="0"/>
    <s v="Falla mecánica"/>
    <s v="Esterilización "/>
    <x v="23"/>
    <s v="se descarrilo"/>
  </r>
  <r>
    <x v="432"/>
    <x v="2"/>
    <x v="7"/>
    <d v="1899-12-30T02:07:00"/>
    <d v="1899-12-30T02:40:00"/>
    <n v="0.55000000000000004"/>
    <x v="0"/>
    <x v="0"/>
    <s v="Falla mecánica"/>
    <s v="Desfrutado"/>
    <x v="18"/>
    <s v="estaba muy lenta"/>
  </r>
  <r>
    <x v="433"/>
    <x v="2"/>
    <x v="7"/>
    <d v="1899-12-30T11:35:00"/>
    <d v="1899-12-30T15:43:00"/>
    <n v="4.1333333333333337"/>
    <x v="0"/>
    <x v="0"/>
    <s v="Falla mecánica"/>
    <s v="Planta generación de vapor"/>
    <x v="22"/>
    <s v="falla electrica en caldera "/>
  </r>
  <r>
    <x v="433"/>
    <x v="2"/>
    <x v="7"/>
    <d v="1899-12-30T22:11:00"/>
    <d v="1899-12-30T22:57:00"/>
    <n v="0.76666666666666672"/>
    <x v="0"/>
    <x v="0"/>
    <s v="Falla mecánica"/>
    <s v="Planta generación de vapor"/>
    <x v="22"/>
    <s v="problema en caldera presion"/>
  </r>
  <r>
    <x v="434"/>
    <x v="2"/>
    <x v="7"/>
    <d v="1899-12-30T11:54:00"/>
    <d v="1899-12-30T14:00:00"/>
    <n v="2.1"/>
    <x v="0"/>
    <x v="0"/>
    <s v="Falla mecánica"/>
    <s v="Recepción"/>
    <x v="7"/>
    <s v="Se parte cadena del redler principal"/>
  </r>
  <r>
    <x v="434"/>
    <x v="2"/>
    <x v="7"/>
    <d v="1899-12-30T05:14:00"/>
    <d v="1899-12-30T05:45:00"/>
    <n v="0.51666666666666672"/>
    <x v="0"/>
    <x v="0"/>
    <s v="Falla mecánica"/>
    <s v="Clarificación"/>
    <x v="16"/>
    <s v="Sobre acumulación de lodos falta centrifuga N°3"/>
  </r>
  <r>
    <x v="434"/>
    <x v="2"/>
    <x v="7"/>
    <d v="1899-12-30T18:00:00"/>
    <d v="1899-12-30T21:30:00"/>
    <n v="3.5"/>
    <x v="0"/>
    <x v="0"/>
    <s v="Falla mecánica"/>
    <s v="Desfrutado"/>
    <x v="2"/>
    <s v="Se para patin, se cambia"/>
  </r>
  <r>
    <x v="434"/>
    <x v="2"/>
    <x v="7"/>
    <d v="1899-12-30T03:00:00"/>
    <d v="1899-12-30T03:31:00"/>
    <n v="0.51666666666666672"/>
    <x v="0"/>
    <x v="0"/>
    <s v="Falla mecánica"/>
    <s v="Digestión y prensado"/>
    <x v="28"/>
    <s v="Se frena sinfín ya que no es el motor de este equipo"/>
  </r>
  <r>
    <x v="435"/>
    <x v="2"/>
    <x v="7"/>
    <d v="1899-12-30T08:00:00"/>
    <d v="1899-12-30T09:00:00"/>
    <n v="1"/>
    <x v="0"/>
    <x v="0"/>
    <s v="Falla mecánica"/>
    <s v="Planta generación de vapor"/>
    <x v="22"/>
    <s v="la parrilla esta en mantenimiento"/>
  </r>
  <r>
    <x v="435"/>
    <x v="2"/>
    <x v="7"/>
    <d v="1899-12-30T09:00:00"/>
    <d v="1899-12-30T13:00:00"/>
    <n v="4"/>
    <x v="0"/>
    <x v="0"/>
    <s v="Falla mecánica"/>
    <s v="Planta generación de vapor"/>
    <x v="22"/>
    <s v="la parrilla esta en mantenimiento"/>
  </r>
  <r>
    <x v="435"/>
    <x v="2"/>
    <x v="7"/>
    <d v="1899-12-30T02:00:00"/>
    <d v="1899-12-30T06:00:00"/>
    <n v="4"/>
    <x v="0"/>
    <x v="0"/>
    <s v="Falla mecánica"/>
    <s v="Planta generación de vapor"/>
    <x v="22"/>
    <s v="la parrilla esta en mantenimiento"/>
  </r>
  <r>
    <x v="436"/>
    <x v="2"/>
    <x v="7"/>
    <d v="1899-12-30T20:00:00"/>
    <d v="1899-12-30T20:26:00"/>
    <n v="0.43333333333333335"/>
    <x v="0"/>
    <x v="0"/>
    <s v="Falla mecánica"/>
    <s v="Digestión y prensado"/>
    <x v="28"/>
    <s v="se desencadeno"/>
  </r>
  <r>
    <x v="436"/>
    <x v="2"/>
    <x v="7"/>
    <d v="1899-12-30T00:30:00"/>
    <d v="1899-12-30T03:40:00"/>
    <n v="3.1666666666666665"/>
    <x v="0"/>
    <x v="0"/>
    <s v="Falla eléctrica"/>
    <s v="Planta generación energía electrica"/>
    <x v="51"/>
    <s v="inconvenientes"/>
  </r>
  <r>
    <x v="437"/>
    <x v="2"/>
    <x v="7"/>
    <d v="1899-12-30T03:20:00"/>
    <d v="1899-12-30T04:02:00"/>
    <n v="0.7"/>
    <x v="0"/>
    <x v="1"/>
    <s v="Falla operativa"/>
    <s v="Palmistería"/>
    <x v="6"/>
    <s v="taponamiento acumulacion de nuez"/>
  </r>
  <r>
    <x v="437"/>
    <x v="2"/>
    <x v="7"/>
    <d v="1899-12-30T03:10:00"/>
    <d v="1899-12-30T04:06:00"/>
    <n v="0.93333333333333335"/>
    <x v="0"/>
    <x v="0"/>
    <s v="Falla mecánica"/>
    <s v="Desfrutado"/>
    <x v="8"/>
    <s v="se desencadeno"/>
  </r>
  <r>
    <x v="438"/>
    <x v="2"/>
    <x v="7"/>
    <d v="1899-12-30T02:50:00"/>
    <d v="1899-12-30T04:20:00"/>
    <n v="1.5"/>
    <x v="0"/>
    <x v="0"/>
    <s v="Falla mecánica"/>
    <s v="Desfibración"/>
    <x v="0"/>
    <s v="se le cambio el buje al puente"/>
  </r>
  <r>
    <x v="438"/>
    <x v="2"/>
    <x v="7"/>
    <d v="1899-12-30T20:20:00"/>
    <d v="1899-12-30T20:40:00"/>
    <n v="0.33333333333333331"/>
    <x v="0"/>
    <x v="1"/>
    <s v="Falla operativa"/>
    <s v="Digestión y prensado"/>
    <x v="28"/>
    <s v="piedra lo paro"/>
  </r>
  <r>
    <x v="439"/>
    <x v="2"/>
    <x v="7"/>
    <d v="1899-12-30T06:15:00"/>
    <d v="1899-12-30T08:20:00"/>
    <n v="2.0833333333333335"/>
    <x v="0"/>
    <x v="0"/>
    <s v="Falla mecánica"/>
    <s v="Esterilización "/>
    <x v="17"/>
    <s v="se desencadeno"/>
  </r>
  <r>
    <x v="439"/>
    <x v="2"/>
    <x v="7"/>
    <d v="1899-12-30T08:45:00"/>
    <d v="1899-12-30T13:55:00"/>
    <n v="5.166666666666667"/>
    <x v="0"/>
    <x v="0"/>
    <s v="Falla mecánica"/>
    <s v="Esterilización "/>
    <x v="17"/>
    <s v="se descadeno se le cambio el motor"/>
  </r>
  <r>
    <x v="439"/>
    <x v="2"/>
    <x v="7"/>
    <d v="1899-12-30T03:35:00"/>
    <d v="1899-12-30T06:00:00"/>
    <n v="2.4166666666666665"/>
    <x v="0"/>
    <x v="0"/>
    <s v="Falla mecánica"/>
    <s v="Digestión y prensado"/>
    <x v="28"/>
    <s v="se cambio le motor"/>
  </r>
  <r>
    <x v="439"/>
    <x v="2"/>
    <x v="7"/>
    <d v="1899-12-30T21:30:00"/>
    <d v="1899-12-30T23:30:00"/>
    <n v="2"/>
    <x v="0"/>
    <x v="0"/>
    <s v="Falla mecánica"/>
    <s v="Planta generación de vapor"/>
    <x v="22"/>
    <s v="tambor pulidor la cuña del motor se salio"/>
  </r>
  <r>
    <x v="440"/>
    <x v="2"/>
    <x v="7"/>
    <d v="1899-12-30T07:10:00"/>
    <d v="1899-12-30T08:56:00"/>
    <n v="1.7666666666666666"/>
    <x v="0"/>
    <x v="1"/>
    <s v="Falta Fruta esterilizada"/>
    <s v="Esterilización "/>
    <x v="4"/>
    <s v="falta de fruto esterilizado"/>
  </r>
  <r>
    <x v="440"/>
    <x v="2"/>
    <x v="7"/>
    <d v="1899-12-30T22:00:00"/>
    <d v="1899-12-30T22:30:00"/>
    <n v="0.5"/>
    <x v="0"/>
    <x v="0"/>
    <s v="Falla mecánica"/>
    <s v="Planta generación de vapor"/>
    <x v="22"/>
    <s v="la parrilla estaba mala"/>
  </r>
  <r>
    <x v="441"/>
    <x v="2"/>
    <x v="7"/>
    <d v="1899-12-30T09:50:00"/>
    <d v="1899-12-30T11:30:00"/>
    <n v="1.6666666666666665"/>
    <x v="0"/>
    <x v="0"/>
    <s v="Falla mecánica"/>
    <s v="Planta generación de vapor"/>
    <x v="22"/>
    <s v="Se limpian ductos de aire primario"/>
  </r>
  <r>
    <x v="441"/>
    <x v="2"/>
    <x v="7"/>
    <d v="1899-12-30T18:20:00"/>
    <d v="1899-12-30T18:33:00"/>
    <n v="0.21666666666666667"/>
    <x v="0"/>
    <x v="0"/>
    <s v="Falla eléctrica"/>
    <s v="Clarificación"/>
    <x v="16"/>
    <s v="Se dispara centrifuga"/>
  </r>
  <r>
    <x v="442"/>
    <x v="2"/>
    <x v="7"/>
    <d v="1899-12-30T08:10:00"/>
    <d v="1899-12-30T11:18:00"/>
    <n v="3.1333333333333333"/>
    <x v="0"/>
    <x v="0"/>
    <s v="Falla mecánica"/>
    <s v="Planta general"/>
    <x v="5"/>
    <s v="parada por reservorio sin agua "/>
  </r>
  <r>
    <x v="442"/>
    <x v="2"/>
    <x v="7"/>
    <d v="1899-12-30T01:25:00"/>
    <d v="1899-12-30T01:57:00"/>
    <n v="0.53333333333333333"/>
    <x v="0"/>
    <x v="1"/>
    <s v="Falla operativa"/>
    <s v="Planta general"/>
    <x v="5"/>
    <s v="parada por falta de fruto esterilizado "/>
  </r>
  <r>
    <x v="442"/>
    <x v="2"/>
    <x v="7"/>
    <d v="1899-12-30T18:00:00"/>
    <d v="1899-12-30T22:30:00"/>
    <n v="4.5"/>
    <x v="0"/>
    <x v="0"/>
    <s v="Falla mecánica"/>
    <s v="Clarificación"/>
    <x v="49"/>
    <s v="parada por bomba de aceite humedo en clarificacion "/>
  </r>
  <r>
    <x v="443"/>
    <x v="2"/>
    <x v="7"/>
    <d v="1899-12-30T08:10:00"/>
    <d v="1899-12-30T09:00:00"/>
    <n v="0.83333333333333337"/>
    <x v="0"/>
    <x v="0"/>
    <s v="Falla mecánica"/>
    <s v="Clarificación"/>
    <x v="37"/>
    <s v="fuga conos de tuveria"/>
  </r>
  <r>
    <x v="443"/>
    <x v="2"/>
    <x v="7"/>
    <d v="1899-12-30T09:25:00"/>
    <d v="1899-12-30T10:01:00"/>
    <n v="0.6"/>
    <x v="0"/>
    <x v="0"/>
    <s v="Falla mecánica"/>
    <s v="Clarificación"/>
    <x v="37"/>
    <s v="fuga conos de tuveria"/>
  </r>
  <r>
    <x v="443"/>
    <x v="2"/>
    <x v="7"/>
    <d v="1899-12-30T15:00:00"/>
    <d v="1899-12-30T16:50:00"/>
    <n v="1.8333333333333335"/>
    <x v="0"/>
    <x v="0"/>
    <s v="Falla mecánica"/>
    <s v="Clarificación"/>
    <x v="16"/>
    <s v="falla de centirfuga "/>
  </r>
  <r>
    <x v="443"/>
    <x v="2"/>
    <x v="7"/>
    <d v="1899-12-30T17:30:00"/>
    <d v="1899-12-30T18:50:00"/>
    <n v="1.3333333333333333"/>
    <x v="0"/>
    <x v="0"/>
    <s v="Falla mecánica"/>
    <s v="Esterilización "/>
    <x v="17"/>
    <s v="redler que llena fracturadora se descadena"/>
  </r>
  <r>
    <x v="443"/>
    <x v="2"/>
    <x v="7"/>
    <d v="1899-12-30T21:45:00"/>
    <d v="1899-12-30T23:11:00"/>
    <n v="1.4333333333333333"/>
    <x v="0"/>
    <x v="0"/>
    <s v="Falla mecánica"/>
    <s v="Esterilización "/>
    <x v="23"/>
    <s v="atraso en la vagoneta linea #2"/>
  </r>
  <r>
    <x v="443"/>
    <x v="2"/>
    <x v="7"/>
    <d v="1899-12-30T12:55:00"/>
    <d v="1899-12-30T14:10:00"/>
    <n v="1.25"/>
    <x v="0"/>
    <x v="0"/>
    <s v="Falla mecánica"/>
    <s v="Esterilización "/>
    <x v="23"/>
    <s v="parada de los indexer de la autoclave 1"/>
  </r>
  <r>
    <x v="444"/>
    <x v="2"/>
    <x v="7"/>
    <d v="1899-12-30T06:00:00"/>
    <d v="1899-12-30T09:00:00"/>
    <n v="3"/>
    <x v="0"/>
    <x v="0"/>
    <s v="Falla mecánica"/>
    <s v="Clarificación"/>
    <x v="20"/>
    <s v="corriegiendo figa en tuberia "/>
  </r>
  <r>
    <x v="445"/>
    <x v="2"/>
    <x v="7"/>
    <d v="1899-12-30T09:40:00"/>
    <d v="1899-12-30T10:01:00"/>
    <n v="0.35"/>
    <x v="0"/>
    <x v="0"/>
    <s v="Falla mecánica"/>
    <s v="Planta generación de vapor"/>
    <x v="22"/>
    <s v="problema  de agua  la  bomba"/>
  </r>
  <r>
    <x v="446"/>
    <x v="2"/>
    <x v="7"/>
    <d v="1899-12-30T17:00:00"/>
    <d v="1899-12-30T17:30:00"/>
    <n v="0.5"/>
    <x v="0"/>
    <x v="0"/>
    <s v="Falla mecánica"/>
    <s v="Planta generación de vapor"/>
    <x v="22"/>
    <s v="probelma en la caldera "/>
  </r>
  <r>
    <x v="446"/>
    <x v="2"/>
    <x v="7"/>
    <d v="1899-12-30T04:00:00"/>
    <d v="1899-12-30T04:50:00"/>
    <n v="0"/>
    <x v="0"/>
    <x v="0"/>
    <s v="Falla mecánica"/>
    <s v="Esterilización "/>
    <x v="23"/>
    <s v="redler se cayo "/>
  </r>
  <r>
    <x v="447"/>
    <x v="2"/>
    <x v="7"/>
    <d v="1899-12-30T21:00:00"/>
    <d v="1899-12-30T22:40:00"/>
    <n v="1.6666666666666665"/>
    <x v="0"/>
    <x v="0"/>
    <s v="Falla mecánica"/>
    <s v="Desfrutado"/>
    <x v="8"/>
    <s v="se descadeno"/>
  </r>
  <r>
    <x v="447"/>
    <x v="2"/>
    <x v="7"/>
    <d v="1899-12-30T02:40:00"/>
    <d v="1899-12-30T03:00:00"/>
    <n v="0.33333333333333331"/>
    <x v="0"/>
    <x v="0"/>
    <s v="Falla mecánica"/>
    <s v="Desfrutado"/>
    <x v="18"/>
    <s v="se descadeno la linea #2"/>
  </r>
  <r>
    <x v="447"/>
    <x v="2"/>
    <x v="7"/>
    <d v="1899-12-30T03:20:00"/>
    <d v="1899-12-30T04:30:00"/>
    <n v="1.1666666666666667"/>
    <x v="0"/>
    <x v="0"/>
    <s v="Falla mecánica"/>
    <s v="Esterilización "/>
    <x v="85"/>
    <s v="el indexer se  atasco"/>
  </r>
  <r>
    <x v="447"/>
    <x v="2"/>
    <x v="7"/>
    <d v="1899-12-30T05:40:00"/>
    <d v="1899-12-30T06:00:00"/>
    <n v="0.33333333333333331"/>
    <x v="0"/>
    <x v="0"/>
    <s v="Falla mecánica"/>
    <s v="Clarificación"/>
    <x v="60"/>
    <s v="tuberia rota"/>
  </r>
  <r>
    <x v="448"/>
    <x v="2"/>
    <x v="8"/>
    <d v="1899-12-30T02:15:00"/>
    <d v="1899-12-30T03:25:00"/>
    <n v="1.1666666666666667"/>
    <x v="0"/>
    <x v="1"/>
    <s v="Falla operativa"/>
    <s v="Desfibración"/>
    <x v="9"/>
    <s v="se tapa bajante "/>
  </r>
  <r>
    <x v="448"/>
    <x v="2"/>
    <x v="8"/>
    <d v="1899-12-30T22:00:00"/>
    <d v="1899-12-30T22:40:00"/>
    <n v="0.66666666666666663"/>
    <x v="0"/>
    <x v="0"/>
    <s v="Falla mecánica"/>
    <s v="Esterilización "/>
    <x v="18"/>
    <s v="unidad hidraulica estaba mala "/>
  </r>
  <r>
    <x v="449"/>
    <x v="2"/>
    <x v="8"/>
    <d v="1899-12-30T21:40:00"/>
    <d v="1899-12-30T22:11:00"/>
    <n v="0.51666666666666672"/>
    <x v="0"/>
    <x v="0"/>
    <s v="Falla mecánica"/>
    <s v="Planta generación energía electrica"/>
    <x v="51"/>
    <s v="no habia  energia"/>
  </r>
  <r>
    <x v="449"/>
    <x v="2"/>
    <x v="8"/>
    <d v="1899-12-30T02:00:00"/>
    <d v="1899-12-30T06:00:00"/>
    <n v="4"/>
    <x v="0"/>
    <x v="0"/>
    <s v="Falla eléctrica"/>
    <s v="Planta generación de vapor"/>
    <x v="22"/>
    <s v="corto ccircuito en el cableado"/>
  </r>
  <r>
    <x v="450"/>
    <x v="2"/>
    <x v="8"/>
    <d v="1899-12-30T08:00:00"/>
    <d v="1899-12-30T09:30:00"/>
    <n v="1.5"/>
    <x v="0"/>
    <x v="1"/>
    <s v="Falla operativa"/>
    <s v="Digestión y prensado"/>
    <x v="86"/>
    <s v="Se apaga prensa por dosificación en 20 min"/>
  </r>
  <r>
    <x v="450"/>
    <x v="2"/>
    <x v="8"/>
    <d v="1899-12-30T00:01:00"/>
    <d v="1899-12-30T01:20:00"/>
    <n v="1.3166666666666667"/>
    <x v="0"/>
    <x v="0"/>
    <s v="Falla mecánica"/>
    <s v="Planta tratamiento de agua"/>
    <x v="83"/>
    <s v="falta de bomba centrifuga"/>
  </r>
  <r>
    <x v="451"/>
    <x v="2"/>
    <x v="8"/>
    <d v="1899-12-30T06:00:00"/>
    <d v="1899-12-30T08:30:00"/>
    <n v="2.5"/>
    <x v="0"/>
    <x v="0"/>
    <s v="Falla eléctrica"/>
    <s v="Planta generación de vapor"/>
    <x v="22"/>
    <s v="Corto en cableado"/>
  </r>
  <r>
    <x v="452"/>
    <x v="2"/>
    <x v="8"/>
    <d v="1899-12-30T12:00:00"/>
    <d v="1899-12-30T12:45:00"/>
    <n v="0.75"/>
    <x v="0"/>
    <x v="1"/>
    <s v="Falta Fruta esterilizada"/>
    <s v="Digestión y prensado"/>
    <x v="86"/>
    <s v="Se apaga prensa por dosificación en 20 min"/>
  </r>
  <r>
    <x v="452"/>
    <x v="2"/>
    <x v="8"/>
    <d v="1899-12-30T15:25:00"/>
    <d v="1899-12-30T16:03:00"/>
    <n v="0.6333333333333333"/>
    <x v="0"/>
    <x v="0"/>
    <s v="Falla mecánica"/>
    <s v="Planta generación de vapor"/>
    <x v="59"/>
    <s v="Falla en válvula de vapor del distribuidor"/>
  </r>
  <r>
    <x v="452"/>
    <x v="2"/>
    <x v="8"/>
    <d v="1899-12-30T19:50:00"/>
    <d v="1899-12-30T21:00:00"/>
    <n v="1.1666666666666667"/>
    <x v="0"/>
    <x v="0"/>
    <s v="Falla mecánica"/>
    <s v="Planta generación de vapor"/>
    <x v="59"/>
    <s v="Falla en válvula de vapor del distribuidor"/>
  </r>
  <r>
    <x v="452"/>
    <x v="2"/>
    <x v="8"/>
    <d v="1899-12-30T06:30:00"/>
    <d v="1899-12-30T08:48:00"/>
    <n v="2.2999999999999998"/>
    <x v="0"/>
    <x v="1"/>
    <s v="Falta Fruta esterilizada"/>
    <s v="Digestión y prensado"/>
    <x v="86"/>
    <s v="Se apaga prensa por dosificación en 20 min"/>
  </r>
  <r>
    <x v="452"/>
    <x v="2"/>
    <x v="8"/>
    <d v="1899-12-30T11:55:00"/>
    <d v="1899-12-30T12:46:00"/>
    <n v="0.85"/>
    <x v="0"/>
    <x v="1"/>
    <s v="Falta Fruta esterilizada"/>
    <s v="Digestión y prensado"/>
    <x v="86"/>
    <s v="Se apaga prensa por dosificación en 20 min"/>
  </r>
  <r>
    <x v="452"/>
    <x v="2"/>
    <x v="8"/>
    <d v="1899-12-30T15:03:00"/>
    <d v="1899-12-30T16:07:00"/>
    <n v="1.0666666666666667"/>
    <x v="0"/>
    <x v="1"/>
    <s v="Falta Fruta esterilizada"/>
    <s v="Digestión y prensado"/>
    <x v="86"/>
    <s v="Se apaga prensa por dosificación en 20 min"/>
  </r>
  <r>
    <x v="452"/>
    <x v="2"/>
    <x v="8"/>
    <d v="1899-12-30T18:00:00"/>
    <d v="1899-12-30T18:30:00"/>
    <n v="0.5"/>
    <x v="0"/>
    <x v="1"/>
    <s v="Falta Fruta esterilizada"/>
    <s v="Digestión y prensado"/>
    <x v="86"/>
    <s v="Se apaga prensa por dosificación en 20 min"/>
  </r>
  <r>
    <x v="453"/>
    <x v="2"/>
    <x v="8"/>
    <d v="1899-12-30T18:00:00"/>
    <d v="1899-12-30T20:30:00"/>
    <n v="2.5"/>
    <x v="1"/>
    <x v="2"/>
    <s v="Arranque planta"/>
    <s v="Planta general"/>
    <x v="5"/>
    <s v="arranque de proceso"/>
  </r>
  <r>
    <x v="453"/>
    <x v="2"/>
    <x v="8"/>
    <d v="1899-12-30T00:00:00"/>
    <d v="1899-12-30T01:00:00"/>
    <n v="1"/>
    <x v="1"/>
    <x v="2"/>
    <s v="Arranque planta"/>
    <s v="Planta general"/>
    <x v="5"/>
    <s v="arranque de proceso"/>
  </r>
  <r>
    <x v="454"/>
    <x v="2"/>
    <x v="8"/>
    <d v="1899-12-30T06:00:00"/>
    <d v="1899-12-30T09:20:00"/>
    <n v="3.3333333333333335"/>
    <x v="1"/>
    <x v="2"/>
    <s v="Arranque planta"/>
    <s v="Planta general"/>
    <x v="5"/>
    <s v="Apagado de planta"/>
  </r>
  <r>
    <x v="454"/>
    <x v="2"/>
    <x v="8"/>
    <d v="1899-12-30T09:40:00"/>
    <d v="1899-12-30T11:00:00"/>
    <n v="1.3333333333333333"/>
    <x v="0"/>
    <x v="0"/>
    <s v="Falla mecánica"/>
    <s v="Digestión y prensado"/>
    <x v="13"/>
    <s v="Correas en mal estado; se demora el cambio por falta de herramienta"/>
  </r>
  <r>
    <x v="454"/>
    <x v="2"/>
    <x v="8"/>
    <d v="1899-12-30T02:25:00"/>
    <d v="1899-12-30T02:35:00"/>
    <n v="0.16666666666666666"/>
    <x v="0"/>
    <x v="0"/>
    <s v="Falla mecánica"/>
    <s v="Desfrutado"/>
    <x v="18"/>
    <s v="Se desencadena redler N. 2"/>
  </r>
  <r>
    <x v="454"/>
    <x v="2"/>
    <x v="8"/>
    <d v="1899-12-30T03:40:00"/>
    <d v="1899-12-30T06:00:00"/>
    <n v="2.3333333333333335"/>
    <x v="0"/>
    <x v="0"/>
    <s v="Falla mecánica"/>
    <s v="Desfrutado"/>
    <x v="18"/>
    <s v="Se desencadena redler N. 2"/>
  </r>
  <r>
    <x v="454"/>
    <x v="2"/>
    <x v="8"/>
    <d v="1899-12-30T14:00:00"/>
    <d v="1899-12-30T14:35:00"/>
    <n v="0.58333333333333337"/>
    <x v="0"/>
    <x v="1"/>
    <s v="Falta Fruta esterilizada"/>
    <s v="Digestión y prensado"/>
    <x v="86"/>
    <s v="Se apaga prensa por dosificación en 20 min"/>
  </r>
  <r>
    <x v="454"/>
    <x v="2"/>
    <x v="8"/>
    <d v="1899-12-30T17:00:00"/>
    <d v="1899-12-30T17:16:00"/>
    <n v="0.26666666666666666"/>
    <x v="0"/>
    <x v="1"/>
    <s v="Falta Fruta esterilizada"/>
    <s v="Digestión y prensado"/>
    <x v="86"/>
    <s v="Se apaga prensa por dosificación en 20 min"/>
  </r>
  <r>
    <x v="454"/>
    <x v="2"/>
    <x v="8"/>
    <d v="1899-12-30T20:04:00"/>
    <d v="1899-12-30T20:28:00"/>
    <n v="0.4"/>
    <x v="0"/>
    <x v="1"/>
    <s v="Falta Fruta esterilizada"/>
    <s v="Digestión y prensado"/>
    <x v="86"/>
    <s v="Se apaga prensa por dosificación en 20 min"/>
  </r>
  <r>
    <x v="454"/>
    <x v="2"/>
    <x v="8"/>
    <d v="1899-12-30T21:20:00"/>
    <d v="1899-12-30T23:08:00"/>
    <n v="1.8"/>
    <x v="0"/>
    <x v="1"/>
    <s v="Falta Fruta esterilizada"/>
    <s v="Digestión y prensado"/>
    <x v="86"/>
    <s v="Se apaga prensa por dosificación en 20 min"/>
  </r>
  <r>
    <x v="454"/>
    <x v="2"/>
    <x v="8"/>
    <d v="1899-12-30T01:40:00"/>
    <d v="1899-12-30T02:13:00"/>
    <n v="0.55000000000000004"/>
    <x v="0"/>
    <x v="1"/>
    <s v="Falta Fruta esterilizada"/>
    <s v="Digestión y prensado"/>
    <x v="86"/>
    <s v="Se apaga prensa por dosificación en 20 min"/>
  </r>
  <r>
    <x v="455"/>
    <x v="2"/>
    <x v="8"/>
    <d v="1899-12-30T16:00:00"/>
    <d v="1899-12-30T18:00:00"/>
    <n v="2"/>
    <x v="0"/>
    <x v="0"/>
    <s v="Falla eléctrica"/>
    <s v="Clarificación"/>
    <x v="11"/>
    <s v="Corto en cable eléctrico del motor"/>
  </r>
  <r>
    <x v="455"/>
    <x v="2"/>
    <x v="8"/>
    <d v="1899-12-30T12:00:00"/>
    <d v="1899-12-30T15:00:00"/>
    <n v="3"/>
    <x v="1"/>
    <x v="2"/>
    <s v="Arranque planta"/>
    <s v="Planta general"/>
    <x v="5"/>
    <s v="arranque de proceso"/>
  </r>
  <r>
    <x v="455"/>
    <x v="2"/>
    <x v="8"/>
    <d v="1899-12-30T10:00:00"/>
    <d v="1899-12-30T12:00:00"/>
    <n v="2"/>
    <x v="0"/>
    <x v="0"/>
    <s v="Falla mecánica"/>
    <s v="Planta generación de vapor"/>
    <x v="79"/>
    <s v="Parrilla en mal estado no permite evacuar y pierde presión la caldera. Se para para limpiar"/>
  </r>
  <r>
    <x v="455"/>
    <x v="2"/>
    <x v="8"/>
    <d v="1899-12-30T18:00:00"/>
    <d v="1899-12-30T20:53:00"/>
    <n v="2.8833333333333333"/>
    <x v="0"/>
    <x v="0"/>
    <s v="Falla eléctrica"/>
    <s v="Clarificación"/>
    <x v="11"/>
    <s v="Corto en cable eléctrico del motor"/>
  </r>
  <r>
    <x v="455"/>
    <x v="2"/>
    <x v="8"/>
    <d v="1899-12-30T21:00:00"/>
    <d v="1899-12-30T21:15:00"/>
    <n v="0.25"/>
    <x v="0"/>
    <x v="0"/>
    <s v="Falla eléctrica"/>
    <s v="Clarificación"/>
    <x v="11"/>
    <s v="Corto en cable eléctrico del motor"/>
  </r>
  <r>
    <x v="455"/>
    <x v="2"/>
    <x v="8"/>
    <d v="1899-12-30T02:10:00"/>
    <d v="1899-12-30T04:15:00"/>
    <n v="2.0833333333333335"/>
    <x v="0"/>
    <x v="0"/>
    <s v="Falla mecánica"/>
    <s v="Digestión y prensado"/>
    <x v="13"/>
    <s v="Daño en acople de la bomba de la unidad hidráulica"/>
  </r>
  <r>
    <x v="456"/>
    <x v="2"/>
    <x v="8"/>
    <d v="1899-12-30T06:00:00"/>
    <d v="1899-12-30T09:00:00"/>
    <n v="3"/>
    <x v="0"/>
    <x v="0"/>
    <s v="Falla mecánica"/>
    <s v="Esterilización "/>
    <x v="23"/>
    <s v="Se cambia vagoneta 1 de autoclave 1"/>
  </r>
  <r>
    <x v="456"/>
    <x v="2"/>
    <x v="8"/>
    <d v="1899-12-30T11:00:00"/>
    <d v="1899-12-30T11:48:00"/>
    <n v="0.8"/>
    <x v="0"/>
    <x v="0"/>
    <s v="Falla mecánica"/>
    <s v="Esterilización "/>
    <x v="23"/>
    <s v="Se cambia vagoneta 1 de autoclave 1"/>
  </r>
  <r>
    <x v="456"/>
    <x v="2"/>
    <x v="8"/>
    <d v="1899-12-30T15:00:00"/>
    <d v="1899-12-30T15:43:00"/>
    <n v="0.71666666666666667"/>
    <x v="0"/>
    <x v="0"/>
    <s v="Falla mecánica"/>
    <s v="Planta generación de vapor"/>
    <x v="79"/>
    <s v="Parrilla en mal estado no permite evacuar y pierde presión la caldera"/>
  </r>
  <r>
    <x v="456"/>
    <x v="2"/>
    <x v="8"/>
    <d v="1899-12-30T17:20:00"/>
    <d v="1899-12-30T18:00:00"/>
    <n v="0.66666666666666663"/>
    <x v="0"/>
    <x v="0"/>
    <s v="Falla mecánica"/>
    <s v="Planta generación de vapor"/>
    <x v="79"/>
    <s v="Parrilla en mal estado no permite evacuar y pierde presión la caldera"/>
  </r>
  <r>
    <x v="456"/>
    <x v="2"/>
    <x v="8"/>
    <d v="1899-12-30T18:00:00"/>
    <d v="1899-12-30T23:40:00"/>
    <n v="5.666666666666667"/>
    <x v="0"/>
    <x v="0"/>
    <s v="Falla mecánica"/>
    <s v="Planta generación de vapor"/>
    <x v="79"/>
    <s v="Parrilla en mal estado no permite evacuar y pierde presión la caldera. Se para para limpiar"/>
  </r>
  <r>
    <x v="456"/>
    <x v="2"/>
    <x v="8"/>
    <d v="1899-12-30T02:25:00"/>
    <d v="1899-12-30T02:38:00"/>
    <n v="0.21666666666666667"/>
    <x v="0"/>
    <x v="1"/>
    <s v="Falta Fruta esterilizada"/>
    <s v="Digestión y prensado"/>
    <x v="86"/>
    <s v="Se apaga prensa por dosificación en 20 min"/>
  </r>
  <r>
    <x v="457"/>
    <x v="2"/>
    <x v="8"/>
    <d v="1899-12-30T09:00:00"/>
    <d v="1899-12-30T09:43:00"/>
    <n v="0.71666666666666667"/>
    <x v="0"/>
    <x v="0"/>
    <s v="Falla mecánica"/>
    <s v="Esterilización "/>
    <x v="58"/>
    <s v="Indexer N. 1 en mal estado"/>
  </r>
  <r>
    <x v="457"/>
    <x v="2"/>
    <x v="8"/>
    <d v="1899-12-30T12:00:00"/>
    <d v="1899-12-30T12:30:00"/>
    <n v="0.5"/>
    <x v="0"/>
    <x v="0"/>
    <s v="Falla mecánica"/>
    <s v="Esterilización "/>
    <x v="58"/>
    <s v="Indexer N. 1 en mal estado"/>
  </r>
  <r>
    <x v="457"/>
    <x v="2"/>
    <x v="8"/>
    <d v="1899-12-30T13:50:00"/>
    <d v="1899-12-30T14:00:00"/>
    <n v="0.16666666666666666"/>
    <x v="0"/>
    <x v="0"/>
    <s v="Falla mecánica"/>
    <s v="Esterilización "/>
    <x v="58"/>
    <s v="Indexer N. 1 en mal estado"/>
  </r>
  <r>
    <x v="457"/>
    <x v="2"/>
    <x v="8"/>
    <d v="1899-12-30T14:25:00"/>
    <d v="1899-12-30T15:43:00"/>
    <n v="1.3"/>
    <x v="0"/>
    <x v="0"/>
    <s v="Falla mecánica"/>
    <s v="Desfrutado"/>
    <x v="18"/>
    <s v="Se desencadena"/>
  </r>
  <r>
    <x v="457"/>
    <x v="2"/>
    <x v="8"/>
    <d v="1899-12-30T16:01:00"/>
    <d v="1899-12-30T16:31:00"/>
    <n v="0.5"/>
    <x v="0"/>
    <x v="0"/>
    <s v="Falla mecánica"/>
    <s v="Desfrutado"/>
    <x v="18"/>
    <s v="Se desencadena"/>
  </r>
  <r>
    <x v="457"/>
    <x v="2"/>
    <x v="8"/>
    <d v="1899-12-30T17:02:00"/>
    <d v="1899-12-30T18:00:00"/>
    <n v="0.96666666666666667"/>
    <x v="0"/>
    <x v="0"/>
    <s v="Falla mecánica"/>
    <s v="Palmistería"/>
    <x v="72"/>
    <s v="Se quemó motor"/>
  </r>
  <r>
    <x v="457"/>
    <x v="2"/>
    <x v="8"/>
    <d v="1899-12-30T18:00:00"/>
    <d v="1899-12-30T18:35:00"/>
    <n v="0.58333333333333337"/>
    <x v="0"/>
    <x v="0"/>
    <s v="Falla mecánica"/>
    <s v="Palmistería"/>
    <x v="72"/>
    <s v="Se quemó motor"/>
  </r>
  <r>
    <x v="457"/>
    <x v="2"/>
    <x v="8"/>
    <d v="1899-12-30T22:45:00"/>
    <d v="1899-12-30T23:45:00"/>
    <n v="1"/>
    <x v="0"/>
    <x v="0"/>
    <s v="Falla mecánica"/>
    <s v="Desfrutado"/>
    <x v="18"/>
    <s v="Se desencadena"/>
  </r>
  <r>
    <x v="457"/>
    <x v="2"/>
    <x v="8"/>
    <d v="1899-12-30T04:00:00"/>
    <d v="1899-12-30T06:00:00"/>
    <n v="2"/>
    <x v="0"/>
    <x v="0"/>
    <s v="Falla mecánica"/>
    <s v="Clarificación"/>
    <x v="55"/>
    <s v="Daño en motor de tamiz de lodos (rodamiento"/>
  </r>
  <r>
    <x v="458"/>
    <x v="2"/>
    <x v="8"/>
    <d v="1899-12-30T06:00:00"/>
    <d v="1899-12-30T11:00:00"/>
    <n v="5"/>
    <x v="0"/>
    <x v="0"/>
    <s v="Falla mecánica"/>
    <s v="Planta generación de vapor"/>
    <x v="79"/>
    <s v="Limpieza parrilla"/>
  </r>
  <r>
    <x v="458"/>
    <x v="2"/>
    <x v="8"/>
    <d v="1899-12-30T11:00:00"/>
    <d v="1899-12-30T14:05:00"/>
    <n v="3.0833333333333335"/>
    <x v="0"/>
    <x v="0"/>
    <s v="Falla mecánica"/>
    <s v="Clarificación"/>
    <x v="55"/>
    <s v="Daño en motor de tamiz de lodos (rodamiento"/>
  </r>
  <r>
    <x v="458"/>
    <x v="2"/>
    <x v="8"/>
    <d v="1899-12-30T15:30:00"/>
    <d v="1899-12-30T16:05:00"/>
    <n v="0.58333333333333337"/>
    <x v="0"/>
    <x v="0"/>
    <s v="Falla mecánica"/>
    <s v="Desfrutado"/>
    <x v="18"/>
    <s v="Se desencadena"/>
  </r>
  <r>
    <x v="458"/>
    <x v="2"/>
    <x v="8"/>
    <d v="1899-12-30T17:00:00"/>
    <d v="1899-12-30T17:15:00"/>
    <n v="0.25"/>
    <x v="0"/>
    <x v="0"/>
    <s v="Falla mecánica"/>
    <s v="Desfrutado"/>
    <x v="18"/>
    <s v="Se desencadena"/>
  </r>
  <r>
    <x v="459"/>
    <x v="2"/>
    <x v="8"/>
    <d v="1899-12-30T11:20:00"/>
    <d v="1899-12-30T12:00:00"/>
    <n v="0.66666666666666663"/>
    <x v="0"/>
    <x v="0"/>
    <s v="Falla mecánica"/>
    <s v="Clarificación"/>
    <x v="80"/>
    <s v="Centrífuga trabajando mal. Se apaga y revisa"/>
  </r>
  <r>
    <x v="459"/>
    <x v="2"/>
    <x v="8"/>
    <d v="1899-12-30T12:00:00"/>
    <d v="1899-12-30T14:00:00"/>
    <n v="2"/>
    <x v="0"/>
    <x v="3"/>
    <s v="Incendios o eventos naturales"/>
    <s v="Planta general"/>
    <x v="5"/>
    <s v="Incendio en los alrededores de la planta. El personal ayuda a apagar."/>
  </r>
  <r>
    <x v="460"/>
    <x v="2"/>
    <x v="8"/>
    <d v="1899-12-30T18:00:00"/>
    <d v="1899-12-31T01:25:00"/>
    <n v="7.416666666666667"/>
    <x v="0"/>
    <x v="0"/>
    <s v="Falla mecánica"/>
    <s v="Clarificación"/>
    <x v="60"/>
    <s v="Cambio de tubería de lodos a tamiz. Demora del contratista"/>
  </r>
  <r>
    <x v="460"/>
    <x v="2"/>
    <x v="8"/>
    <d v="1899-12-30T01:27:00"/>
    <d v="1899-12-30T01:53:00"/>
    <n v="0.43333333333333335"/>
    <x v="0"/>
    <x v="0"/>
    <s v="Falla eléctrica"/>
    <s v="Digestión y prensado"/>
    <x v="86"/>
    <s v="Problemas en tablero eléctrico"/>
  </r>
  <r>
    <x v="460"/>
    <x v="2"/>
    <x v="8"/>
    <d v="1899-12-30T02:20:00"/>
    <d v="1899-12-30T03:55:00"/>
    <n v="1.5833333333333335"/>
    <x v="0"/>
    <x v="1"/>
    <s v="Falla operativa"/>
    <s v="Clarificación"/>
    <x v="49"/>
    <s v="Se limpió filtro de la bomba"/>
  </r>
  <r>
    <x v="461"/>
    <x v="2"/>
    <x v="8"/>
    <d v="1899-12-30T06:00:00"/>
    <d v="1899-12-30T10:10:00"/>
    <n v="4.166666666666667"/>
    <x v="0"/>
    <x v="0"/>
    <s v="Falla mecánica"/>
    <s v="Planta generación de vapor"/>
    <x v="76"/>
    <s v="Se desencadena. Faltan traviesas."/>
  </r>
  <r>
    <x v="461"/>
    <x v="2"/>
    <x v="8"/>
    <d v="1899-12-30T10:10:00"/>
    <d v="1899-12-30T11:18:00"/>
    <n v="1.1333333333333333"/>
    <x v="0"/>
    <x v="0"/>
    <s v="Falla mecánica"/>
    <s v="Planta generación de vapor"/>
    <x v="76"/>
    <s v="Se desencadena. Faltan traviesas."/>
  </r>
  <r>
    <x v="461"/>
    <x v="2"/>
    <x v="8"/>
    <d v="1899-12-30T10:10:00"/>
    <d v="1899-12-30T11:20:00"/>
    <n v="1.1666666666666667"/>
    <x v="0"/>
    <x v="0"/>
    <s v="Falla mecánica"/>
    <s v="Esterilización "/>
    <x v="17"/>
    <s v="Se desencadena"/>
  </r>
  <r>
    <x v="461"/>
    <x v="2"/>
    <x v="8"/>
    <d v="1899-12-30T13:12:00"/>
    <d v="1899-12-30T13:56:00"/>
    <n v="0.73333333333333328"/>
    <x v="0"/>
    <x v="0"/>
    <s v="Falla mecánica"/>
    <s v="Planta generación de vapor"/>
    <x v="76"/>
    <s v="Se desencadena. Faltan traviesas."/>
  </r>
  <r>
    <x v="461"/>
    <x v="2"/>
    <x v="8"/>
    <d v="1899-12-30T13:30:00"/>
    <d v="1899-12-30T15:22:00"/>
    <n v="1.8666666666666667"/>
    <x v="0"/>
    <x v="0"/>
    <s v="Falla mecánica"/>
    <s v="Planta generación de vapor"/>
    <x v="76"/>
    <s v="Se desencadena. Faltan traviesas."/>
  </r>
  <r>
    <x v="461"/>
    <x v="2"/>
    <x v="8"/>
    <d v="1899-12-30T20:15:00"/>
    <d v="1899-12-30T21:30:00"/>
    <n v="1.25"/>
    <x v="0"/>
    <x v="0"/>
    <s v="Falla mecánica"/>
    <s v="Clarificación"/>
    <x v="55"/>
    <s v="Parada para adecuar tubería de licor de tusas y corregir resortes de tamiz"/>
  </r>
  <r>
    <x v="461"/>
    <x v="2"/>
    <x v="8"/>
    <d v="1899-12-30T21:30:00"/>
    <d v="1899-12-30T22:50:00"/>
    <n v="1.3333333333333333"/>
    <x v="0"/>
    <x v="0"/>
    <s v="Falla mecánica"/>
    <s v="Esterilización "/>
    <x v="17"/>
    <s v="Se desencadena"/>
  </r>
  <r>
    <x v="461"/>
    <x v="2"/>
    <x v="8"/>
    <d v="1899-12-30T22:50:00"/>
    <d v="1899-12-30T23:15:00"/>
    <n v="0.41666666666666669"/>
    <x v="0"/>
    <x v="0"/>
    <s v="Falla mecánica"/>
    <s v="Esterilización "/>
    <x v="17"/>
    <s v="Se desencadena"/>
  </r>
  <r>
    <x v="462"/>
    <x v="2"/>
    <x v="8"/>
    <d v="1899-12-30T06:00:00"/>
    <d v="1899-12-30T07:30:00"/>
    <n v="1.5"/>
    <x v="0"/>
    <x v="0"/>
    <s v="Falla mecánica"/>
    <s v="Esterilización "/>
    <x v="17"/>
    <s v="Se desencadena"/>
  </r>
  <r>
    <x v="462"/>
    <x v="2"/>
    <x v="8"/>
    <d v="1899-12-30T09:50:00"/>
    <d v="1899-12-30T10:20:00"/>
    <n v="0.5"/>
    <x v="0"/>
    <x v="0"/>
    <s v="Falla mecánica"/>
    <s v="Esterilización "/>
    <x v="17"/>
    <s v="Se desencadena"/>
  </r>
  <r>
    <x v="462"/>
    <x v="2"/>
    <x v="8"/>
    <d v="1899-12-30T17:35:00"/>
    <d v="1899-12-30T18:00:00"/>
    <n v="0.41666666666666669"/>
    <x v="0"/>
    <x v="1"/>
    <s v="Falla operativa"/>
    <s v="Palmistería"/>
    <x v="6"/>
    <s v="Se tapa por exceso de nuez"/>
  </r>
  <r>
    <x v="462"/>
    <x v="2"/>
    <x v="8"/>
    <d v="1899-12-30T19:17:00"/>
    <d v="1899-12-30T19:28:00"/>
    <n v="0.18333333333333332"/>
    <x v="0"/>
    <x v="0"/>
    <s v="Falla mecánica"/>
    <s v="Clarificación"/>
    <x v="49"/>
    <s v="Daño en bomba"/>
  </r>
  <r>
    <x v="462"/>
    <x v="2"/>
    <x v="8"/>
    <d v="1899-12-30T22:50:00"/>
    <d v="1899-12-30T23:50:00"/>
    <n v="1"/>
    <x v="0"/>
    <x v="0"/>
    <s v="Falla mecánica"/>
    <s v="Planta tratamiento de agua"/>
    <x v="47"/>
    <s v="Bomba no succiona. Daño en manguera de succión. Reservorio se queda sin agua."/>
  </r>
  <r>
    <x v="462"/>
    <x v="2"/>
    <x v="8"/>
    <d v="1899-12-30T05:00:00"/>
    <d v="1899-12-30T06:00:00"/>
    <n v="1"/>
    <x v="0"/>
    <x v="0"/>
    <s v="Falla mecánica"/>
    <s v="Planta tratamiento de agua"/>
    <x v="47"/>
    <s v="Bomba no succiona. Daño en manguera de succión. Reservorio se queda sin agua."/>
  </r>
  <r>
    <x v="463"/>
    <x v="2"/>
    <x v="8"/>
    <d v="1899-12-30T06:00:00"/>
    <d v="1899-12-30T12:31:00"/>
    <n v="6.5166666666666666"/>
    <x v="0"/>
    <x v="0"/>
    <s v="Falla mecánica"/>
    <s v="Planta tratamiento de agua"/>
    <x v="47"/>
    <s v="Bomba no succiona. Daño en manguera de succión. Reservorio se queda sin agua."/>
  </r>
  <r>
    <x v="463"/>
    <x v="2"/>
    <x v="8"/>
    <d v="1899-12-30T18:40:00"/>
    <d v="1899-12-31T00:30:00"/>
    <n v="5.833333333333333"/>
    <x v="0"/>
    <x v="0"/>
    <s v="Falla mecánica"/>
    <s v="Planta tratamiento de agua"/>
    <x v="47"/>
    <s v="Bomba no succiona. Daño en manguera de succión. Reservorio se queda sin agua."/>
  </r>
  <r>
    <x v="463"/>
    <x v="2"/>
    <x v="8"/>
    <d v="1899-12-30T03:00:00"/>
    <d v="1899-12-30T03:40:00"/>
    <n v="0.66666666666666663"/>
    <x v="0"/>
    <x v="0"/>
    <s v="Falla eléctrica"/>
    <s v="Planta generación energía electrica"/>
    <x v="51"/>
    <s v="No se hace cambio automático. Baterías descargadas"/>
  </r>
  <r>
    <x v="463"/>
    <x v="2"/>
    <x v="8"/>
    <d v="1899-12-30T05:10:00"/>
    <d v="1899-12-30T06:00:00"/>
    <n v="0.83333333333333337"/>
    <x v="0"/>
    <x v="0"/>
    <s v="Falla mecánica"/>
    <s v="Planta tratamiento de agua"/>
    <x v="47"/>
    <s v="Bomba no succiona. Daño en manguera de succión. Reservorio se queda sin agua."/>
  </r>
  <r>
    <x v="464"/>
    <x v="2"/>
    <x v="8"/>
    <d v="1899-12-30T06:00:00"/>
    <d v="1899-12-30T18:00:00"/>
    <n v="12"/>
    <x v="0"/>
    <x v="0"/>
    <s v="Falla mecánica"/>
    <s v="Digestión y prensado"/>
    <x v="86"/>
    <s v="Se parte tornillo, eje de transmisión y de alargadera"/>
  </r>
  <r>
    <x v="464"/>
    <x v="2"/>
    <x v="8"/>
    <d v="1899-12-30T06:00:00"/>
    <d v="1899-12-30T08:35:00"/>
    <n v="2.5833333333333335"/>
    <x v="0"/>
    <x v="0"/>
    <s v="Falla mecánica"/>
    <s v="Planta tratamiento de agua"/>
    <x v="47"/>
    <s v="Bomba no succiona. Daño en manguera de succión. Reservorio se queda sin agua."/>
  </r>
  <r>
    <x v="464"/>
    <x v="2"/>
    <x v="8"/>
    <d v="1899-12-30T15:00:00"/>
    <d v="1899-12-30T15:12:00"/>
    <n v="0.2"/>
    <x v="0"/>
    <x v="0"/>
    <s v="Falla mecánica"/>
    <s v="Clarificación"/>
    <x v="87"/>
    <s v="Daño en acople"/>
  </r>
  <r>
    <x v="464"/>
    <x v="2"/>
    <x v="8"/>
    <d v="1899-12-30T16:05:00"/>
    <d v="1899-12-30T16:19:00"/>
    <n v="0.23333333333333334"/>
    <x v="0"/>
    <x v="0"/>
    <s v="Falla mecánica"/>
    <s v="Planta tratamiento de agua"/>
    <x v="47"/>
    <s v="Bomba no succiona. Daño en manguera de succión. Reservorio se queda sin agua."/>
  </r>
  <r>
    <x v="465"/>
    <x v="2"/>
    <x v="8"/>
    <d v="1899-12-30T06:00:00"/>
    <d v="1899-12-30T06:17:00"/>
    <n v="0.28333333333333333"/>
    <x v="0"/>
    <x v="1"/>
    <s v="Falta Fruta esterilizada"/>
    <s v="Digestión y prensado"/>
    <x v="86"/>
    <s v="Se apaga prensa por dosificación en 20 min"/>
  </r>
  <r>
    <x v="465"/>
    <x v="2"/>
    <x v="8"/>
    <d v="1899-12-30T09:15:00"/>
    <d v="1899-12-30T10:05:00"/>
    <n v="0.83333333333333337"/>
    <x v="0"/>
    <x v="0"/>
    <s v="Falla mecánica"/>
    <s v="Clarificación"/>
    <x v="87"/>
    <s v="Daño en acople"/>
  </r>
  <r>
    <x v="465"/>
    <x v="2"/>
    <x v="8"/>
    <d v="1899-12-30T14:35:00"/>
    <d v="1899-12-30T14:42:00"/>
    <n v="0.11666666666666667"/>
    <x v="0"/>
    <x v="1"/>
    <s v="Falta Fruta esterilizada"/>
    <s v="Digestión y prensado"/>
    <x v="86"/>
    <s v="Se apaga prensa por dosificación en 20 min"/>
  </r>
  <r>
    <x v="465"/>
    <x v="2"/>
    <x v="8"/>
    <d v="1899-12-30T14:48:00"/>
    <d v="1899-12-30T15:03:00"/>
    <n v="0.25"/>
    <x v="0"/>
    <x v="1"/>
    <s v="Falla operativa"/>
    <s v="Esterilización "/>
    <x v="18"/>
    <s v="Sobrecarga de fruto"/>
  </r>
  <r>
    <x v="465"/>
    <x v="2"/>
    <x v="8"/>
    <d v="1899-12-30T15:03:00"/>
    <d v="1899-12-30T15:34:00"/>
    <n v="0.51666666666666672"/>
    <x v="0"/>
    <x v="1"/>
    <s v="Falla operativa"/>
    <s v="Esterilización "/>
    <x v="18"/>
    <s v="Sobrecarga de fruto"/>
  </r>
  <r>
    <x v="465"/>
    <x v="2"/>
    <x v="8"/>
    <d v="1899-12-30T19:10:00"/>
    <d v="1899-12-30T19:33:00"/>
    <n v="0.38333333333333336"/>
    <x v="0"/>
    <x v="0"/>
    <s v="Falla mecánica"/>
    <s v="Clarificación"/>
    <x v="87"/>
    <s v="Daño en acople"/>
  </r>
  <r>
    <x v="465"/>
    <x v="2"/>
    <x v="8"/>
    <d v="1899-12-30T00:55:00"/>
    <d v="1899-12-30T01:42:00"/>
    <n v="0.78333333333333333"/>
    <x v="0"/>
    <x v="0"/>
    <s v="Falla mecánica"/>
    <s v="Clarificación"/>
    <x v="88"/>
    <s v="No succióna. Se rebosan los canales"/>
  </r>
  <r>
    <x v="466"/>
    <x v="2"/>
    <x v="8"/>
    <d v="1899-12-30T06:00:00"/>
    <d v="1899-12-30T15:40:00"/>
    <n v="9.6666666666666661"/>
    <x v="0"/>
    <x v="0"/>
    <s v="Falla mecánica"/>
    <s v="Planta generación de vapor"/>
    <x v="22"/>
    <s v="Se revienta empaque del manhole del pirotubo"/>
  </r>
  <r>
    <x v="466"/>
    <x v="2"/>
    <x v="8"/>
    <d v="1899-12-30T15:40:00"/>
    <d v="1899-12-30T17:40:00"/>
    <n v="2"/>
    <x v="1"/>
    <x v="2"/>
    <s v="Arranque planta"/>
    <s v="Planta general"/>
    <x v="5"/>
    <s v="arranque de proceso"/>
  </r>
  <r>
    <x v="466"/>
    <x v="2"/>
    <x v="8"/>
    <d v="1899-12-30T18:00:00"/>
    <d v="1899-12-30T21:38:00"/>
    <n v="3.6333333333333333"/>
    <x v="0"/>
    <x v="1"/>
    <s v="Falla operativa"/>
    <s v="Desfibración"/>
    <x v="64"/>
    <s v="Taponamiento"/>
  </r>
  <r>
    <x v="466"/>
    <x v="2"/>
    <x v="8"/>
    <d v="1899-12-30T22:20:00"/>
    <d v="1899-12-30T23:02:00"/>
    <n v="0.7"/>
    <x v="0"/>
    <x v="0"/>
    <s v="Falla eléctrica"/>
    <s v="Digestión y prensado"/>
    <x v="13"/>
    <s v="Corto en tablero eléctrico"/>
  </r>
  <r>
    <x v="466"/>
    <x v="2"/>
    <x v="8"/>
    <d v="1899-12-30T02:50:00"/>
    <d v="1899-12-30T04:30:00"/>
    <n v="1.6666666666666665"/>
    <x v="0"/>
    <x v="1"/>
    <s v="Falla operativa"/>
    <s v="Clarificación"/>
    <x v="10"/>
    <s v="Tanque lleno"/>
  </r>
  <r>
    <x v="467"/>
    <x v="2"/>
    <x v="8"/>
    <d v="1899-12-30T06:00:00"/>
    <d v="1899-12-30T11:40:00"/>
    <n v="5.666666666666667"/>
    <x v="0"/>
    <x v="3"/>
    <s v="Fluído eléctrico"/>
    <s v="Digestión y prensado"/>
    <x v="86"/>
    <s v="corte de fluido electrico. Planta no tiene capacidad para 2 prensas (se procesó palmistería)"/>
  </r>
  <r>
    <x v="467"/>
    <x v="2"/>
    <x v="8"/>
    <d v="1899-12-30T19:45:00"/>
    <d v="1899-12-30T20:25:00"/>
    <n v="0.66666666666666663"/>
    <x v="0"/>
    <x v="0"/>
    <s v="Falla mecánica"/>
    <s v="Desfrutado"/>
    <x v="2"/>
    <s v="Se frenó patín"/>
  </r>
  <r>
    <x v="467"/>
    <x v="2"/>
    <x v="8"/>
    <d v="1899-12-30T21:08:00"/>
    <d v="1899-12-30T23:24:00"/>
    <n v="2.2666666666666666"/>
    <x v="0"/>
    <x v="0"/>
    <s v="Falla mecánica"/>
    <s v="Desfrutado"/>
    <x v="2"/>
    <s v="Se frenó patín"/>
  </r>
  <r>
    <x v="467"/>
    <x v="2"/>
    <x v="8"/>
    <d v="1899-12-30T02:45:00"/>
    <d v="1899-12-30T06:00:00"/>
    <n v="3.25"/>
    <x v="0"/>
    <x v="0"/>
    <s v="Falla mecánica"/>
    <s v="Desfrutado"/>
    <x v="2"/>
    <s v="Se frenó patín"/>
  </r>
  <r>
    <x v="468"/>
    <x v="2"/>
    <x v="8"/>
    <d v="1899-12-30T06:00:00"/>
    <d v="1899-12-30T21:00:00"/>
    <n v="15"/>
    <x v="0"/>
    <x v="0"/>
    <s v="Falla mecánica"/>
    <s v="Desfrutado"/>
    <x v="2"/>
    <s v="Corto en cableado eléctrico"/>
  </r>
  <r>
    <x v="468"/>
    <x v="2"/>
    <x v="8"/>
    <d v="1899-12-30T22:30:00"/>
    <d v="1899-12-30T23:30:00"/>
    <n v="1"/>
    <x v="0"/>
    <x v="1"/>
    <s v="Falla operativa"/>
    <s v="Planta generación de vapor"/>
    <x v="9"/>
    <s v="Taponamiento"/>
  </r>
  <r>
    <x v="468"/>
    <x v="2"/>
    <x v="8"/>
    <d v="1899-12-30T00:35:00"/>
    <d v="1899-12-30T01:12:00"/>
    <n v="0.6166666666666667"/>
    <x v="0"/>
    <x v="1"/>
    <s v="Falta Fruta esterilizada"/>
    <s v="Digestión y prensado"/>
    <x v="86"/>
    <s v="Se apaga prensa por dosificación en 20 min"/>
  </r>
  <r>
    <x v="468"/>
    <x v="2"/>
    <x v="8"/>
    <d v="1899-12-30T05:40:00"/>
    <d v="1899-12-30T06:00:00"/>
    <n v="0.33333333333333331"/>
    <x v="0"/>
    <x v="0"/>
    <s v="Falla mecánica"/>
    <s v="Recepción"/>
    <x v="7"/>
    <s v="Se desencadenó"/>
  </r>
  <r>
    <x v="469"/>
    <x v="2"/>
    <x v="9"/>
    <d v="1899-12-30T06:50:00"/>
    <d v="1899-12-30T09:40:00"/>
    <n v="2.8333333333333335"/>
    <x v="0"/>
    <x v="0"/>
    <s v="Falla mecánica"/>
    <s v="Recepción"/>
    <x v="7"/>
    <s v="Se desencadenó"/>
  </r>
  <r>
    <x v="469"/>
    <x v="2"/>
    <x v="9"/>
    <d v="1899-12-30T09:40:00"/>
    <d v="1899-12-30T11:06:00"/>
    <n v="1.4333333333333333"/>
    <x v="0"/>
    <x v="0"/>
    <s v="Falla mecánica"/>
    <s v="Recepción"/>
    <x v="7"/>
    <s v="Se desencadenó"/>
  </r>
  <r>
    <x v="469"/>
    <x v="2"/>
    <x v="9"/>
    <d v="1899-12-30T13:11:00"/>
    <d v="1899-12-30T14:44:00"/>
    <n v="1.55"/>
    <x v="0"/>
    <x v="0"/>
    <s v="Falla mecánica"/>
    <s v="Planta generación de vapor"/>
    <x v="59"/>
    <s v="Elctroválvula falla, no regula la válvula"/>
  </r>
  <r>
    <x v="469"/>
    <x v="2"/>
    <x v="9"/>
    <d v="1899-12-30T14:00:00"/>
    <d v="1899-12-30T14:20:00"/>
    <n v="0.33333333333333331"/>
    <x v="0"/>
    <x v="1"/>
    <s v="Falla operativa"/>
    <s v="Desfrutado"/>
    <x v="18"/>
    <s v="Sobrecarga de fruto. Error al cerrar compuerta"/>
  </r>
  <r>
    <x v="469"/>
    <x v="2"/>
    <x v="9"/>
    <d v="1899-12-30T15:49:00"/>
    <d v="1899-12-30T16:25:00"/>
    <n v="0.3"/>
    <x v="0"/>
    <x v="0"/>
    <s v="Falla mecánica"/>
    <s v="Planta generación de vapor"/>
    <x v="59"/>
    <s v="Elctroválvula falla, no regula la válvula"/>
  </r>
  <r>
    <x v="469"/>
    <x v="2"/>
    <x v="9"/>
    <d v="1899-12-30T17:00:00"/>
    <d v="1899-12-30T17:51:00"/>
    <n v="0.42499999999999999"/>
    <x v="0"/>
    <x v="0"/>
    <s v="Falla mecánica"/>
    <s v="Digestión y prensado"/>
    <x v="57"/>
    <s v="Se tensionaron correas"/>
  </r>
  <r>
    <x v="469"/>
    <x v="2"/>
    <x v="9"/>
    <d v="1899-12-30T20:30:00"/>
    <d v="1899-12-30T22:47:00"/>
    <n v="2.2833333333333332"/>
    <x v="0"/>
    <x v="0"/>
    <s v="Falla mecánica"/>
    <s v="Planta generación de vapor"/>
    <x v="79"/>
    <s v="Parrila viajera fuera de servicio. Es neceario parar proceso para limpiar"/>
  </r>
  <r>
    <x v="470"/>
    <x v="2"/>
    <x v="9"/>
    <d v="1899-12-30T01:20:00"/>
    <d v="1899-12-30T06:00:00"/>
    <n v="2.3333333333333335"/>
    <x v="0"/>
    <x v="0"/>
    <s v="Falla mecánica"/>
    <s v="Digestión y prensado"/>
    <x v="13"/>
    <s v="El 8 se despega"/>
  </r>
  <r>
    <x v="470"/>
    <x v="2"/>
    <x v="9"/>
    <d v="1899-12-30T06:00:00"/>
    <d v="1899-12-30T18:00:00"/>
    <n v="6"/>
    <x v="0"/>
    <x v="0"/>
    <s v="Falla mecánica"/>
    <s v="Digestión y prensado"/>
    <x v="13"/>
    <s v="El 8 se despega"/>
  </r>
  <r>
    <x v="470"/>
    <x v="2"/>
    <x v="9"/>
    <d v="1899-12-30T21:24:00"/>
    <d v="1899-12-30T23:26:00"/>
    <n v="2.0333333333333332"/>
    <x v="0"/>
    <x v="1"/>
    <s v="Falla operativa"/>
    <s v="Clarificación"/>
    <x v="35"/>
    <s v="Taponamiento"/>
  </r>
  <r>
    <x v="470"/>
    <x v="2"/>
    <x v="9"/>
    <d v="1899-12-30T00:45:00"/>
    <d v="1899-12-30T04:02:00"/>
    <n v="3.2833333333333332"/>
    <x v="0"/>
    <x v="0"/>
    <s v="Falla mecánica"/>
    <s v="Planta generación de vapor"/>
    <x v="59"/>
    <s v="Falla válvula, no regula. Se desmontó."/>
  </r>
  <r>
    <x v="471"/>
    <x v="2"/>
    <x v="9"/>
    <d v="1899-12-30T08:50:00"/>
    <d v="1899-12-30T10:40:00"/>
    <n v="0.91666666666666674"/>
    <x v="0"/>
    <x v="0"/>
    <s v="Falla mecánica"/>
    <s v="Esterilización "/>
    <x v="85"/>
    <s v="Se trabó indexer"/>
  </r>
  <r>
    <x v="471"/>
    <x v="2"/>
    <x v="9"/>
    <d v="1899-12-30T11:40:00"/>
    <d v="1899-12-30T12:40:00"/>
    <n v="1"/>
    <x v="0"/>
    <x v="1"/>
    <s v="Falla operativa"/>
    <s v="Clarificación"/>
    <x v="35"/>
    <s v="Taponamiento"/>
  </r>
  <r>
    <x v="472"/>
    <x v="2"/>
    <x v="9"/>
    <d v="1899-12-30T06:00:00"/>
    <d v="1899-12-30T08:00:00"/>
    <n v="2"/>
    <x v="1"/>
    <x v="2"/>
    <s v="Arranque planta"/>
    <s v="Planta general"/>
    <x v="5"/>
    <s v="arranque de proceso"/>
  </r>
  <r>
    <x v="472"/>
    <x v="2"/>
    <x v="9"/>
    <d v="1899-12-30T08:00:00"/>
    <d v="1899-12-30T10:45:00"/>
    <n v="2.75"/>
    <x v="0"/>
    <x v="0"/>
    <s v="Falla mecánica"/>
    <s v="Planta generación de vapor"/>
    <x v="76"/>
    <s v="Desencadenado"/>
  </r>
  <r>
    <x v="472"/>
    <x v="2"/>
    <x v="9"/>
    <d v="1899-12-30T11:40:00"/>
    <d v="1899-12-30T12:17:00"/>
    <n v="0.6166666666666667"/>
    <x v="0"/>
    <x v="0"/>
    <s v="Falla mecánica"/>
    <s v="Desfrutado"/>
    <x v="19"/>
    <s v="Se corrió acople dellado del eje"/>
  </r>
  <r>
    <x v="472"/>
    <x v="2"/>
    <x v="9"/>
    <d v="1899-12-30T17:00:00"/>
    <d v="1899-12-30T17:30:00"/>
    <n v="0.25"/>
    <x v="0"/>
    <x v="1"/>
    <s v="Falta Fruta esterilizada"/>
    <s v="Digestión y prensado"/>
    <x v="86"/>
    <s v="Se apaga prensa por dosificación en 20 min"/>
  </r>
  <r>
    <x v="472"/>
    <x v="2"/>
    <x v="9"/>
    <d v="1899-12-30T18:50:00"/>
    <d v="1899-12-30T20:00:00"/>
    <n v="1.1666666666666667"/>
    <x v="0"/>
    <x v="1"/>
    <s v="Falla operativa"/>
    <s v="Clarificación"/>
    <x v="35"/>
    <s v="Taponamiento"/>
  </r>
  <r>
    <x v="472"/>
    <x v="2"/>
    <x v="9"/>
    <d v="1899-12-30T00:20:00"/>
    <d v="1899-12-30T01:30:00"/>
    <n v="1.1666666666666667"/>
    <x v="0"/>
    <x v="0"/>
    <s v="Falla mecánica"/>
    <s v="Planta tratamiento de agua"/>
    <x v="47"/>
    <s v="Reservorio bajo de nivel"/>
  </r>
  <r>
    <x v="472"/>
    <x v="2"/>
    <x v="9"/>
    <d v="1899-12-30T03:20:00"/>
    <d v="1899-12-30T04:07:00"/>
    <n v="0.39166666666666666"/>
    <x v="0"/>
    <x v="0"/>
    <s v="Falla mecánica"/>
    <s v="Desfrutado"/>
    <x v="18"/>
    <s v="Se deseencadena reddler"/>
  </r>
  <r>
    <x v="472"/>
    <x v="2"/>
    <x v="9"/>
    <d v="1899-12-30T05:21:00"/>
    <d v="1899-12-30T06:00:00"/>
    <n v="0.32500000000000001"/>
    <x v="0"/>
    <x v="0"/>
    <s v="Falla mecánica"/>
    <s v="Desfrutado"/>
    <x v="18"/>
    <s v="Se deseencadena reddler"/>
  </r>
  <r>
    <x v="473"/>
    <x v="2"/>
    <x v="9"/>
    <d v="1899-12-30T08:52:00"/>
    <d v="1899-12-30T11:30:00"/>
    <n v="2.6333333333333333"/>
    <x v="0"/>
    <x v="0"/>
    <s v="Falla mecánica"/>
    <s v="Planta generación de vapor"/>
    <x v="79"/>
    <s v="Parrila viajera fuera de servicio. Es neceario parar proceso para limpiar"/>
  </r>
  <r>
    <x v="473"/>
    <x v="2"/>
    <x v="9"/>
    <d v="1899-12-30T12:55:00"/>
    <d v="1899-12-30T14:00:00"/>
    <n v="0.54166666666666663"/>
    <x v="0"/>
    <x v="1"/>
    <s v="Falta Fruta esterilizada"/>
    <s v="Digestión y prensado"/>
    <x v="86"/>
    <s v="Se apaga prensa por dosificación en 20 min"/>
  </r>
  <r>
    <x v="473"/>
    <x v="2"/>
    <x v="9"/>
    <d v="1899-12-30T15:10:00"/>
    <d v="1899-12-30T15:45:00"/>
    <n v="0.29166666666666669"/>
    <x v="0"/>
    <x v="1"/>
    <s v="Falta Fruta esterilizada"/>
    <s v="Digestión y prensado"/>
    <x v="86"/>
    <s v="Se apaga prensa por dosificación en 20 min"/>
  </r>
  <r>
    <x v="473"/>
    <x v="2"/>
    <x v="9"/>
    <d v="1899-12-30T17:35:00"/>
    <d v="1899-12-30T18:00:00"/>
    <n v="0.20833333333333334"/>
    <x v="0"/>
    <x v="0"/>
    <s v="Falla mecánica"/>
    <s v="Esterilización "/>
    <x v="56"/>
    <s v="Se desencadena"/>
  </r>
  <r>
    <x v="473"/>
    <x v="2"/>
    <x v="9"/>
    <d v="1899-12-30T18:00:00"/>
    <d v="1899-12-30T18:51:00"/>
    <n v="0.85"/>
    <x v="0"/>
    <x v="0"/>
    <s v="Falla mecánica"/>
    <s v="Esterilización "/>
    <x v="56"/>
    <s v="Se desencadena"/>
  </r>
  <r>
    <x v="473"/>
    <x v="2"/>
    <x v="9"/>
    <d v="1899-12-30T21:00:00"/>
    <d v="1899-12-30T21:48:00"/>
    <n v="0.4"/>
    <x v="0"/>
    <x v="1"/>
    <s v="Falla operativa"/>
    <s v="Planta generación de vapor"/>
    <x v="22"/>
    <s v="Falta de combustible"/>
  </r>
  <r>
    <x v="473"/>
    <x v="2"/>
    <x v="9"/>
    <d v="1899-12-30T21:38:00"/>
    <d v="1899-12-30T22:31:00"/>
    <n v="0.8833333333333333"/>
    <x v="0"/>
    <x v="0"/>
    <s v="Falla mecánica"/>
    <s v="Esterilización "/>
    <x v="44"/>
    <s v="Vagoneta descarrilada"/>
  </r>
  <r>
    <x v="473"/>
    <x v="2"/>
    <x v="9"/>
    <d v="1899-12-30T23:40:00"/>
    <d v="1899-12-31T00:40:00"/>
    <n v="0.5"/>
    <x v="0"/>
    <x v="1"/>
    <s v="Falta Fruta esterilizada"/>
    <s v="Digestión y prensado"/>
    <x v="86"/>
    <s v="Se apaga prensa por dosificación en 20 min"/>
  </r>
  <r>
    <x v="474"/>
    <x v="2"/>
    <x v="9"/>
    <d v="1899-12-30T07:15:00"/>
    <d v="1899-12-30T07:43:00"/>
    <n v="0.46666666666666667"/>
    <x v="0"/>
    <x v="1"/>
    <s v="Falla operativa"/>
    <s v="Planta generación de vapor"/>
    <x v="9"/>
    <s v="Taponamiento del ducto de alimentación de la caldera"/>
  </r>
  <r>
    <x v="474"/>
    <x v="2"/>
    <x v="9"/>
    <d v="1899-12-30T08:15:00"/>
    <d v="1899-12-30T08:47:00"/>
    <n v="0.26666666666666666"/>
    <x v="0"/>
    <x v="1"/>
    <s v="Falta Fruta esterilizada"/>
    <s v="Digestión y prensado"/>
    <x v="86"/>
    <s v="Se apaga prensa por dosificación en 20 min"/>
  </r>
  <r>
    <x v="474"/>
    <x v="2"/>
    <x v="9"/>
    <d v="1899-12-30T15:25:00"/>
    <d v="1899-12-30T19:01:00"/>
    <n v="1.8"/>
    <x v="0"/>
    <x v="1"/>
    <s v="Falla operativa"/>
    <s v="Clarificación"/>
    <x v="35"/>
    <s v="Taponamiento"/>
  </r>
  <r>
    <x v="474"/>
    <x v="2"/>
    <x v="9"/>
    <d v="1899-12-30T17:10:00"/>
    <d v="1899-12-30T19:00:00"/>
    <n v="1.8333333333333335"/>
    <x v="0"/>
    <x v="1"/>
    <s v="Falla operativa"/>
    <s v="Clarificación"/>
    <x v="35"/>
    <s v="Taponamiento"/>
  </r>
  <r>
    <x v="474"/>
    <x v="2"/>
    <x v="9"/>
    <d v="1899-12-30T20:01:00"/>
    <d v="1899-12-30T20:49:00"/>
    <n v="0.8"/>
    <x v="0"/>
    <x v="0"/>
    <s v="Falla mecánica"/>
    <s v="Clarificación"/>
    <x v="88"/>
    <s v="Problemas con la bomba"/>
  </r>
  <r>
    <x v="474"/>
    <x v="2"/>
    <x v="9"/>
    <d v="1899-12-30T02:30:00"/>
    <d v="1899-12-30T04:40:00"/>
    <n v="1.0833333333333333"/>
    <x v="0"/>
    <x v="0"/>
    <s v="Falla mecánica"/>
    <s v="Recepción"/>
    <x v="7"/>
    <s v="Se desencadenó"/>
  </r>
  <r>
    <x v="474"/>
    <x v="2"/>
    <x v="9"/>
    <d v="1899-12-30T04:10:00"/>
    <d v="1899-12-30T04:50:00"/>
    <n v="0.33333333333333331"/>
    <x v="0"/>
    <x v="0"/>
    <s v="Falla mecánica"/>
    <s v="Recepción"/>
    <x v="7"/>
    <s v="Se desencadenó"/>
  </r>
  <r>
    <x v="474"/>
    <x v="2"/>
    <x v="9"/>
    <d v="1899-12-30T05:50:00"/>
    <d v="1899-12-30T06:00:00"/>
    <n v="0.16666666666666666"/>
    <x v="0"/>
    <x v="0"/>
    <s v="Falla mecánica"/>
    <s v="Planta generación de vapor"/>
    <x v="79"/>
    <s v="Parrila viajera fuera de servicio. Es neceario parar proceso para limpiar"/>
  </r>
  <r>
    <x v="475"/>
    <x v="2"/>
    <x v="9"/>
    <d v="1899-12-30T12:00:00"/>
    <d v="1899-12-30T13:10:00"/>
    <n v="0.58333333333333337"/>
    <x v="0"/>
    <x v="0"/>
    <s v="Falla mecánica"/>
    <s v="Planta tratamiento de agua"/>
    <x v="79"/>
    <s v="Reservorio bajo de nivel"/>
  </r>
  <r>
    <x v="475"/>
    <x v="2"/>
    <x v="9"/>
    <d v="1899-12-30T18:00:00"/>
    <d v="1899-12-31T00:34:00"/>
    <n v="6.5666666666666664"/>
    <x v="0"/>
    <x v="0"/>
    <s v="Falla mecánica"/>
    <s v="Planta tratamiento de agua"/>
    <x v="47"/>
    <s v="Reservorio bajo de nivel"/>
  </r>
  <r>
    <x v="475"/>
    <x v="2"/>
    <x v="9"/>
    <d v="1899-12-30T03:30:00"/>
    <d v="1899-12-30T05:00:00"/>
    <n v="0.75"/>
    <x v="0"/>
    <x v="0"/>
    <s v="Falla mecánica"/>
    <s v="Desfrutado"/>
    <x v="18"/>
    <s v="Se deseencadena reddler"/>
  </r>
  <r>
    <x v="476"/>
    <x v="2"/>
    <x v="9"/>
    <d v="1899-12-30T06:30:00"/>
    <d v="1899-12-30T06:50:00"/>
    <n v="0.16666666666666666"/>
    <x v="0"/>
    <x v="1"/>
    <s v="Falta Fruta esterilizada"/>
    <s v="Digestión y prensado"/>
    <x v="13"/>
    <s v="Se apaga prensa por dosificación en 20 min"/>
  </r>
  <r>
    <x v="476"/>
    <x v="2"/>
    <x v="9"/>
    <d v="1899-12-30T06:00:00"/>
    <d v="1899-12-30T07:55:00"/>
    <n v="0.95833333333333326"/>
    <x v="0"/>
    <x v="1"/>
    <s v="Falta Fruta esterilizada"/>
    <s v="Digestión y prensado"/>
    <x v="86"/>
    <s v="Se apaga prensa por dosificación en 20 min"/>
  </r>
  <r>
    <x v="476"/>
    <x v="2"/>
    <x v="9"/>
    <d v="1899-12-30T08:40:00"/>
    <d v="1899-12-30T10:20:00"/>
    <n v="0.83333333333333326"/>
    <x v="0"/>
    <x v="1"/>
    <s v="Falta Fruta esterilizada"/>
    <s v="Digestión y prensado"/>
    <x v="86"/>
    <s v="Se apaga prensa por dosificación en 20 min"/>
  </r>
  <r>
    <x v="476"/>
    <x v="2"/>
    <x v="9"/>
    <d v="1899-12-30T12:12:00"/>
    <d v="1899-12-30T12:50:00"/>
    <n v="0.31666666666666665"/>
    <x v="0"/>
    <x v="1"/>
    <s v="Falta Fruta esterilizada"/>
    <s v="Digestión y prensado"/>
    <x v="86"/>
    <s v="Se apaga prensa por dosificación en 20 min"/>
  </r>
  <r>
    <x v="476"/>
    <x v="2"/>
    <x v="9"/>
    <d v="1899-12-30T15:13:00"/>
    <d v="1899-12-30T16:55:00"/>
    <n v="0.85"/>
    <x v="0"/>
    <x v="0"/>
    <s v="Falla mecánica"/>
    <s v="Clarificación"/>
    <x v="88"/>
    <s v="Problemas con la bomba"/>
  </r>
  <r>
    <x v="476"/>
    <x v="2"/>
    <x v="9"/>
    <d v="1899-12-30T19:41:00"/>
    <d v="1899-12-30T21:00:00"/>
    <n v="1.3166666666666667"/>
    <x v="0"/>
    <x v="1"/>
    <s v="Falla operativa"/>
    <s v="Clarificación"/>
    <x v="35"/>
    <s v="Taponamiento"/>
  </r>
  <r>
    <x v="476"/>
    <x v="2"/>
    <x v="9"/>
    <d v="1899-12-30T22:05:00"/>
    <d v="1899-12-31T01:00:00"/>
    <n v="2.9166666666666665"/>
    <x v="0"/>
    <x v="1"/>
    <s v="Falla operativa"/>
    <s v="Clarificación"/>
    <x v="35"/>
    <s v="Taponamiento"/>
  </r>
  <r>
    <x v="476"/>
    <x v="2"/>
    <x v="9"/>
    <d v="1899-12-30T03:05:00"/>
    <d v="1899-12-30T03:40:00"/>
    <n v="0.58333333333333337"/>
    <x v="0"/>
    <x v="0"/>
    <s v="Falla mecánica"/>
    <s v="Planta generación energía electrica"/>
    <x v="51"/>
    <s v="Falla de energía "/>
  </r>
  <r>
    <x v="477"/>
    <x v="2"/>
    <x v="9"/>
    <d v="1899-12-30T07:50:00"/>
    <d v="1899-12-30T08:18:00"/>
    <n v="0.23333333333333334"/>
    <x v="0"/>
    <x v="0"/>
    <s v="Falla mecánica"/>
    <s v="Planta generación energía electrica"/>
    <x v="51"/>
    <s v="Falla de energía "/>
  </r>
  <r>
    <x v="477"/>
    <x v="2"/>
    <x v="9"/>
    <d v="1899-12-30T08:36:00"/>
    <d v="1899-12-30T10:00:00"/>
    <n v="0.7"/>
    <x v="0"/>
    <x v="1"/>
    <s v="Falla operativa"/>
    <s v="Clarificación"/>
    <x v="16"/>
    <s v="Taponamiento de centrifguas 1 y 2"/>
  </r>
  <r>
    <x v="477"/>
    <x v="2"/>
    <x v="9"/>
    <d v="1899-12-30T10:45:00"/>
    <d v="1899-12-31T06:00:00"/>
    <n v="9.625"/>
    <x v="0"/>
    <x v="0"/>
    <s v="Falla mecánica"/>
    <s v="Digestión y prensado"/>
    <x v="86"/>
    <s v="Daño en eje principal"/>
  </r>
  <r>
    <x v="478"/>
    <x v="2"/>
    <x v="9"/>
    <d v="1899-12-30T06:00:00"/>
    <d v="1899-12-30T18:00:00"/>
    <n v="6"/>
    <x v="0"/>
    <x v="0"/>
    <s v="Falla mecánica"/>
    <s v="Digestión y prensado"/>
    <x v="86"/>
    <s v="Daño en eje principal"/>
  </r>
  <r>
    <x v="479"/>
    <x v="2"/>
    <x v="9"/>
    <d v="1899-12-30T21:00:00"/>
    <d v="1899-12-30T21:40:00"/>
    <n v="0.33333333333333331"/>
    <x v="0"/>
    <x v="0"/>
    <s v="Falla mecánica"/>
    <s v="Desfibración"/>
    <x v="0"/>
    <s v="Se parten tornillos de pegue"/>
  </r>
  <r>
    <x v="479"/>
    <x v="2"/>
    <x v="9"/>
    <d v="1899-12-30T01:00:00"/>
    <d v="1899-12-30T01:30:00"/>
    <n v="0.25"/>
    <x v="0"/>
    <x v="0"/>
    <s v="Falla mecánica"/>
    <s v="Desfrutado"/>
    <x v="18"/>
    <s v="Soltaron traviesas"/>
  </r>
  <r>
    <x v="479"/>
    <x v="2"/>
    <x v="9"/>
    <d v="1899-12-30T18:00:00"/>
    <d v="1899-12-31T06:00:00"/>
    <n v="6"/>
    <x v="0"/>
    <x v="0"/>
    <s v="Falla mecánica"/>
    <s v="Digestión y prensado"/>
    <x v="86"/>
    <s v="Daño en eje principal"/>
  </r>
  <r>
    <x v="480"/>
    <x v="2"/>
    <x v="9"/>
    <d v="1899-12-30T11:30:00"/>
    <d v="1899-12-30T12:07:00"/>
    <n v="0.30833333333333335"/>
    <x v="0"/>
    <x v="0"/>
    <s v="Falla mecánica"/>
    <s v="Planta generación energía electrica"/>
    <x v="51"/>
    <s v="Falla de energía "/>
  </r>
  <r>
    <x v="480"/>
    <x v="2"/>
    <x v="9"/>
    <d v="1899-12-30T06:00:00"/>
    <d v="1899-12-31T03:19:00"/>
    <n v="10.658333333333333"/>
    <x v="0"/>
    <x v="0"/>
    <s v="Falla mecánica"/>
    <s v="Digestión y prensado"/>
    <x v="86"/>
    <s v="Daño en eje principal"/>
  </r>
  <r>
    <x v="481"/>
    <x v="2"/>
    <x v="9"/>
    <d v="1899-12-30T06:00:00"/>
    <d v="1899-12-30T09:26:00"/>
    <n v="1.7166666666666668"/>
    <x v="0"/>
    <x v="0"/>
    <s v="Falla mecánica"/>
    <s v="Planta generación de vapor"/>
    <x v="79"/>
    <s v="Parrila viajera fuera de servicio. Es neceario parar proceso para limpiar"/>
  </r>
  <r>
    <x v="481"/>
    <x v="2"/>
    <x v="9"/>
    <d v="1899-12-30T06:00:00"/>
    <d v="1899-12-30T11:35:00"/>
    <n v="2.7916666666666665"/>
    <x v="0"/>
    <x v="0"/>
    <s v="Falla mecánica"/>
    <s v="Planta generación de vapor"/>
    <x v="79"/>
    <s v="Parrila viajera fuera de servicio. Es neceario parar proceso para limpiar. Se inicia con prensa 1 para levantar presión "/>
  </r>
  <r>
    <x v="481"/>
    <x v="2"/>
    <x v="9"/>
    <d v="1899-12-30T14:00:00"/>
    <d v="1899-12-30T15:01:00"/>
    <n v="0.5083333333333333"/>
    <x v="1"/>
    <x v="2"/>
    <s v="Pruebas y ensayos"/>
    <s v="Desfrutado"/>
    <x v="14"/>
    <s v="Muestreo en redler para evaluación de impregnación"/>
  </r>
  <r>
    <x v="481"/>
    <x v="2"/>
    <x v="9"/>
    <d v="1899-12-30T16:30:00"/>
    <d v="1899-12-30T18:00:00"/>
    <n v="0.75"/>
    <x v="0"/>
    <x v="1"/>
    <s v="Falla operativa"/>
    <s v="Esterilización "/>
    <x v="23"/>
    <s v="Se atasca"/>
  </r>
  <r>
    <x v="481"/>
    <x v="2"/>
    <x v="9"/>
    <d v="1899-12-30T17:50:00"/>
    <d v="1899-12-30T18:00:00"/>
    <n v="8.3333333333333329E-2"/>
    <x v="0"/>
    <x v="0"/>
    <s v="Falla mecánica"/>
    <s v="Digestión y prensado"/>
    <x v="13"/>
    <s v="Parten  tornillos"/>
  </r>
  <r>
    <x v="482"/>
    <x v="2"/>
    <x v="9"/>
    <d v="1899-12-30T13:40:00"/>
    <d v="1899-12-30T14:07:00"/>
    <n v="0.22500000000000001"/>
    <x v="0"/>
    <x v="0"/>
    <s v="Falla mecánica"/>
    <s v="Clarificación"/>
    <x v="33"/>
    <s v="Se dañó el acople de la bomba"/>
  </r>
  <r>
    <x v="482"/>
    <x v="2"/>
    <x v="9"/>
    <d v="1899-12-30T06:00:00"/>
    <d v="1899-12-31T00:00:00"/>
    <n v="9"/>
    <x v="0"/>
    <x v="0"/>
    <s v="Falla mecánica"/>
    <s v="Digestión y prensado"/>
    <x v="13"/>
    <s v="Parten  tornillos"/>
  </r>
  <r>
    <x v="482"/>
    <x v="2"/>
    <x v="9"/>
    <d v="1899-12-30T21:30:00"/>
    <d v="1899-12-31T01:00:00"/>
    <n v="1.75"/>
    <x v="0"/>
    <x v="0"/>
    <s v="Falla mecánica"/>
    <s v="Planta generación de vapor"/>
    <x v="79"/>
    <s v="Parrila viajera fuera de servicio. Es neceario parar proceso para limpiar"/>
  </r>
  <r>
    <x v="482"/>
    <x v="2"/>
    <x v="9"/>
    <d v="1899-12-31T00:00:00"/>
    <d v="1899-12-31T01:00:00"/>
    <n v="0.5"/>
    <x v="0"/>
    <x v="0"/>
    <s v="Falla mecánica"/>
    <s v="Planta generación de vapor"/>
    <x v="79"/>
    <s v="Parrila viajera fuera de servicio. Es neceario parar proceso para limpiar"/>
  </r>
  <r>
    <x v="482"/>
    <x v="2"/>
    <x v="9"/>
    <d v="1899-12-30T03:20:00"/>
    <d v="1899-12-30T03:40:00"/>
    <n v="0.16666666666666666"/>
    <x v="0"/>
    <x v="0"/>
    <s v="Falla eléctrica"/>
    <s v="Planta generación de vapor"/>
    <x v="22"/>
    <s v="Falta de agua en caldera"/>
  </r>
  <r>
    <x v="483"/>
    <x v="2"/>
    <x v="9"/>
    <d v="1899-12-30T08:27:00"/>
    <d v="1899-12-30T09:35:00"/>
    <n v="0.56666666666666665"/>
    <x v="0"/>
    <x v="0"/>
    <s v="Falla mecánica"/>
    <s v="Planta generación de vapor"/>
    <x v="76"/>
    <s v="Redler se descadenó"/>
  </r>
  <r>
    <x v="483"/>
    <x v="2"/>
    <x v="9"/>
    <d v="1899-12-30T10:25:00"/>
    <d v="1899-12-30T14:50:00"/>
    <n v="2.2083333333333335"/>
    <x v="0"/>
    <x v="0"/>
    <s v="Falla mecánica"/>
    <s v="Planta generación de vapor"/>
    <x v="76"/>
    <s v="Redler se descadenó"/>
  </r>
  <r>
    <x v="483"/>
    <x v="2"/>
    <x v="9"/>
    <d v="1899-12-30T11:01:00"/>
    <d v="1899-12-30T11:37:00"/>
    <n v="0.3"/>
    <x v="0"/>
    <x v="0"/>
    <s v="Falla mecánica"/>
    <s v="Planta generación de vapor"/>
    <x v="76"/>
    <s v="Redler se descadenó"/>
  </r>
  <r>
    <x v="483"/>
    <x v="2"/>
    <x v="9"/>
    <d v="1899-12-30T17:01:00"/>
    <d v="1899-12-30T17:22:00"/>
    <n v="0.17499999999999999"/>
    <x v="0"/>
    <x v="0"/>
    <s v="Falla mecánica"/>
    <s v="Planta generación energía electrica"/>
    <x v="51"/>
    <s v="Falla de energía "/>
  </r>
  <r>
    <x v="483"/>
    <x v="2"/>
    <x v="9"/>
    <d v="1899-12-30T17:21:00"/>
    <d v="1899-12-30T18:00:00"/>
    <n v="0.32500000000000001"/>
    <x v="0"/>
    <x v="0"/>
    <s v="Falla mecánica"/>
    <s v="Planta generación energía electrica"/>
    <x v="51"/>
    <s v="Falla de energía "/>
  </r>
  <r>
    <x v="483"/>
    <x v="2"/>
    <x v="9"/>
    <d v="1899-12-30T18:00:00"/>
    <d v="1899-12-30T19:30:00"/>
    <n v="0.75"/>
    <x v="0"/>
    <x v="0"/>
    <s v="Falla mecánica"/>
    <s v="Planta generación energía electrica"/>
    <x v="51"/>
    <s v="Falla de energía "/>
  </r>
  <r>
    <x v="483"/>
    <x v="2"/>
    <x v="9"/>
    <d v="1899-12-30T23:00:00"/>
    <d v="1899-12-31T03:05:00"/>
    <n v="2.0416666666666665"/>
    <x v="0"/>
    <x v="1"/>
    <s v="Falta Fruta esterilizada"/>
    <s v="Digestión y prensado"/>
    <x v="86"/>
    <s v="Se apaga prensa por dosificación en 20 min"/>
  </r>
  <r>
    <x v="483"/>
    <x v="2"/>
    <x v="9"/>
    <d v="1899-12-31T00:20:00"/>
    <d v="1899-12-31T01:40:00"/>
    <n v="0.66666666666666663"/>
    <x v="0"/>
    <x v="0"/>
    <s v="Falla mecánica"/>
    <s v="Planta generación de vapor"/>
    <x v="79"/>
    <s v="Parrila viajera fuera de servicio. Es neceario parar proceso para limpiar"/>
  </r>
  <r>
    <x v="483"/>
    <x v="2"/>
    <x v="9"/>
    <d v="1899-12-30T05:40:00"/>
    <d v="1899-12-30T06:00:00"/>
    <n v="0.33333333333333331"/>
    <x v="0"/>
    <x v="0"/>
    <s v="Falla mecánica"/>
    <s v="Desfrutado"/>
    <x v="1"/>
    <s v="daño en acople de sinfín"/>
  </r>
  <r>
    <x v="484"/>
    <x v="2"/>
    <x v="9"/>
    <d v="1899-12-30T15:10:00"/>
    <d v="1899-12-30T15:50:00"/>
    <n v="0.33333333333333331"/>
    <x v="0"/>
    <x v="1"/>
    <s v="Falta Fruta esterilizada"/>
    <s v="Digestión y prensado"/>
    <x v="86"/>
    <s v="Se apaga prensa por dosificación en 20 min"/>
  </r>
  <r>
    <x v="484"/>
    <x v="2"/>
    <x v="9"/>
    <d v="1899-12-30T22:56:00"/>
    <d v="1899-12-30T23:35:00"/>
    <n v="0.32500000000000001"/>
    <x v="0"/>
    <x v="1"/>
    <s v="Falta Fruta esterilizada"/>
    <s v="Digestión y prensado"/>
    <x v="86"/>
    <s v="Se apaga prensa por dosificación en 20 min"/>
  </r>
  <r>
    <x v="485"/>
    <x v="2"/>
    <x v="9"/>
    <d v="1899-12-30T11:00:00"/>
    <d v="1899-12-30T15:10:00"/>
    <n v="4.166666666666667"/>
    <x v="0"/>
    <x v="0"/>
    <s v="Falla mecánica"/>
    <s v="Digestión y prensado"/>
    <x v="89"/>
    <s v="Demora en instalación de pulmón de condensados por contratista"/>
  </r>
  <r>
    <x v="485"/>
    <x v="2"/>
    <x v="9"/>
    <d v="1899-12-30T17:01:00"/>
    <d v="1899-12-30T18:03:00"/>
    <n v="0.51666666666666672"/>
    <x v="0"/>
    <x v="0"/>
    <s v="Falla mecánica"/>
    <s v="Clarificación"/>
    <x v="48"/>
    <m/>
  </r>
  <r>
    <x v="485"/>
    <x v="2"/>
    <x v="9"/>
    <d v="1899-12-30T16:40:00"/>
    <d v="1899-12-30T18:40:00"/>
    <n v="1"/>
    <x v="0"/>
    <x v="0"/>
    <s v="Falla mecánica"/>
    <s v="Clarificación"/>
    <x v="48"/>
    <m/>
  </r>
  <r>
    <x v="486"/>
    <x v="2"/>
    <x v="9"/>
    <d v="1899-12-30T06:00:00"/>
    <d v="1899-12-30T09:00:00"/>
    <n v="3"/>
    <x v="0"/>
    <x v="0"/>
    <s v="Falla mecánica"/>
    <s v="Planta generación de vapor"/>
    <x v="79"/>
    <s v="Parrila viajera fuera de servicio. Es neceario parar proceso para limpiar"/>
  </r>
  <r>
    <x v="486"/>
    <x v="2"/>
    <x v="9"/>
    <d v="1899-12-30T09:35:00"/>
    <d v="1899-12-30T10:10:00"/>
    <n v="0.29166666666666669"/>
    <x v="0"/>
    <x v="1"/>
    <s v="Falta Fruta esterilizada"/>
    <s v="Digestión y prensado"/>
    <x v="86"/>
    <s v="Se apaga prensa por dosificación en 20 min"/>
  </r>
  <r>
    <x v="486"/>
    <x v="2"/>
    <x v="9"/>
    <d v="1899-12-30T11:19:00"/>
    <d v="1899-12-30T13:00:00"/>
    <n v="0.84166666666666667"/>
    <x v="0"/>
    <x v="0"/>
    <s v="Falla mecánica"/>
    <s v="Esterilización "/>
    <x v="44"/>
    <s v="Arreglo oreja de vagoneta"/>
  </r>
  <r>
    <x v="486"/>
    <x v="2"/>
    <x v="9"/>
    <d v="1899-12-30T13:35:00"/>
    <d v="1899-12-30T14:00:00"/>
    <n v="0.20833333333333334"/>
    <x v="0"/>
    <x v="1"/>
    <s v="Falta Fruta esterilizada"/>
    <s v="Digestión y prensado"/>
    <x v="86"/>
    <s v="Se apaga prensa por dosificación en 20 min"/>
  </r>
  <r>
    <x v="486"/>
    <x v="2"/>
    <x v="9"/>
    <d v="1899-12-30T14:00:00"/>
    <d v="1899-12-30T14:40:00"/>
    <n v="0.33333333333333331"/>
    <x v="0"/>
    <x v="0"/>
    <s v="Falla mecánica"/>
    <s v="Planta generación de vapor"/>
    <x v="76"/>
    <s v="Redler se descadenó"/>
  </r>
  <r>
    <x v="486"/>
    <x v="2"/>
    <x v="9"/>
    <d v="1899-12-30T15:37:00"/>
    <d v="1899-12-30T15:50:00"/>
    <n v="0.10833333333333334"/>
    <x v="0"/>
    <x v="0"/>
    <s v="Falla mecánica"/>
    <s v="Planta generación de vapor"/>
    <x v="76"/>
    <s v="Redler se descadenó"/>
  </r>
  <r>
    <x v="486"/>
    <x v="2"/>
    <x v="9"/>
    <d v="1899-12-30T17:30:00"/>
    <d v="1899-12-30T18:40:00"/>
    <n v="0.58333333333333337"/>
    <x v="0"/>
    <x v="0"/>
    <s v="Falla mecánica"/>
    <s v="Esterilización "/>
    <x v="67"/>
    <s v="Arreglo oreja de vagoneta"/>
  </r>
  <r>
    <x v="487"/>
    <x v="2"/>
    <x v="9"/>
    <d v="1899-12-30T06:00:00"/>
    <d v="1899-12-30T09:45:00"/>
    <n v="3.75"/>
    <x v="0"/>
    <x v="0"/>
    <s v="Falla mecánica"/>
    <s v="Planta generación de vapor"/>
    <x v="76"/>
    <s v="Redler se descadenó"/>
  </r>
  <r>
    <x v="487"/>
    <x v="2"/>
    <x v="9"/>
    <d v="1899-12-30T10:08:00"/>
    <d v="1899-12-30T12:08:00"/>
    <n v="1"/>
    <x v="0"/>
    <x v="1"/>
    <s v="Falta Fruta esterilizada"/>
    <s v="Digestión y prensado"/>
    <x v="86"/>
    <s v="Se apaga prensa por dosificación en 20 min"/>
  </r>
  <r>
    <x v="487"/>
    <x v="2"/>
    <x v="9"/>
    <d v="1899-12-30T13:15:00"/>
    <d v="1899-12-30T16:30:00"/>
    <n v="1.625"/>
    <x v="0"/>
    <x v="0"/>
    <s v="Falla mecánica"/>
    <s v="Digestión y prensado"/>
    <x v="86"/>
    <s v="Rompe canasta"/>
  </r>
  <r>
    <x v="487"/>
    <x v="2"/>
    <x v="9"/>
    <d v="1899-12-30T16:00:00"/>
    <d v="1899-12-30T16:17:00"/>
    <n v="0.14166666666666666"/>
    <x v="0"/>
    <x v="0"/>
    <s v="Falla mecánica"/>
    <s v="Clarificación"/>
    <x v="88"/>
    <s v="Problemas con la bomba"/>
  </r>
  <r>
    <x v="487"/>
    <x v="2"/>
    <x v="9"/>
    <d v="1899-12-30T20:01:00"/>
    <d v="1899-12-30T20:40:00"/>
    <n v="0.32500000000000001"/>
    <x v="0"/>
    <x v="1"/>
    <s v="Falla operativa"/>
    <s v="Clarificación"/>
    <x v="45"/>
    <s v="Limpieza de filtro"/>
  </r>
  <r>
    <x v="488"/>
    <x v="2"/>
    <x v="9"/>
    <d v="1899-12-30T06:00:00"/>
    <d v="1899-12-30T08:31:00"/>
    <n v="2.5166666666666666"/>
    <x v="0"/>
    <x v="0"/>
    <s v="Falla mecánica"/>
    <s v="Planta generación de vapor"/>
    <x v="76"/>
    <s v="Redler se descadenó"/>
  </r>
  <r>
    <x v="488"/>
    <x v="2"/>
    <x v="9"/>
    <d v="1899-12-30T10:13:00"/>
    <d v="1899-12-30T10:40:00"/>
    <n v="0.22500000000000001"/>
    <x v="0"/>
    <x v="1"/>
    <s v="Falta Fruta esterilizada"/>
    <s v="Digestión y prensado"/>
    <x v="86"/>
    <s v="Se apaga prensa por dosificación en 20 min"/>
  </r>
  <r>
    <x v="488"/>
    <x v="2"/>
    <x v="9"/>
    <d v="1899-12-30T11:30:00"/>
    <d v="1899-12-30T12:14:00"/>
    <n v="0.73333333333333328"/>
    <x v="0"/>
    <x v="0"/>
    <s v="Falla mecánica"/>
    <s v="Desfibración"/>
    <x v="64"/>
    <s v="Taponamiento del ciclon de fibra por excesiva humedad "/>
  </r>
  <r>
    <x v="488"/>
    <x v="2"/>
    <x v="9"/>
    <d v="1899-12-30T18:40:00"/>
    <d v="1899-12-30T22:00:00"/>
    <n v="3.3333333333333335"/>
    <x v="0"/>
    <x v="1"/>
    <s v="Falta Fruta esterilizada"/>
    <s v="Digestión y prensado"/>
    <x v="86"/>
    <s v="Se apaga prensa por dosificación en 20 min"/>
  </r>
  <r>
    <x v="489"/>
    <x v="2"/>
    <x v="9"/>
    <d v="1899-12-30T06:00:00"/>
    <d v="1899-12-30T10:45:00"/>
    <n v="4.75"/>
    <x v="0"/>
    <x v="0"/>
    <s v="Falla mecánica"/>
    <s v="Planta generación de vapor"/>
    <x v="76"/>
    <s v="Redler se descadenó"/>
  </r>
  <r>
    <x v="489"/>
    <x v="2"/>
    <x v="9"/>
    <d v="1899-12-30T10:45:00"/>
    <d v="1899-12-30T14:40:00"/>
    <n v="1.9583333333333333"/>
    <x v="0"/>
    <x v="0"/>
    <s v="Falla mecánica"/>
    <s v="Digestión y prensado"/>
    <x v="86"/>
    <s v="Rompe canasta"/>
  </r>
  <r>
    <x v="489"/>
    <x v="2"/>
    <x v="9"/>
    <d v="1899-12-30T15:43:00"/>
    <d v="1899-12-30T16:08:00"/>
    <n v="0.20833333333333334"/>
    <x v="0"/>
    <x v="1"/>
    <s v="Falta Fruta esterilizada"/>
    <s v="Digestión y prensado"/>
    <x v="86"/>
    <s v="Se apaga prensa por dosificación en 20 min"/>
  </r>
  <r>
    <x v="489"/>
    <x v="2"/>
    <x v="9"/>
    <d v="1899-12-30T17:40:00"/>
    <d v="1899-12-30T18:35:00"/>
    <n v="0.91666666666666663"/>
    <x v="0"/>
    <x v="0"/>
    <s v="Falla mecánica"/>
    <s v="Esterilización "/>
    <x v="56"/>
    <s v="Se descadena redler"/>
  </r>
  <r>
    <x v="489"/>
    <x v="2"/>
    <x v="9"/>
    <d v="1899-12-30T23:40:00"/>
    <d v="1899-12-31T00:01:00"/>
    <n v="0.17499999999999999"/>
    <x v="0"/>
    <x v="0"/>
    <s v="Falla mecánica"/>
    <s v="Desfrutado"/>
    <x v="1"/>
    <s v="presentó falla"/>
  </r>
  <r>
    <x v="490"/>
    <x v="2"/>
    <x v="9"/>
    <d v="1899-12-30T06:00:00"/>
    <d v="1899-12-30T08:25:00"/>
    <n v="1.2083333333333333"/>
    <x v="1"/>
    <x v="2"/>
    <s v="Arranque planta"/>
    <s v="Planta general"/>
    <x v="5"/>
    <s v="arranque de proceso"/>
  </r>
  <r>
    <x v="490"/>
    <x v="2"/>
    <x v="9"/>
    <d v="1899-12-30T06:00:00"/>
    <d v="1899-12-30T15:40:00"/>
    <n v="4.833333333333333"/>
    <x v="0"/>
    <x v="0"/>
    <s v="Falla mecánica"/>
    <s v="Esterilización "/>
    <x v="52"/>
    <s v="Daño en puente de esterilizador, se inicia con una sola prensa para garantizar fruta"/>
  </r>
  <r>
    <x v="490"/>
    <x v="2"/>
    <x v="9"/>
    <d v="1899-12-30T10:35:00"/>
    <d v="1899-12-30T14:25:00"/>
    <n v="1.9166666666666667"/>
    <x v="0"/>
    <x v="1"/>
    <s v="Falla operativa"/>
    <s v="Palmistería"/>
    <x v="6"/>
    <s v="Se atasca elevador por exceso de nueces  en area circundante"/>
  </r>
  <r>
    <x v="490"/>
    <x v="2"/>
    <x v="9"/>
    <d v="1899-12-30T14:25:00"/>
    <d v="1899-12-30T15:40:00"/>
    <n v="0.625"/>
    <x v="0"/>
    <x v="0"/>
    <s v="Falla mecánica"/>
    <s v="Palmistería"/>
    <x v="72"/>
    <s v="Se descadeno "/>
  </r>
  <r>
    <x v="490"/>
    <x v="2"/>
    <x v="9"/>
    <d v="1899-12-30T17:40:00"/>
    <d v="1899-12-31T02:40:00"/>
    <n v="4.5"/>
    <x v="0"/>
    <x v="0"/>
    <s v="Falla mecánica"/>
    <s v="Esterilización "/>
    <x v="52"/>
    <s v="Daño en puente de esterilizador no garantiza cantidad de fruta para las dos prensas"/>
  </r>
  <r>
    <x v="490"/>
    <x v="2"/>
    <x v="9"/>
    <d v="1899-12-30T18:06:00"/>
    <d v="1899-12-30T18:30:00"/>
    <n v="0.2"/>
    <x v="0"/>
    <x v="0"/>
    <s v="Falla mecánica"/>
    <s v="Esterilización "/>
    <x v="18"/>
    <s v="Se cae traviesas "/>
  </r>
  <r>
    <x v="490"/>
    <x v="2"/>
    <x v="9"/>
    <d v="1899-12-30T21:00:00"/>
    <d v="1899-12-30T21:55:00"/>
    <n v="0.45833333333333331"/>
    <x v="0"/>
    <x v="0"/>
    <s v="Falla mecánica"/>
    <s v="Esterilización "/>
    <x v="67"/>
    <s v="Daño en orejas de la vagoneta"/>
  </r>
  <r>
    <x v="490"/>
    <x v="2"/>
    <x v="9"/>
    <d v="1899-12-30T22:55:00"/>
    <d v="1899-12-31T00:00:00"/>
    <n v="0.54166666666666663"/>
    <x v="0"/>
    <x v="0"/>
    <s v="Falla mecánica"/>
    <s v="Esterilización "/>
    <x v="52"/>
    <s v="Daño en puente de esterilizador no garantiza cantidad de fruta para las dos prensas"/>
  </r>
  <r>
    <x v="490"/>
    <x v="2"/>
    <x v="9"/>
    <d v="1899-12-30T01:20:00"/>
    <d v="1899-12-30T02:43:00"/>
    <n v="0.69166666666666665"/>
    <x v="0"/>
    <x v="0"/>
    <s v="Falla mecánica"/>
    <s v="Esterilización "/>
    <x v="52"/>
    <s v="Daño en puente de esterilizador no garantiza cantidad de fruta para las dos prensas"/>
  </r>
  <r>
    <x v="491"/>
    <x v="2"/>
    <x v="9"/>
    <d v="1899-12-30T06:00:00"/>
    <d v="1899-12-30T09:34:00"/>
    <n v="3.5666666666666664"/>
    <x v="0"/>
    <x v="0"/>
    <s v="Falla mecánica"/>
    <s v="Planta generación de vapor"/>
    <x v="79"/>
    <s v="Parrila viajera fuera de servicio. Es neceario parar proceso para limpiar"/>
  </r>
  <r>
    <x v="491"/>
    <x v="2"/>
    <x v="9"/>
    <d v="1899-12-30T09:34:00"/>
    <d v="1899-12-30T16:00:00"/>
    <n v="6.4333333333333336"/>
    <x v="0"/>
    <x v="0"/>
    <s v="Falla mecánica"/>
    <s v="Esterilización "/>
    <x v="52"/>
    <s v="Daño en puente de esterilizador no garantiza cantidad de fruta para las dos prensas"/>
  </r>
  <r>
    <x v="491"/>
    <x v="2"/>
    <x v="9"/>
    <d v="1899-12-30T16:00:00"/>
    <d v="1899-12-31T02:33:00"/>
    <n v="5.2750000000000004"/>
    <x v="0"/>
    <x v="0"/>
    <s v="Falla mecánica"/>
    <s v="Esterilización "/>
    <x v="52"/>
    <s v="Daño en puente de esterilizador no garantiza cantidad de fruta para las dos prensas"/>
  </r>
  <r>
    <x v="492"/>
    <x v="2"/>
    <x v="9"/>
    <d v="1899-12-30T06:00:00"/>
    <d v="1899-12-31T04:00:00"/>
    <n v="11"/>
    <x v="0"/>
    <x v="0"/>
    <s v="Falla mecánica"/>
    <s v="Esterilización "/>
    <x v="52"/>
    <s v="Daño en puente de esterilizador no garantiza cantidad de fruta para las dos prensas"/>
  </r>
  <r>
    <x v="492"/>
    <x v="2"/>
    <x v="9"/>
    <d v="1899-12-30T06:00:00"/>
    <d v="1899-12-30T08:03:00"/>
    <n v="1.0249999999999999"/>
    <x v="0"/>
    <x v="0"/>
    <s v="Falla eléctrica"/>
    <s v="Planta generación de vapor"/>
    <x v="22"/>
    <s v="Falta de agua en caldera"/>
  </r>
  <r>
    <x v="492"/>
    <x v="2"/>
    <x v="9"/>
    <d v="1899-12-30T12:27:00"/>
    <d v="1899-12-30T13:45:00"/>
    <n v="0.65"/>
    <x v="0"/>
    <x v="0"/>
    <s v="Falla mecánica"/>
    <s v="Esterilización "/>
    <x v="18"/>
    <s v="Se descadena redler"/>
  </r>
  <r>
    <x v="492"/>
    <x v="2"/>
    <x v="9"/>
    <d v="1899-12-30T13:45:00"/>
    <d v="1899-12-30T14:50:00"/>
    <n v="0.54166666666666663"/>
    <x v="0"/>
    <x v="0"/>
    <s v="Falla mecánica"/>
    <s v="Esterilización "/>
    <x v="67"/>
    <s v="Cambio de rodamientos "/>
  </r>
  <r>
    <x v="492"/>
    <x v="2"/>
    <x v="9"/>
    <d v="1899-12-30T14:50:00"/>
    <d v="1899-12-30T15:00:00"/>
    <n v="8.3333333333333329E-2"/>
    <x v="0"/>
    <x v="1"/>
    <s v="Falta Fruta esterilizada"/>
    <s v="Digestión y prensado"/>
    <x v="86"/>
    <s v="Se apaga prensa por dosificación en 20 min"/>
  </r>
  <r>
    <x v="492"/>
    <x v="2"/>
    <x v="9"/>
    <d v="1899-12-30T00:00:00"/>
    <d v="1899-12-30T01:00:00"/>
    <n v="0.5"/>
    <x v="0"/>
    <x v="1"/>
    <s v="Falta Fruta esterilizada"/>
    <s v="Digestión y prensado"/>
    <x v="86"/>
    <s v="Se apaga prensa por dosificación en 20 min"/>
  </r>
  <r>
    <x v="493"/>
    <x v="2"/>
    <x v="9"/>
    <d v="1899-12-30T06:00:00"/>
    <d v="1899-12-30T09:20:00"/>
    <n v="3.3333333333333335"/>
    <x v="0"/>
    <x v="0"/>
    <s v="Falla mecánica"/>
    <s v="Planta generación de vapor"/>
    <x v="79"/>
    <s v="Parrila viajera fuera de servicio. Es neceario parar proceso para limpiar"/>
  </r>
  <r>
    <x v="493"/>
    <x v="2"/>
    <x v="9"/>
    <d v="1899-12-30T04:25:00"/>
    <d v="1899-12-30T05:10:00"/>
    <n v="0.375"/>
    <x v="0"/>
    <x v="1"/>
    <s v="Falta Fruta esterilizada"/>
    <s v="Digestión y prensado"/>
    <x v="86"/>
    <s v="Se apaga prensa por dosificación en 20 min"/>
  </r>
  <r>
    <x v="493"/>
    <x v="2"/>
    <x v="9"/>
    <d v="1899-12-30T10:40:00"/>
    <d v="1899-12-30T11:15:00"/>
    <n v="0.29166666666666669"/>
    <x v="0"/>
    <x v="1"/>
    <s v="Falta Fruta esterilizada"/>
    <s v="Digestión y prensado"/>
    <x v="86"/>
    <s v="Se apaga prensa por dosificación en 20 min"/>
  </r>
  <r>
    <x v="494"/>
    <x v="2"/>
    <x v="9"/>
    <d v="1899-12-30T06:00:00"/>
    <d v="1899-12-30T08:10:00"/>
    <n v="2.1666666666666665"/>
    <x v="0"/>
    <x v="0"/>
    <s v="Falla mecánica"/>
    <s v="Planta generación de vapor"/>
    <x v="79"/>
    <s v="Parrila viajera fuera de servicio. Es neceario parar proceso para limpiar"/>
  </r>
  <r>
    <x v="494"/>
    <x v="2"/>
    <x v="9"/>
    <d v="1899-12-30T12:28:00"/>
    <d v="1899-12-30T13:20:00"/>
    <n v="0.43333333333333335"/>
    <x v="0"/>
    <x v="3"/>
    <s v="Falta de fruta fresca"/>
    <s v="Planta general"/>
    <x v="5"/>
    <s v="-"/>
  </r>
  <r>
    <x v="494"/>
    <x v="2"/>
    <x v="9"/>
    <d v="1899-12-30T13:40:00"/>
    <d v="1899-12-30T14:14:00"/>
    <n v="0.28333333333333333"/>
    <x v="0"/>
    <x v="3"/>
    <s v="Falta de fruta fresca"/>
    <s v="Planta general"/>
    <x v="5"/>
    <s v="-"/>
  </r>
  <r>
    <x v="494"/>
    <x v="2"/>
    <x v="9"/>
    <d v="1899-12-30T14:18:00"/>
    <d v="1899-12-30T19:42:00"/>
    <n v="2.7"/>
    <x v="0"/>
    <x v="3"/>
    <s v="Falta de fruta fresca"/>
    <s v="Planta general"/>
    <x v="5"/>
    <s v="-"/>
  </r>
  <r>
    <x v="494"/>
    <x v="2"/>
    <x v="9"/>
    <d v="1899-12-30T16:18:00"/>
    <d v="1899-12-30T16:35:00"/>
    <n v="0.14166666666666666"/>
    <x v="0"/>
    <x v="3"/>
    <s v="Falta de fruta fresca"/>
    <s v="Planta general"/>
    <x v="5"/>
    <s v="-"/>
  </r>
  <r>
    <x v="494"/>
    <x v="2"/>
    <x v="9"/>
    <d v="1899-12-30T22:50:00"/>
    <d v="1899-12-31T00:00:00"/>
    <n v="0.58333333333333337"/>
    <x v="0"/>
    <x v="0"/>
    <s v="Falla mecánica"/>
    <s v="Clarificación"/>
    <x v="88"/>
    <s v="Problemas con la bomba"/>
  </r>
  <r>
    <x v="495"/>
    <x v="2"/>
    <x v="10"/>
    <d v="1899-12-30T06:00:00"/>
    <d v="1899-12-30T13:07:00"/>
    <n v="7.1166666666666663"/>
    <x v="0"/>
    <x v="0"/>
    <s v="Falla mecánica"/>
    <s v="Planta tratamiento de agua"/>
    <x v="90"/>
    <s v="Problemas con bomba, daño en impulsor"/>
  </r>
  <r>
    <x v="495"/>
    <x v="2"/>
    <x v="10"/>
    <d v="1899-12-30T16:23:00"/>
    <d v="1899-12-30T17:00:00"/>
    <n v="0.6166666666666667"/>
    <x v="0"/>
    <x v="0"/>
    <s v="Falla mecánica"/>
    <s v="Planta tratamiento de agua"/>
    <x v="83"/>
    <s v="Reservorio bajo de nivel"/>
  </r>
  <r>
    <x v="495"/>
    <x v="2"/>
    <x v="10"/>
    <d v="1899-12-30T17:00:00"/>
    <d v="1899-12-30T17:43:00"/>
    <n v="0.71666666666666667"/>
    <x v="0"/>
    <x v="0"/>
    <s v="Falla eléctrica"/>
    <s v="Desfibración"/>
    <x v="0"/>
    <s v="Corto "/>
  </r>
  <r>
    <x v="496"/>
    <x v="2"/>
    <x v="10"/>
    <d v="1899-12-30T06:00:00"/>
    <d v="1899-12-30T10:42:00"/>
    <n v="4.7"/>
    <x v="0"/>
    <x v="0"/>
    <s v="Falla mecánica"/>
    <s v="Planta generación de vapor"/>
    <x v="79"/>
    <s v="Parrila viajera fuera de servicio. Es neceario parar proceso para limpiar"/>
  </r>
  <r>
    <x v="496"/>
    <x v="2"/>
    <x v="10"/>
    <d v="1899-12-30T12:00:00"/>
    <d v="1899-12-30T12:30:00"/>
    <n v="0.25"/>
    <x v="0"/>
    <x v="0"/>
    <s v="Falla mecánica"/>
    <s v="Esterilización "/>
    <x v="23"/>
    <s v="Se descarrillo vagoneta en tambor"/>
  </r>
  <r>
    <x v="496"/>
    <x v="2"/>
    <x v="10"/>
    <d v="1899-12-30T17:27:00"/>
    <d v="1899-12-30T18:40:00"/>
    <n v="1.2166666666666668"/>
    <x v="0"/>
    <x v="3"/>
    <s v="Falta de fruta fresca"/>
    <s v="Planta general"/>
    <x v="5"/>
    <s v="-"/>
  </r>
  <r>
    <x v="496"/>
    <x v="2"/>
    <x v="10"/>
    <d v="1899-12-30T19:01:00"/>
    <d v="1899-12-30T19:50:00"/>
    <n v="0.81666666666666665"/>
    <x v="0"/>
    <x v="3"/>
    <s v="Falta de fruta fresca"/>
    <s v="Planta general"/>
    <x v="5"/>
    <s v="-"/>
  </r>
  <r>
    <x v="497"/>
    <x v="2"/>
    <x v="10"/>
    <d v="1899-12-30T06:00:00"/>
    <d v="1899-12-30T14:00:00"/>
    <n v="8"/>
    <x v="0"/>
    <x v="3"/>
    <s v="Falta de fruta fresca"/>
    <s v="Planta general"/>
    <x v="5"/>
    <s v="-"/>
  </r>
  <r>
    <x v="497"/>
    <x v="2"/>
    <x v="10"/>
    <d v="1899-12-30T14:00:00"/>
    <d v="1899-12-30T16:10:00"/>
    <n v="2.1666666666666665"/>
    <x v="0"/>
    <x v="3"/>
    <s v="Falta de fruta fresca"/>
    <s v="Planta general"/>
    <x v="5"/>
    <s v="-"/>
  </r>
  <r>
    <x v="498"/>
    <x v="2"/>
    <x v="10"/>
    <d v="1899-12-30T06:00:00"/>
    <d v="1899-12-30T08:17:00"/>
    <n v="2.2833333333333332"/>
    <x v="1"/>
    <x v="2"/>
    <s v="Arranque planta"/>
    <s v="Planta general"/>
    <x v="5"/>
    <s v="Calentamiento caldera"/>
  </r>
  <r>
    <x v="498"/>
    <x v="2"/>
    <x v="10"/>
    <d v="1899-12-30T19:04:00"/>
    <d v="1899-12-30T19:41:00"/>
    <n v="0.6166666666666667"/>
    <x v="0"/>
    <x v="0"/>
    <s v="Falla mecánica"/>
    <s v="Desfrutado"/>
    <x v="1"/>
    <s v="Desacople del sinfín"/>
  </r>
  <r>
    <x v="499"/>
    <x v="2"/>
    <x v="10"/>
    <d v="1899-12-30T06:00:00"/>
    <d v="1899-12-30T10:28:00"/>
    <n v="4.4666666666666668"/>
    <x v="0"/>
    <x v="0"/>
    <s v="Falla mecánica"/>
    <s v="Planta generación de vapor"/>
    <x v="79"/>
    <s v="Parrila viajera fuera de servicio. Es neceario parar proceso para limpiar"/>
  </r>
  <r>
    <x v="499"/>
    <x v="2"/>
    <x v="10"/>
    <d v="1899-12-30T10:28:00"/>
    <d v="1899-12-30T18:40:00"/>
    <n v="4.0999999999999996"/>
    <x v="0"/>
    <x v="0"/>
    <s v="Falla mecánica"/>
    <s v="Digestión y prensado"/>
    <x v="13"/>
    <s v="Cambio de tornillos por  rotura de los mismos"/>
  </r>
  <r>
    <x v="499"/>
    <x v="2"/>
    <x v="10"/>
    <d v="1899-12-30T12:12:00"/>
    <d v="1899-12-30T12:30:00"/>
    <n v="0.15"/>
    <x v="0"/>
    <x v="1"/>
    <s v="Falla operativa"/>
    <s v="Planta generación de vapor"/>
    <x v="79"/>
    <s v="Se tapo ducto de la caldera"/>
  </r>
  <r>
    <x v="499"/>
    <x v="2"/>
    <x v="10"/>
    <d v="1899-12-30T18:01:00"/>
    <d v="1899-12-30T18:40:00"/>
    <n v="0.32500000000000001"/>
    <x v="0"/>
    <x v="0"/>
    <s v="Falla mecánica"/>
    <s v="Desfrutado"/>
    <x v="1"/>
    <s v="Desacople del sinfín"/>
  </r>
  <r>
    <x v="499"/>
    <x v="2"/>
    <x v="10"/>
    <d v="1899-12-30T20:30:00"/>
    <d v="1899-12-30T21:38:00"/>
    <n v="0.56666666666666665"/>
    <x v="0"/>
    <x v="1"/>
    <s v="Falta Fruta esterilizada"/>
    <s v="Digestión y prensado"/>
    <x v="86"/>
    <s v="Se apaga prensa por dosificación en 20 min"/>
  </r>
  <r>
    <x v="499"/>
    <x v="2"/>
    <x v="10"/>
    <d v="1899-12-30T22:01:00"/>
    <d v="1899-12-30T22:30:00"/>
    <n v="0.48333333333333334"/>
    <x v="0"/>
    <x v="0"/>
    <s v="Falla mecánica"/>
    <s v="Palmistería"/>
    <x v="21"/>
    <s v="No tiene motor y la lámina que se encuentra para alimentar se cayó"/>
  </r>
  <r>
    <x v="499"/>
    <x v="2"/>
    <x v="10"/>
    <d v="1899-12-30T23:05:00"/>
    <d v="1899-12-31T02:00:00"/>
    <n v="1.4583333333333333"/>
    <x v="0"/>
    <x v="0"/>
    <s v="Falla mecánica"/>
    <s v="Digestión y prensado"/>
    <x v="13"/>
    <s v="Rotura de tornillos"/>
  </r>
  <r>
    <x v="500"/>
    <x v="2"/>
    <x v="10"/>
    <d v="1899-12-30T06:00:00"/>
    <d v="1899-12-30T08:30:00"/>
    <n v="2.5"/>
    <x v="1"/>
    <x v="2"/>
    <s v="Arranque planta"/>
    <s v="Planta general"/>
    <x v="5"/>
    <s v="inicio de proceso"/>
  </r>
  <r>
    <x v="500"/>
    <x v="2"/>
    <x v="10"/>
    <d v="1899-12-30T08:30:00"/>
    <d v="1899-12-30T23:48:00"/>
    <n v="7.65"/>
    <x v="0"/>
    <x v="0"/>
    <s v="Falla mecánica"/>
    <s v="Digestión y prensado"/>
    <x v="13"/>
    <s v="prensa #1 tornillos partidos "/>
  </r>
  <r>
    <x v="500"/>
    <x v="2"/>
    <x v="10"/>
    <d v="1899-12-30T09:31:00"/>
    <d v="1899-12-30T09:50:00"/>
    <n v="0.15833333333333333"/>
    <x v="0"/>
    <x v="1"/>
    <s v="Falla operativa"/>
    <s v="Clarificación"/>
    <x v="27"/>
    <s v="se encontraba tapado"/>
  </r>
  <r>
    <x v="500"/>
    <x v="2"/>
    <x v="10"/>
    <d v="1899-12-30T12:30:00"/>
    <d v="1899-12-30T13:45:00"/>
    <n v="0.625"/>
    <x v="0"/>
    <x v="0"/>
    <s v="Falla mecánica"/>
    <s v="Desfrutado"/>
    <x v="2"/>
    <s v="Motor del desfrutador boto la cuña "/>
  </r>
  <r>
    <x v="500"/>
    <x v="2"/>
    <x v="10"/>
    <d v="1899-12-30T13:45:00"/>
    <d v="1899-12-30T14:05:00"/>
    <n v="0.16666666666666666"/>
    <x v="0"/>
    <x v="0"/>
    <s v="Falla mecánica"/>
    <s v="Desfrutado"/>
    <x v="1"/>
    <s v="sinfín se desacoplo "/>
  </r>
  <r>
    <x v="500"/>
    <x v="2"/>
    <x v="10"/>
    <d v="1899-12-30T08:55:00"/>
    <d v="1899-12-30T09:35:00"/>
    <n v="0.33333333333333331"/>
    <x v="0"/>
    <x v="0"/>
    <s v="Falla mecánica"/>
    <s v="Desfrutado"/>
    <x v="1"/>
    <s v="sinfín se desacoplo "/>
  </r>
  <r>
    <x v="501"/>
    <x v="2"/>
    <x v="10"/>
    <d v="1899-12-30T06:00:00"/>
    <d v="1899-12-30T14:00:00"/>
    <n v="4"/>
    <x v="0"/>
    <x v="0"/>
    <s v="Falla mecánica"/>
    <s v="Digestión y prensado"/>
    <x v="13"/>
    <s v="prensa #1  tornillos partidos "/>
  </r>
  <r>
    <x v="501"/>
    <x v="2"/>
    <x v="10"/>
    <d v="1899-12-30T14:00:00"/>
    <d v="1899-12-31T01:27:00"/>
    <n v="5.7249999999999996"/>
    <x v="0"/>
    <x v="0"/>
    <s v="Falla mecánica"/>
    <s v="Digestión y prensado"/>
    <x v="13"/>
    <s v="prensa #1 tornillos partidos "/>
  </r>
  <r>
    <x v="501"/>
    <x v="2"/>
    <x v="10"/>
    <d v="1899-12-30T06:00:00"/>
    <d v="1899-12-30T08:45:00"/>
    <n v="1.375"/>
    <x v="0"/>
    <x v="0"/>
    <s v="Falla mecánica"/>
    <s v="Planta generación de vapor"/>
    <x v="79"/>
    <s v="parrila viajera fuera de servicio, caldera en limpieza "/>
  </r>
  <r>
    <x v="501"/>
    <x v="2"/>
    <x v="10"/>
    <d v="1899-12-30T08:45:00"/>
    <d v="1899-12-30T09:17:00"/>
    <n v="0.26666666666666666"/>
    <x v="0"/>
    <x v="0"/>
    <s v="Falla mecánica"/>
    <s v="Clarificación"/>
    <x v="65"/>
    <s v="se corrige fuga del tanque "/>
  </r>
  <r>
    <x v="501"/>
    <x v="2"/>
    <x v="10"/>
    <d v="1899-12-30T09:45:00"/>
    <d v="1899-12-30T10:07:00"/>
    <n v="0.18333333333333332"/>
    <x v="0"/>
    <x v="1"/>
    <s v="Falla operativa"/>
    <s v="Esterilización "/>
    <x v="32"/>
    <s v="vagoneta fuera de la autoclave "/>
  </r>
  <r>
    <x v="502"/>
    <x v="2"/>
    <x v="10"/>
    <d v="1899-12-30T07:00:00"/>
    <d v="1899-12-30T07:50:00"/>
    <n v="0.41666666666666669"/>
    <x v="1"/>
    <x v="2"/>
    <s v="Arranque planta"/>
    <s v="Planta general"/>
    <x v="5"/>
    <s v="inicio de proceso "/>
  </r>
  <r>
    <x v="502"/>
    <x v="2"/>
    <x v="10"/>
    <d v="1899-12-30T09:02:00"/>
    <d v="1899-12-30T09:41:00"/>
    <n v="0.32500000000000001"/>
    <x v="0"/>
    <x v="1"/>
    <s v="Falla operativa"/>
    <s v="Esterilización "/>
    <x v="52"/>
    <s v="no hay fruto esterilizado"/>
  </r>
  <r>
    <x v="502"/>
    <x v="2"/>
    <x v="10"/>
    <d v="1899-12-30T17:00:00"/>
    <d v="1899-12-30T17:20:00"/>
    <n v="0.16666666666666666"/>
    <x v="0"/>
    <x v="0"/>
    <s v="Falla mecánica"/>
    <s v="Desfrutado"/>
    <x v="36"/>
    <s v="compuerta de tolvas de dosificacion estan lentas por  unidad hidraulica"/>
  </r>
  <r>
    <x v="502"/>
    <x v="2"/>
    <x v="10"/>
    <d v="1899-12-30T08:10:00"/>
    <d v="1899-12-30T11:18:00"/>
    <n v="1.5666666666666667"/>
    <x v="0"/>
    <x v="0"/>
    <s v="Falla mecánica"/>
    <s v="Esterilización "/>
    <x v="14"/>
    <s v="redler # 1 se cayo"/>
  </r>
  <r>
    <x v="502"/>
    <x v="2"/>
    <x v="10"/>
    <d v="1899-12-30T12:55:00"/>
    <d v="1899-12-30T13:28:00"/>
    <n v="0.27500000000000002"/>
    <x v="0"/>
    <x v="0"/>
    <s v="Falla mecánica"/>
    <s v="Esterilización "/>
    <x v="18"/>
    <s v="redler #2 se le partio una oreja de la traviesas"/>
  </r>
  <r>
    <x v="502"/>
    <x v="2"/>
    <x v="10"/>
    <d v="1899-12-30T07:00:00"/>
    <d v="1899-12-30T18:00:00"/>
    <n v="5.5"/>
    <x v="0"/>
    <x v="0"/>
    <s v="Falla mecánica"/>
    <s v="Digestión y prensado"/>
    <x v="13"/>
    <s v="prensa #1 tornillo partido"/>
  </r>
  <r>
    <x v="502"/>
    <x v="2"/>
    <x v="10"/>
    <d v="1899-12-30T07:00:00"/>
    <d v="1899-12-31T01:28:00"/>
    <n v="9.2333333333333325"/>
    <x v="0"/>
    <x v="0"/>
    <s v="Falla mecánica"/>
    <s v="Digestión y prensado"/>
    <x v="13"/>
    <s v="prensa #1  tornillos partidos "/>
  </r>
  <r>
    <x v="503"/>
    <x v="2"/>
    <x v="10"/>
    <d v="1899-12-30T06:00:00"/>
    <d v="1899-12-30T08:50:00"/>
    <n v="1.4166666666666667"/>
    <x v="0"/>
    <x v="0"/>
    <s v="Falla mecánica"/>
    <s v="Planta generación de vapor"/>
    <x v="79"/>
    <s v="parrilla fuera de servico se hace limpieza"/>
  </r>
  <r>
    <x v="503"/>
    <x v="2"/>
    <x v="10"/>
    <d v="1899-12-30T10:08:00"/>
    <d v="1899-12-30T10:15:00"/>
    <n v="5.8333333333333334E-2"/>
    <x v="0"/>
    <x v="1"/>
    <s v="Falla operativa"/>
    <s v="Planta general"/>
    <x v="5"/>
    <s v="falat de fruta esterilizada "/>
  </r>
  <r>
    <x v="503"/>
    <x v="2"/>
    <x v="10"/>
    <d v="1899-12-30T12:20:00"/>
    <d v="1899-12-30T13:34:00"/>
    <n v="0.6166666666666667"/>
    <x v="0"/>
    <x v="0"/>
    <s v="Falla mecánica"/>
    <s v="Digestión y prensado"/>
    <x v="86"/>
    <s v="correas  dañadass"/>
  </r>
  <r>
    <x v="503"/>
    <x v="2"/>
    <x v="10"/>
    <d v="1899-12-30T04:25:00"/>
    <d v="1899-12-30T06:00:00"/>
    <n v="0.79166666666666674"/>
    <x v="0"/>
    <x v="0"/>
    <s v="Falla mecánica"/>
    <s v="Esterilización "/>
    <x v="17"/>
    <s v="se  descadeno  redler hacia  tolvas de  pesaje"/>
  </r>
  <r>
    <x v="504"/>
    <x v="2"/>
    <x v="10"/>
    <d v="1899-12-30T06:00:00"/>
    <d v="1899-12-30T07:00:00"/>
    <n v="0.5"/>
    <x v="1"/>
    <x v="2"/>
    <s v="Arranque planta"/>
    <s v="Planta general"/>
    <x v="5"/>
    <s v="inicio de proceso "/>
  </r>
  <r>
    <x v="504"/>
    <x v="2"/>
    <x v="10"/>
    <d v="1899-12-30T09:00:00"/>
    <d v="1899-12-30T09:10:00"/>
    <n v="8.3333333333333329E-2"/>
    <x v="0"/>
    <x v="3"/>
    <s v="Fluído eléctrico"/>
    <s v="Planta generación energía electrica"/>
    <x v="51"/>
    <s v="Se  fue   energia"/>
  </r>
  <r>
    <x v="504"/>
    <x v="2"/>
    <x v="10"/>
    <d v="1899-12-30T11:00:00"/>
    <d v="1899-12-30T12:35:00"/>
    <n v="0.79166666666666674"/>
    <x v="0"/>
    <x v="0"/>
    <s v="Falla mecánica"/>
    <s v="Esterilización "/>
    <x v="17"/>
    <s v="se  descadeno  redler hacia  tolvas de  pesaje"/>
  </r>
  <r>
    <x v="504"/>
    <x v="2"/>
    <x v="10"/>
    <d v="1899-12-30T06:00:00"/>
    <d v="1899-12-30T14:00:00"/>
    <n v="4"/>
    <x v="0"/>
    <x v="0"/>
    <s v="Falla mecánica"/>
    <s v="Digestión y prensado"/>
    <x v="13"/>
    <s v="prensa #1 tornillo partido"/>
  </r>
  <r>
    <x v="505"/>
    <x v="2"/>
    <x v="10"/>
    <d v="1899-12-30T06:00:00"/>
    <d v="1899-12-30T08:25:00"/>
    <n v="1.2083333333333333"/>
    <x v="1"/>
    <x v="2"/>
    <s v="Arranque planta"/>
    <s v="Planta general"/>
    <x v="5"/>
    <s v="inicio de proceso "/>
  </r>
  <r>
    <x v="505"/>
    <x v="2"/>
    <x v="10"/>
    <d v="1899-12-30T06:00:00"/>
    <d v="1899-12-30T10:35:00"/>
    <n v="2.2916666666666665"/>
    <x v="0"/>
    <x v="0"/>
    <s v="Falla mecánica"/>
    <s v="Desfrutado"/>
    <x v="19"/>
    <s v="sinfín bajo desfrutadora le hizo falta la instalacion de un buje en los puentes "/>
  </r>
  <r>
    <x v="505"/>
    <x v="2"/>
    <x v="10"/>
    <d v="1899-12-30T01:40:00"/>
    <d v="1899-12-30T01:55:00"/>
    <n v="0.125"/>
    <x v="0"/>
    <x v="1"/>
    <s v="Falta Fruta esterilizada"/>
    <s v="Esterilización "/>
    <x v="52"/>
    <s v="falta de fruto esterilizado "/>
  </r>
  <r>
    <x v="505"/>
    <x v="2"/>
    <x v="10"/>
    <d v="1899-12-30T14:00:00"/>
    <d v="1899-12-30T22:00:00"/>
    <n v="4"/>
    <x v="0"/>
    <x v="0"/>
    <s v="Falla mecánica"/>
    <s v="Esterilización "/>
    <x v="18"/>
    <s v="redler #2 se descadeno "/>
  </r>
  <r>
    <x v="506"/>
    <x v="2"/>
    <x v="10"/>
    <d v="1899-12-30T15:50:00"/>
    <d v="1899-12-30T17:01:00"/>
    <n v="0.59166666666666667"/>
    <x v="0"/>
    <x v="1"/>
    <s v="Falla operativa"/>
    <s v="Clarificación"/>
    <x v="45"/>
    <s v="boquillas de secador de vacio se taparon "/>
  </r>
  <r>
    <x v="506"/>
    <x v="2"/>
    <x v="10"/>
    <d v="1899-12-30T18:01:00"/>
    <d v="1899-12-30T18:25:00"/>
    <n v="0.2"/>
    <x v="0"/>
    <x v="1"/>
    <s v="Falla operativa"/>
    <s v="Desfrutado"/>
    <x v="19"/>
    <s v="sinfín se tapo "/>
  </r>
  <r>
    <x v="506"/>
    <x v="2"/>
    <x v="10"/>
    <d v="1899-12-30T19:45:00"/>
    <d v="1899-12-30T20:00:00"/>
    <n v="0.125"/>
    <x v="0"/>
    <x v="1"/>
    <s v="Falta Fruta esterilizada"/>
    <s v="Esterilización "/>
    <x v="52"/>
    <s v="falta de fruto esterelizado "/>
  </r>
  <r>
    <x v="506"/>
    <x v="2"/>
    <x v="10"/>
    <d v="1899-12-30T20:00:00"/>
    <d v="1899-12-30T21:07:00"/>
    <n v="0.55833333333333335"/>
    <x v="0"/>
    <x v="0"/>
    <s v="Falla mecánica"/>
    <s v="Desfrutado"/>
    <x v="14"/>
    <s v="relder #1 se descadeno "/>
  </r>
  <r>
    <x v="506"/>
    <x v="2"/>
    <x v="10"/>
    <d v="1899-12-30T06:00:00"/>
    <d v="1899-12-30T22:00:00"/>
    <n v="8"/>
    <x v="0"/>
    <x v="3"/>
    <s v="Falta de fruta fresca"/>
    <s v="Planta general"/>
    <x v="5"/>
    <s v="falta de fruto en la planta "/>
  </r>
  <r>
    <x v="507"/>
    <x v="2"/>
    <x v="10"/>
    <d v="1899-12-30T06:00:00"/>
    <d v="1899-12-30T07:27:00"/>
    <n v="0.72499999999999998"/>
    <x v="0"/>
    <x v="0"/>
    <s v="Falla mecánica"/>
    <s v="Planta generación de vapor"/>
    <x v="22"/>
    <s v="subiendo presion "/>
  </r>
  <r>
    <x v="507"/>
    <x v="2"/>
    <x v="10"/>
    <d v="1899-12-30T11:55:00"/>
    <d v="1899-12-30T12:09:00"/>
    <n v="0.11666666666666667"/>
    <x v="0"/>
    <x v="1"/>
    <s v="Falla operativa"/>
    <s v="Desfibración"/>
    <x v="46"/>
    <s v="se tapo exclusa de fibra"/>
  </r>
  <r>
    <x v="507"/>
    <x v="2"/>
    <x v="10"/>
    <d v="1899-12-30T01:46:00"/>
    <d v="1899-12-30T02:15:00"/>
    <n v="0.24166666666666667"/>
    <x v="0"/>
    <x v="1"/>
    <s v="Falla operativa"/>
    <s v="Desfrutado"/>
    <x v="2"/>
    <s v="ducto alimentador desfrutadora se tapo"/>
  </r>
  <r>
    <x v="507"/>
    <x v="2"/>
    <x v="10"/>
    <d v="1899-12-30T17:20:00"/>
    <d v="1899-12-30T18:11:00"/>
    <n v="0.42499999999999999"/>
    <x v="0"/>
    <x v="1"/>
    <s v="Falla operativa"/>
    <s v="Clarificación"/>
    <x v="20"/>
    <s v="bomba  se tapo"/>
  </r>
  <r>
    <x v="508"/>
    <x v="2"/>
    <x v="10"/>
    <d v="1899-12-30T06:00:00"/>
    <d v="1899-12-30T08:25:00"/>
    <n v="2.4166666666666665"/>
    <x v="0"/>
    <x v="0"/>
    <s v="Falla mecánica"/>
    <s v="Planta generación de vapor"/>
    <x v="22"/>
    <s v="parrilla viajera fuera de servicio, se para caldera se limpia para proceso"/>
  </r>
  <r>
    <x v="508"/>
    <x v="2"/>
    <x v="10"/>
    <d v="1899-12-30T09:50:00"/>
    <d v="1899-12-30T12:16:00"/>
    <n v="1.2166666666666668"/>
    <x v="0"/>
    <x v="1"/>
    <s v="Falla operativa"/>
    <s v="Desfrutado"/>
    <x v="2"/>
    <s v="se le taparon los anillos "/>
  </r>
  <r>
    <x v="508"/>
    <x v="2"/>
    <x v="10"/>
    <d v="1899-12-30T01:23:00"/>
    <d v="1899-12-30T02:20:00"/>
    <n v="0.47499999999999998"/>
    <x v="0"/>
    <x v="1"/>
    <s v="Falla operativa"/>
    <s v="Clarificación"/>
    <x v="48"/>
    <s v="tapadas y falta de fruto esterilizado "/>
  </r>
  <r>
    <x v="508"/>
    <x v="2"/>
    <x v="10"/>
    <d v="1899-12-30T02:55:00"/>
    <d v="1899-12-30T03:20:00"/>
    <n v="0.20833333333333334"/>
    <x v="0"/>
    <x v="1"/>
    <s v="Falla operativa"/>
    <s v="Desfrutado"/>
    <x v="2"/>
    <s v="se le taparon los anillos "/>
  </r>
  <r>
    <x v="508"/>
    <x v="2"/>
    <x v="10"/>
    <d v="1899-12-30T17:00:00"/>
    <d v="1899-12-30T18:00:00"/>
    <n v="0.5"/>
    <x v="0"/>
    <x v="0"/>
    <s v="Falla mecánica"/>
    <s v="Planta generación de vapor"/>
    <x v="22"/>
    <s v="valvula neumatica fallando del distribuidor de vapor"/>
  </r>
  <r>
    <x v="508"/>
    <x v="2"/>
    <x v="10"/>
    <d v="1899-12-30T18:00:00"/>
    <d v="1899-12-31T02:00:00"/>
    <n v="4"/>
    <x v="0"/>
    <x v="0"/>
    <s v="Falla mecánica"/>
    <s v="Clarificación"/>
    <x v="43"/>
    <s v="tuberia del preclarificador tapada "/>
  </r>
  <r>
    <x v="509"/>
    <x v="2"/>
    <x v="10"/>
    <d v="1899-12-30T08:44:00"/>
    <d v="1899-12-30T10:00:00"/>
    <n v="0.6333333333333333"/>
    <x v="0"/>
    <x v="1"/>
    <s v="Falta Fruta esterilizada"/>
    <s v="Esterilización "/>
    <x v="52"/>
    <s v="falta de fruto esterilizada"/>
  </r>
  <r>
    <x v="509"/>
    <x v="2"/>
    <x v="10"/>
    <d v="1899-12-30T09:26:00"/>
    <d v="1899-12-30T09:47:00"/>
    <n v="0.17499999999999999"/>
    <x v="0"/>
    <x v="1"/>
    <s v="Falta Fruta esterilizada"/>
    <s v="Esterilización "/>
    <x v="52"/>
    <s v="falta de fruto esterilizada"/>
  </r>
  <r>
    <x v="510"/>
    <x v="2"/>
    <x v="10"/>
    <d v="1899-12-30T06:00:00"/>
    <d v="1899-12-30T09:25:00"/>
    <n v="3.4166666666666665"/>
    <x v="1"/>
    <x v="2"/>
    <s v="Arranque planta"/>
    <s v="Planta general"/>
    <x v="5"/>
    <s v="arranque de proceso"/>
  </r>
  <r>
    <x v="510"/>
    <x v="2"/>
    <x v="10"/>
    <d v="1899-12-30T10:00:00"/>
    <d v="1899-12-30T11:40:00"/>
    <n v="0.83333333333333326"/>
    <x v="0"/>
    <x v="0"/>
    <s v="Falla mecánica"/>
    <s v="Planta generación de vapor"/>
    <x v="22"/>
    <s v="falla en el set point"/>
  </r>
  <r>
    <x v="510"/>
    <x v="2"/>
    <x v="10"/>
    <d v="1899-12-30T12:35:00"/>
    <d v="1899-12-30T13:20:00"/>
    <n v="0.375"/>
    <x v="0"/>
    <x v="0"/>
    <s v="Falla mecánica"/>
    <s v="Clarificación"/>
    <x v="88"/>
    <s v="bomba estaba fallando "/>
  </r>
  <r>
    <x v="510"/>
    <x v="2"/>
    <x v="10"/>
    <d v="1899-12-30T13:50:00"/>
    <d v="1899-12-30T14:40:00"/>
    <n v="0.41666666666666669"/>
    <x v="0"/>
    <x v="0"/>
    <s v="Falla mecánica"/>
    <s v="Desfrutado"/>
    <x v="18"/>
    <s v="redler se descadeno"/>
  </r>
  <r>
    <x v="510"/>
    <x v="2"/>
    <x v="10"/>
    <d v="1899-12-30T13:01:00"/>
    <d v="1899-12-30T13:35:00"/>
    <n v="0.28333333333333333"/>
    <x v="0"/>
    <x v="1"/>
    <s v="Falta Fruta esterilizada"/>
    <s v="Esterilización "/>
    <x v="52"/>
    <s v="falta de fruto esterilizada"/>
  </r>
  <r>
    <x v="510"/>
    <x v="2"/>
    <x v="10"/>
    <d v="1899-12-30T15:44:00"/>
    <d v="1899-12-30T16:30:00"/>
    <n v="0.38333333333333336"/>
    <x v="0"/>
    <x v="1"/>
    <s v="Falta Fruta esterilizada"/>
    <s v="Esterilización "/>
    <x v="52"/>
    <s v="falta de fruto esterilizada"/>
  </r>
  <r>
    <x v="510"/>
    <x v="2"/>
    <x v="10"/>
    <d v="1899-12-30T17:54:00"/>
    <d v="1899-12-30T18:23:00"/>
    <n v="0.24166666666666667"/>
    <x v="0"/>
    <x v="1"/>
    <s v="Falta Fruta esterilizada"/>
    <s v="Esterilización "/>
    <x v="52"/>
    <s v="falta de fruto esterilizada"/>
  </r>
  <r>
    <x v="510"/>
    <x v="2"/>
    <x v="10"/>
    <d v="1899-12-30T17:19:00"/>
    <d v="1899-12-30T21:40:00"/>
    <n v="2.1749999999999998"/>
    <x v="0"/>
    <x v="1"/>
    <s v="Falla operativa"/>
    <s v="Clarificación"/>
    <x v="45"/>
    <s v="Boquillas tapadas"/>
  </r>
  <r>
    <x v="510"/>
    <x v="2"/>
    <x v="10"/>
    <d v="1899-12-30T15:40:00"/>
    <d v="1899-12-30T16:28:00"/>
    <n v="0.4"/>
    <x v="0"/>
    <x v="1"/>
    <s v="Falta Fruta esterilizada"/>
    <s v="Esterilización "/>
    <x v="52"/>
    <s v="falta de fruto esterilizada"/>
  </r>
  <r>
    <x v="510"/>
    <x v="2"/>
    <x v="10"/>
    <d v="1899-12-30T18:06:00"/>
    <d v="1899-12-30T18:25:00"/>
    <n v="0.15833333333333333"/>
    <x v="0"/>
    <x v="1"/>
    <s v="Falta Fruta esterilizada"/>
    <s v="Esterilización "/>
    <x v="52"/>
    <s v="falta de fruto esterilizada"/>
  </r>
  <r>
    <x v="511"/>
    <x v="2"/>
    <x v="10"/>
    <d v="1899-12-30T07:00:00"/>
    <d v="1899-12-30T13:02:00"/>
    <n v="6.0333333333333332"/>
    <x v="0"/>
    <x v="3"/>
    <s v="Falta de fruta fresca"/>
    <s v="Planta general"/>
    <x v="5"/>
    <s v="Falta de fruta en tolva"/>
  </r>
  <r>
    <x v="511"/>
    <x v="2"/>
    <x v="10"/>
    <d v="1899-12-30T13:48:00"/>
    <d v="1899-12-30T14:02:00"/>
    <n v="0.23333333333333334"/>
    <x v="0"/>
    <x v="1"/>
    <s v="Falta Fruta esterilizada"/>
    <s v="Esterilización "/>
    <x v="52"/>
    <s v="falta de fruto esterilizada"/>
  </r>
  <r>
    <x v="511"/>
    <x v="2"/>
    <x v="10"/>
    <d v="1899-12-30T16:16:00"/>
    <d v="1899-12-30T17:15:00"/>
    <n v="0.98333333333333328"/>
    <x v="0"/>
    <x v="0"/>
    <s v="Falla mecánica"/>
    <s v="Clarificación"/>
    <x v="91"/>
    <m/>
  </r>
  <r>
    <x v="511"/>
    <x v="2"/>
    <x v="10"/>
    <d v="1899-12-30T18:50:00"/>
    <d v="1899-12-30T20:30:00"/>
    <n v="0.83333333333333326"/>
    <x v="0"/>
    <x v="1"/>
    <s v="Falla operativa"/>
    <s v="Clarificación"/>
    <x v="16"/>
    <s v="centrifuga tapada"/>
  </r>
  <r>
    <x v="512"/>
    <x v="2"/>
    <x v="10"/>
    <d v="1899-12-30T07:00:00"/>
    <d v="1899-12-30T08:10:00"/>
    <n v="1.1666666666666667"/>
    <x v="1"/>
    <x v="2"/>
    <s v="Arranque planta"/>
    <s v="Planta general"/>
    <x v="5"/>
    <s v="arranque de proceso"/>
  </r>
  <r>
    <x v="512"/>
    <x v="2"/>
    <x v="10"/>
    <d v="1899-12-30T08:10:00"/>
    <d v="1899-12-30T09:36:00"/>
    <n v="0.71666666666666667"/>
    <x v="0"/>
    <x v="1"/>
    <s v="Falta Fruta esterilizada"/>
    <s v="Digestión y prensado"/>
    <x v="86"/>
    <s v="Se apaga prensa por dosificación en 20 min"/>
  </r>
  <r>
    <x v="512"/>
    <x v="2"/>
    <x v="10"/>
    <d v="1899-12-30T09:36:00"/>
    <d v="1899-12-30T11:07:00"/>
    <n v="1.5166666666666666"/>
    <x v="0"/>
    <x v="0"/>
    <s v="Falla mecánica"/>
    <s v="Clarificación"/>
    <x v="88"/>
    <s v="Se daño acople"/>
  </r>
  <r>
    <x v="512"/>
    <x v="2"/>
    <x v="10"/>
    <d v="1899-12-30T12:20:00"/>
    <d v="1899-12-30T15:00:00"/>
    <n v="1.3333333333333333"/>
    <x v="0"/>
    <x v="0"/>
    <s v="Falla mecánica"/>
    <s v="Clarificación"/>
    <x v="88"/>
    <s v="No bombea suficiente"/>
  </r>
  <r>
    <x v="512"/>
    <x v="2"/>
    <x v="10"/>
    <d v="1899-12-30T15:10:00"/>
    <d v="1899-12-30T15:47:00"/>
    <n v="0.30833333333333335"/>
    <x v="0"/>
    <x v="0"/>
    <s v="Falla mecánica"/>
    <s v="Clarificación"/>
    <x v="88"/>
    <s v="Se daño acople"/>
  </r>
  <r>
    <x v="512"/>
    <x v="2"/>
    <x v="10"/>
    <d v="1899-12-30T15:00:00"/>
    <d v="1899-12-30T19:00:00"/>
    <n v="2"/>
    <x v="0"/>
    <x v="1"/>
    <s v="Falta Fruta esterilizada"/>
    <s v="Digestión y prensado"/>
    <x v="86"/>
    <s v="Se apaga prensa por dosificación en 20 min"/>
  </r>
  <r>
    <x v="512"/>
    <x v="2"/>
    <x v="10"/>
    <d v="1899-12-30T17:00:00"/>
    <d v="1899-12-30T19:35:00"/>
    <n v="1.2916666666666667"/>
    <x v="0"/>
    <x v="0"/>
    <s v="Falla mecánica"/>
    <s v="Planta generación de vapor"/>
    <x v="59"/>
    <m/>
  </r>
  <r>
    <x v="512"/>
    <x v="2"/>
    <x v="10"/>
    <d v="1899-12-30T20:15:00"/>
    <d v="1899-12-30T21:08:00"/>
    <n v="0.44166666666666665"/>
    <x v="0"/>
    <x v="1"/>
    <s v="Falla operativa"/>
    <s v="Desfrutado"/>
    <x v="2"/>
    <s v="Taponamiento"/>
  </r>
  <r>
    <x v="513"/>
    <x v="2"/>
    <x v="10"/>
    <d v="1899-12-30T15:00:00"/>
    <d v="1899-12-30T17:01:00"/>
    <n v="1.0083333333333333"/>
    <x v="1"/>
    <x v="2"/>
    <s v="Arranque planta"/>
    <s v="Planta general"/>
    <x v="5"/>
    <s v="arranque de proceso "/>
  </r>
  <r>
    <x v="513"/>
    <x v="2"/>
    <x v="10"/>
    <d v="1899-12-30T15:00:00"/>
    <d v="1899-12-30T18:40:00"/>
    <n v="1.8333333333333333"/>
    <x v="1"/>
    <x v="2"/>
    <s v="Arranque planta"/>
    <s v="Planta general"/>
    <x v="5"/>
    <s v="arranque de proceso"/>
  </r>
  <r>
    <x v="513"/>
    <x v="2"/>
    <x v="10"/>
    <d v="1899-12-30T18:51:00"/>
    <d v="1899-12-30T19:29:00"/>
    <n v="0.31666666666666665"/>
    <x v="0"/>
    <x v="3"/>
    <s v="Falta de fruta fresca"/>
    <s v="Planta general"/>
    <x v="5"/>
    <s v="falta de furta esterilizada"/>
  </r>
  <r>
    <x v="514"/>
    <x v="2"/>
    <x v="11"/>
    <d v="1899-12-30T06:00:00"/>
    <d v="1899-12-30T10:45:00"/>
    <n v="2.375"/>
    <x v="0"/>
    <x v="1"/>
    <s v="Falla operativa"/>
    <s v="Desfrutado"/>
    <x v="2"/>
    <s v="tapado los anillos"/>
  </r>
  <r>
    <x v="514"/>
    <x v="2"/>
    <x v="11"/>
    <d v="1899-12-30T12:39:00"/>
    <d v="1899-12-30T13:23:00"/>
    <n v="0.36666666666666664"/>
    <x v="0"/>
    <x v="1"/>
    <s v="Falla operativa"/>
    <s v="Desfrutado"/>
    <x v="2"/>
    <s v="tapado los anillos"/>
  </r>
  <r>
    <x v="514"/>
    <x v="2"/>
    <x v="11"/>
    <d v="1899-12-30T15:06:00"/>
    <d v="1899-12-30T15:30:00"/>
    <n v="0.2"/>
    <x v="0"/>
    <x v="3"/>
    <s v="Falta de fruta fresca"/>
    <s v="Planta general"/>
    <x v="5"/>
    <s v="Falta de fruta en planta"/>
  </r>
  <r>
    <x v="514"/>
    <x v="2"/>
    <x v="11"/>
    <d v="1899-12-30T15:30:00"/>
    <d v="1899-12-30T18:00:00"/>
    <n v="1.25"/>
    <x v="0"/>
    <x v="3"/>
    <s v="Falta de fruta fresca"/>
    <s v="Planta general"/>
    <x v="5"/>
    <s v="Falta de fruta en planta"/>
  </r>
  <r>
    <x v="514"/>
    <x v="2"/>
    <x v="11"/>
    <d v="1899-12-30T18:28:00"/>
    <d v="1899-12-30T22:19:00"/>
    <n v="1.925"/>
    <x v="0"/>
    <x v="0"/>
    <s v="Falla mecánica"/>
    <s v="Clarificación"/>
    <x v="88"/>
    <s v="bomba tiene los acoples malos"/>
  </r>
  <r>
    <x v="514"/>
    <x v="2"/>
    <x v="11"/>
    <d v="1899-12-30T06:00:00"/>
    <d v="1899-12-30T08:40:00"/>
    <n v="1.3333333333333333"/>
    <x v="0"/>
    <x v="1"/>
    <s v="Falla operativa"/>
    <s v="Desfrutado"/>
    <x v="2"/>
    <s v="tapado anillos "/>
  </r>
  <r>
    <x v="514"/>
    <x v="2"/>
    <x v="11"/>
    <d v="1899-12-30T09:37:00"/>
    <d v="1899-12-30T10:10:00"/>
    <n v="0.27500000000000002"/>
    <x v="0"/>
    <x v="1"/>
    <s v="Falla operativa"/>
    <s v="Desfrutado"/>
    <x v="2"/>
    <s v="tapado los anillos"/>
  </r>
  <r>
    <x v="514"/>
    <x v="2"/>
    <x v="11"/>
    <d v="1899-12-30T12:38:00"/>
    <d v="1899-12-30T13:34:00"/>
    <n v="0.46666666666666667"/>
    <x v="0"/>
    <x v="1"/>
    <s v="Falla operativa"/>
    <s v="Desfrutado"/>
    <x v="2"/>
    <s v="tapado los anillos"/>
  </r>
  <r>
    <x v="514"/>
    <x v="2"/>
    <x v="11"/>
    <d v="1899-12-30T15:30:00"/>
    <d v="1899-12-30T18:00:00"/>
    <n v="1.25"/>
    <x v="0"/>
    <x v="3"/>
    <s v="Falta de fruta fresca"/>
    <s v="Planta general"/>
    <x v="5"/>
    <s v="falta de fruta esterilizada"/>
  </r>
  <r>
    <x v="514"/>
    <x v="2"/>
    <x v="11"/>
    <d v="1899-12-30T18:28:00"/>
    <d v="1899-12-30T20:50:00"/>
    <n v="1.1833333333333333"/>
    <x v="0"/>
    <x v="0"/>
    <s v="Falla mecánica"/>
    <s v="Clarificación"/>
    <x v="88"/>
    <s v="bomba esta fallando"/>
  </r>
  <r>
    <x v="514"/>
    <x v="2"/>
    <x v="11"/>
    <d v="1899-12-30T21:25:00"/>
    <d v="1899-12-30T21:40:00"/>
    <n v="0.125"/>
    <x v="0"/>
    <x v="0"/>
    <s v="Falla mecánica"/>
    <s v="Clarificación"/>
    <x v="88"/>
    <s v="bomba esta fallando"/>
  </r>
  <r>
    <x v="515"/>
    <x v="2"/>
    <x v="11"/>
    <d v="1899-12-30T07:00:00"/>
    <d v="1899-12-30T12:23:00"/>
    <n v="5.3833333333333337"/>
    <x v="0"/>
    <x v="0"/>
    <s v="Falla mecánica"/>
    <s v="Clarificación"/>
    <x v="88"/>
    <s v="bomba se la daña acople"/>
  </r>
  <r>
    <x v="515"/>
    <x v="2"/>
    <x v="11"/>
    <d v="1899-12-30T02:20:00"/>
    <d v="1899-12-30T15:00:00"/>
    <n v="6.333333333333333"/>
    <x v="0"/>
    <x v="1"/>
    <s v="Falla operativa"/>
    <s v="Desfrutado"/>
    <x v="2"/>
    <s v="anillos tapados"/>
  </r>
  <r>
    <x v="515"/>
    <x v="2"/>
    <x v="11"/>
    <d v="1899-12-30T15:00:00"/>
    <d v="1899-12-30T15:23:00"/>
    <n v="0.38333333333333336"/>
    <x v="0"/>
    <x v="1"/>
    <s v="Falla operativa"/>
    <s v="Desfrutado"/>
    <x v="2"/>
    <s v="anillos tapados"/>
  </r>
  <r>
    <x v="515"/>
    <x v="2"/>
    <x v="11"/>
    <d v="1899-12-30T17:45:00"/>
    <d v="1899-12-30T18:01:00"/>
    <n v="0.26666666666666666"/>
    <x v="0"/>
    <x v="1"/>
    <s v="Falla operativa"/>
    <s v="Desfrutado"/>
    <x v="2"/>
    <s v="anillos tapados"/>
  </r>
  <r>
    <x v="515"/>
    <x v="2"/>
    <x v="11"/>
    <d v="1899-12-30T19:40:00"/>
    <d v="1899-12-30T20:10:00"/>
    <n v="0.5"/>
    <x v="0"/>
    <x v="3"/>
    <s v="Fluído eléctrico"/>
    <s v="Planta general"/>
    <x v="5"/>
    <s v="se fue la luz"/>
  </r>
  <r>
    <x v="515"/>
    <x v="2"/>
    <x v="11"/>
    <d v="1899-12-30T20:50:00"/>
    <d v="1899-12-30T22:30:00"/>
    <n v="0.83333333333333326"/>
    <x v="0"/>
    <x v="0"/>
    <s v="Falla eléctrica"/>
    <s v="Digestión y prensado"/>
    <x v="69"/>
    <s v="tablero de la unidad hidraulica de las prensas hizo corto"/>
  </r>
  <r>
    <x v="516"/>
    <x v="2"/>
    <x v="11"/>
    <d v="1899-12-30T07:00:00"/>
    <d v="1899-12-30T14:44:00"/>
    <n v="7.7333333333333334"/>
    <x v="0"/>
    <x v="3"/>
    <s v="Falta de fruta fresca"/>
    <s v="Planta general"/>
    <x v="5"/>
    <s v="falta de fruta en tolvas de recepcion"/>
  </r>
  <r>
    <x v="516"/>
    <x v="2"/>
    <x v="11"/>
    <d v="1899-12-30T15:30:00"/>
    <d v="1899-12-30T15:50:00"/>
    <n v="0.33333333333333331"/>
    <x v="0"/>
    <x v="1"/>
    <s v="Falla operativa"/>
    <s v="Desfrutado"/>
    <x v="2"/>
    <s v="anillos tapados"/>
  </r>
  <r>
    <x v="516"/>
    <x v="2"/>
    <x v="11"/>
    <d v="1899-12-30T15:50:00"/>
    <d v="1899-12-30T16:40:00"/>
    <n v="0.83333333333333337"/>
    <x v="0"/>
    <x v="0"/>
    <s v="Falla mecánica"/>
    <s v="Clarificación"/>
    <x v="55"/>
    <s v="se cambio malla al tamiz de lodo"/>
  </r>
  <r>
    <x v="516"/>
    <x v="2"/>
    <x v="11"/>
    <d v="1899-12-30T17:40:00"/>
    <d v="1899-12-30T18:13:00"/>
    <n v="0.55000000000000004"/>
    <x v="0"/>
    <x v="1"/>
    <s v="Falla operativa"/>
    <s v="Desfrutado"/>
    <x v="2"/>
    <s v="anillos tapados"/>
  </r>
  <r>
    <x v="516"/>
    <x v="2"/>
    <x v="11"/>
    <d v="1899-12-30T19:00:00"/>
    <d v="1899-12-30T19:18:00"/>
    <n v="0.3"/>
    <x v="0"/>
    <x v="0"/>
    <s v="Falla mecánica"/>
    <s v="Clarificación"/>
    <x v="88"/>
    <s v="bomba se le suelta acople "/>
  </r>
  <r>
    <x v="517"/>
    <x v="2"/>
    <x v="11"/>
    <d v="1899-12-30T07:00:00"/>
    <d v="1899-12-30T09:45:00"/>
    <n v="2.75"/>
    <x v="0"/>
    <x v="0"/>
    <s v="Falla mecánica"/>
    <s v="Planta generación de vapor"/>
    <x v="79"/>
    <s v="limpieza caldera parrila fuera de servicio"/>
  </r>
  <r>
    <x v="517"/>
    <x v="2"/>
    <x v="11"/>
    <d v="1899-12-30T11:40:00"/>
    <d v="1899-12-30T14:00:00"/>
    <n v="1.1666666666666667"/>
    <x v="0"/>
    <x v="0"/>
    <s v="Falla mecánica"/>
    <s v="Desfrutado"/>
    <x v="18"/>
    <s v="redler se cayo "/>
  </r>
  <r>
    <x v="517"/>
    <x v="2"/>
    <x v="11"/>
    <d v="1899-12-30T22:10:00"/>
    <d v="1899-12-30T22:30:00"/>
    <n v="0.33333333333333331"/>
    <x v="0"/>
    <x v="3"/>
    <s v="Falta de fruta fresca"/>
    <s v="Planta general"/>
    <x v="5"/>
    <s v="falta de fruta en la planta "/>
  </r>
  <r>
    <x v="517"/>
    <x v="2"/>
    <x v="11"/>
    <d v="1899-12-30T01:45:00"/>
    <d v="1899-12-30T02:25:00"/>
    <n v="0.33333333333333331"/>
    <x v="0"/>
    <x v="1"/>
    <s v="Falla operativa"/>
    <s v="Desfrutado"/>
    <x v="2"/>
    <s v="anillos tapados"/>
  </r>
  <r>
    <x v="518"/>
    <x v="2"/>
    <x v="11"/>
    <d v="1899-12-30T08:00:00"/>
    <d v="1899-12-30T09:16:00"/>
    <n v="1.2666666666666666"/>
    <x v="1"/>
    <x v="2"/>
    <s v="Arranque planta"/>
    <s v="Planta general"/>
    <x v="5"/>
    <s v="Arranque de proceso"/>
  </r>
  <r>
    <x v="518"/>
    <x v="2"/>
    <x v="11"/>
    <d v="1899-12-30T10:40:00"/>
    <d v="1899-12-30T10:57:00"/>
    <n v="0.14166666666666666"/>
    <x v="0"/>
    <x v="1"/>
    <s v="Falla operativa"/>
    <s v="Desfrutado"/>
    <x v="2"/>
    <s v="anillos tapados"/>
  </r>
  <r>
    <x v="518"/>
    <x v="2"/>
    <x v="11"/>
    <d v="1899-12-30T10:50:00"/>
    <d v="1899-12-30T11:20:00"/>
    <n v="0.25"/>
    <x v="0"/>
    <x v="1"/>
    <s v="Falla operativa"/>
    <s v="Desfrutado"/>
    <x v="2"/>
    <s v="anillos tapados"/>
  </r>
  <r>
    <x v="518"/>
    <x v="2"/>
    <x v="11"/>
    <d v="1899-12-30T13:25:00"/>
    <d v="1899-12-30T13:45:00"/>
    <n v="0.33333333333333331"/>
    <x v="0"/>
    <x v="1"/>
    <s v="Falla operativa"/>
    <s v="Desfrutado"/>
    <x v="2"/>
    <s v="anillos tapados"/>
  </r>
  <r>
    <x v="518"/>
    <x v="2"/>
    <x v="11"/>
    <d v="1899-12-30T15:00:00"/>
    <d v="1899-12-30T15:11:00"/>
    <n v="0.18333333333333332"/>
    <x v="0"/>
    <x v="1"/>
    <s v="Falla operativa"/>
    <s v="Desfrutado"/>
    <x v="2"/>
    <s v="anillos tapados"/>
  </r>
  <r>
    <x v="518"/>
    <x v="2"/>
    <x v="11"/>
    <d v="1899-12-30T15:30:00"/>
    <d v="1899-12-30T16:00:00"/>
    <n v="0.25"/>
    <x v="0"/>
    <x v="1"/>
    <s v="Falla operativa"/>
    <s v="Esterilización "/>
    <x v="86"/>
    <s v="Se apaga prensa 2 por dosificación de 20 minutos"/>
  </r>
  <r>
    <x v="518"/>
    <x v="2"/>
    <x v="11"/>
    <d v="1899-12-30T17:50:00"/>
    <d v="1899-12-30T18:18:00"/>
    <n v="0.23333333333333334"/>
    <x v="0"/>
    <x v="1"/>
    <s v="Falla operativa"/>
    <s v="Desfrutado"/>
    <x v="2"/>
    <s v="anillos tapados"/>
  </r>
  <r>
    <x v="518"/>
    <x v="2"/>
    <x v="11"/>
    <d v="1899-12-30T17:14:00"/>
    <d v="1899-12-30T18:30:00"/>
    <n v="0.6333333333333333"/>
    <x v="0"/>
    <x v="1"/>
    <s v="Falla operativa"/>
    <s v="Esterilización "/>
    <x v="86"/>
    <s v="Se apaga prensa 2 por dosificación de 20 minutos"/>
  </r>
  <r>
    <x v="518"/>
    <x v="2"/>
    <x v="11"/>
    <d v="1899-12-30T20:00:00"/>
    <d v="1899-12-30T21:05:00"/>
    <n v="1.0833333333333333"/>
    <x v="0"/>
    <x v="0"/>
    <s v="Falla mecánica"/>
    <s v="Planta generación de vapor"/>
    <x v="59"/>
    <s v="Se solto el pistón."/>
  </r>
  <r>
    <x v="519"/>
    <x v="2"/>
    <x v="11"/>
    <d v="1899-12-30T07:00:00"/>
    <d v="1899-12-30T09:12:00"/>
    <n v="2.2000000000000002"/>
    <x v="1"/>
    <x v="2"/>
    <s v="Arranque planta"/>
    <s v="Planta general"/>
    <x v="5"/>
    <s v="Arranque de proceso"/>
  </r>
  <r>
    <x v="519"/>
    <x v="2"/>
    <x v="11"/>
    <d v="1899-12-30T11:05:00"/>
    <d v="1899-12-30T14:35:00"/>
    <n v="3.5"/>
    <x v="0"/>
    <x v="0"/>
    <s v="Falla mecánica"/>
    <s v="Planta generación de vapor"/>
    <x v="59"/>
    <s v="Se suelta el embolo interno, se procede a desarmar y se solda al eje."/>
  </r>
  <r>
    <x v="519"/>
    <x v="2"/>
    <x v="11"/>
    <d v="1899-12-30T15:00:00"/>
    <d v="1899-12-30T15:40:00"/>
    <n v="0.33333333333333331"/>
    <x v="0"/>
    <x v="1"/>
    <s v="Falla operativa"/>
    <s v="Esterilización "/>
    <x v="86"/>
    <s v="Se apaga prensa 2 por dosificación de 20 minutos"/>
  </r>
  <r>
    <x v="519"/>
    <x v="2"/>
    <x v="11"/>
    <d v="1899-12-30T16:45:00"/>
    <d v="1899-12-30T17:55:00"/>
    <n v="0.58333333333333337"/>
    <x v="0"/>
    <x v="1"/>
    <s v="Falla operativa"/>
    <s v="Esterilización "/>
    <x v="86"/>
    <s v="Se apaga prensa 2 por dosificación de 20 minutos"/>
  </r>
  <r>
    <x v="519"/>
    <x v="2"/>
    <x v="11"/>
    <d v="1899-12-30T18:45:00"/>
    <d v="1899-12-30T19:10:00"/>
    <n v="0.20833333333333334"/>
    <x v="0"/>
    <x v="1"/>
    <s v="Falla operativa"/>
    <s v="Clarificación"/>
    <x v="16"/>
    <s v="Se tapó"/>
  </r>
  <r>
    <x v="518"/>
    <x v="2"/>
    <x v="11"/>
    <d v="1899-12-30T20:47:00"/>
    <d v="1899-12-30T21:10:00"/>
    <n v="0.38333333333333336"/>
    <x v="0"/>
    <x v="1"/>
    <s v="Falla operativa"/>
    <s v="Desfrutado"/>
    <x v="2"/>
    <s v="anillos tapados"/>
  </r>
  <r>
    <x v="520"/>
    <x v="2"/>
    <x v="11"/>
    <d v="1899-12-30T14:00:00"/>
    <d v="1899-12-30T16:00:00"/>
    <n v="2"/>
    <x v="0"/>
    <x v="0"/>
    <s v="Falla eléctrica"/>
    <s v="Esterilización "/>
    <x v="92"/>
    <s v=" se reemplaza sensor inductivo de tolva de dosificacion, por fallas para abrir y cerrar."/>
  </r>
  <r>
    <x v="520"/>
    <x v="2"/>
    <x v="11"/>
    <d v="1899-12-30T16:00:00"/>
    <d v="1899-12-30T16:40:00"/>
    <n v="0.66666666666666663"/>
    <x v="0"/>
    <x v="0"/>
    <s v="Falla mecánica"/>
    <s v="Esterilización "/>
    <x v="18"/>
    <s v="Se descadena"/>
  </r>
  <r>
    <x v="520"/>
    <x v="2"/>
    <x v="11"/>
    <d v="1899-12-30T17:20:00"/>
    <d v="1899-12-30T18:00:00"/>
    <n v="0.66666666666666663"/>
    <x v="0"/>
    <x v="1"/>
    <s v="Falla operativa"/>
    <s v="Desfrutado"/>
    <x v="2"/>
    <s v="anillos tapados"/>
  </r>
  <r>
    <x v="520"/>
    <x v="2"/>
    <x v="11"/>
    <d v="1899-12-30T17:10:00"/>
    <d v="1899-12-30T17:28:00"/>
    <n v="0.15"/>
    <x v="0"/>
    <x v="1"/>
    <s v="Falla operativa"/>
    <s v="Esterilización "/>
    <x v="13"/>
    <s v="Se apaga prensa 2 por dosificación de 20 minutos"/>
  </r>
  <r>
    <x v="520"/>
    <x v="2"/>
    <x v="11"/>
    <d v="1899-12-30T20:48:00"/>
    <d v="1899-12-30T21:54:00"/>
    <n v="0.55000000000000004"/>
    <x v="0"/>
    <x v="1"/>
    <s v="Falla operativa"/>
    <s v="Esterilización "/>
    <x v="13"/>
    <s v="Se apaga prensa 2 por dosificación de 20 minutos"/>
  </r>
  <r>
    <x v="520"/>
    <x v="2"/>
    <x v="11"/>
    <d v="1899-12-30T23:55:00"/>
    <d v="1899-12-31T00:36:00"/>
    <n v="0.34166666666666667"/>
    <x v="0"/>
    <x v="1"/>
    <s v="Falla operativa"/>
    <s v="Clarificación"/>
    <x v="16"/>
    <s v="Se tapó"/>
  </r>
  <r>
    <x v="520"/>
    <x v="2"/>
    <x v="11"/>
    <d v="1899-12-31T00:48:00"/>
    <d v="1899-12-31T01:19:00"/>
    <n v="0.25833333333333336"/>
    <x v="0"/>
    <x v="1"/>
    <s v="Falla operativa"/>
    <s v="Clarificación"/>
    <x v="16"/>
    <s v="Se tapó"/>
  </r>
  <r>
    <x v="521"/>
    <x v="2"/>
    <x v="11"/>
    <d v="1899-12-30T14:08:00"/>
    <d v="1899-12-30T16:01:00"/>
    <n v="1.8833333333333333"/>
    <x v="0"/>
    <x v="1"/>
    <s v="Falla operativa"/>
    <s v="Desfrutado"/>
    <x v="2"/>
    <s v="anillos tapados"/>
  </r>
  <r>
    <x v="521"/>
    <x v="2"/>
    <x v="11"/>
    <d v="1899-12-30T17:00:00"/>
    <d v="1899-12-30T18:58:00"/>
    <n v="0.98333333333333339"/>
    <x v="0"/>
    <x v="0"/>
    <s v="Falla mecánica"/>
    <s v="Planta generación de vapor"/>
    <x v="59"/>
    <s v="Se suelta el embolo interno"/>
  </r>
  <r>
    <x v="521"/>
    <x v="2"/>
    <x v="11"/>
    <d v="1899-12-30T17:00:00"/>
    <d v="1899-12-30T18:10:00"/>
    <n v="0.58333333333333337"/>
    <x v="0"/>
    <x v="0"/>
    <s v="Falla mecánica"/>
    <s v="Planta generación de vapor"/>
    <x v="59"/>
    <s v="Se suelta el embolo interno"/>
  </r>
  <r>
    <x v="521"/>
    <x v="2"/>
    <x v="11"/>
    <d v="1899-12-30T21:00:00"/>
    <d v="1899-12-30T22:04:00"/>
    <n v="0.53333333333333333"/>
    <x v="0"/>
    <x v="0"/>
    <s v="Falla mecánica"/>
    <s v="Planta generación de vapor"/>
    <x v="22"/>
    <s v="Contactor presenta falla y no deja arrancar caldera"/>
  </r>
  <r>
    <x v="521"/>
    <x v="2"/>
    <x v="11"/>
    <d v="1899-12-30T21:06:00"/>
    <d v="1899-12-30T22:04:00"/>
    <n v="0.48333333333333334"/>
    <x v="0"/>
    <x v="0"/>
    <s v="Falla mecánica"/>
    <s v="Planta generación de vapor"/>
    <x v="22"/>
    <s v="Contactor presenta falla y no deja arrancar caldera. "/>
  </r>
  <r>
    <x v="522"/>
    <x v="2"/>
    <x v="11"/>
    <d v="1899-12-30T14:00:00"/>
    <d v="1899-12-30T16:18:00"/>
    <n v="2.2999999999999998"/>
    <x v="1"/>
    <x v="2"/>
    <s v="Arranque planta"/>
    <s v="Planta general"/>
    <x v="5"/>
    <s v="Arranque de proceso"/>
  </r>
  <r>
    <x v="522"/>
    <x v="2"/>
    <x v="11"/>
    <d v="1899-12-30T16:18:00"/>
    <d v="1899-12-30T18:00:00"/>
    <n v="0.85"/>
    <x v="0"/>
    <x v="1"/>
    <s v="Falta Fruta esterilizada"/>
    <s v="Digestión y prensado"/>
    <x v="13"/>
    <s v="Se apaga prensa por dosificación en 20 min"/>
  </r>
  <r>
    <x v="522"/>
    <x v="2"/>
    <x v="11"/>
    <d v="1899-12-30T19:00:00"/>
    <d v="1899-12-30T19:40:00"/>
    <n v="0.33333333333333331"/>
    <x v="0"/>
    <x v="0"/>
    <s v="Falla mecánica"/>
    <s v="Esterilización "/>
    <x v="18"/>
    <s v="Descadenado"/>
  </r>
  <r>
    <x v="522"/>
    <x v="2"/>
    <x v="11"/>
    <d v="1899-12-30T16:18:00"/>
    <d v="1899-12-30T18:00:00"/>
    <n v="0.85"/>
    <x v="0"/>
    <x v="1"/>
    <s v="Falta Fruta esterilizada"/>
    <s v="Digestión y prensado"/>
    <x v="86"/>
    <s v="Se apaga prensa por dosificación en 20 min"/>
  </r>
  <r>
    <x v="523"/>
    <x v="2"/>
    <x v="11"/>
    <d v="1899-12-30T14:00:00"/>
    <d v="1899-12-30T16:04:00"/>
    <n v="2.0666666666666669"/>
    <x v="1"/>
    <x v="2"/>
    <s v="Arranque planta"/>
    <s v="Planta general"/>
    <x v="5"/>
    <s v="Arranque de proceso"/>
  </r>
  <r>
    <x v="523"/>
    <x v="2"/>
    <x v="11"/>
    <d v="1899-12-30T19:12:00"/>
    <d v="1899-12-30T19:50:00"/>
    <n v="0.31666666666666665"/>
    <x v="0"/>
    <x v="1"/>
    <s v="Falla operativa"/>
    <s v="Esterilización "/>
    <x v="13"/>
    <s v="Se apaga prensa 2 por dosificación de 20 minutos"/>
  </r>
  <r>
    <x v="523"/>
    <x v="2"/>
    <x v="11"/>
    <d v="1899-12-30T20:30:00"/>
    <d v="1899-12-30T21:00:00"/>
    <n v="0.25"/>
    <x v="0"/>
    <x v="0"/>
    <s v="Falla mecánica"/>
    <s v="Esterilización "/>
    <x v="18"/>
    <s v="Descadenado"/>
  </r>
  <r>
    <x v="524"/>
    <x v="2"/>
    <x v="11"/>
    <d v="1899-12-30T14:00:00"/>
    <d v="1899-12-30T16:40:00"/>
    <n v="2.6666666666666665"/>
    <x v="0"/>
    <x v="1"/>
    <s v="Falta Fruta esterilizada"/>
    <s v="Digestión y prensado"/>
    <x v="86"/>
    <s v="Se apaga prensa por dosificación en 20 min"/>
  </r>
  <r>
    <x v="524"/>
    <x v="2"/>
    <x v="11"/>
    <d v="1899-12-30T17:40:00"/>
    <d v="1899-12-30T18:20:00"/>
    <n v="0.33333333333333331"/>
    <x v="0"/>
    <x v="1"/>
    <s v="Falla operativa"/>
    <s v="Clarificación"/>
    <x v="10"/>
    <s v="Se lleno tanque de lodos"/>
  </r>
  <r>
    <x v="524"/>
    <x v="2"/>
    <x v="11"/>
    <d v="1899-12-30T18:20:00"/>
    <d v="1899-12-30T18:48:00"/>
    <n v="0.46666666666666667"/>
    <x v="0"/>
    <x v="1"/>
    <s v="Falla operativa"/>
    <s v="Desfrutado"/>
    <x v="2"/>
    <s v="anillos tapados"/>
  </r>
  <r>
    <x v="524"/>
    <x v="2"/>
    <x v="11"/>
    <d v="1899-12-30T20:00:00"/>
    <d v="1899-12-30T21:15:00"/>
    <n v="0.625"/>
    <x v="0"/>
    <x v="1"/>
    <s v="Falla operativa"/>
    <s v="Clarificación"/>
    <x v="10"/>
    <s v="Se lleno tanque de lodos"/>
  </r>
  <r>
    <x v="525"/>
    <x v="2"/>
    <x v="11"/>
    <d v="1899-12-30T14:00:00"/>
    <d v="1899-12-30T16:12:00"/>
    <n v="2.2000000000000002"/>
    <x v="0"/>
    <x v="1"/>
    <s v="Falla operativa"/>
    <s v="Desfrutado"/>
    <x v="2"/>
    <s v="anillos tapados"/>
  </r>
  <r>
    <x v="525"/>
    <x v="2"/>
    <x v="11"/>
    <d v="1899-12-30T18:45:00"/>
    <d v="1899-12-30T19:12:00"/>
    <n v="0.45"/>
    <x v="0"/>
    <x v="1"/>
    <s v="Falla operativa"/>
    <s v="Digestión y prensado"/>
    <x v="28"/>
    <s v="Sinfín atascado"/>
  </r>
  <r>
    <x v="525"/>
    <x v="2"/>
    <x v="11"/>
    <d v="1899-12-30T20:30:00"/>
    <d v="1899-12-30T21:10:00"/>
    <n v="0.66666666666666663"/>
    <x v="0"/>
    <x v="1"/>
    <s v="Falla operativa"/>
    <s v="Desfrutado"/>
    <x v="2"/>
    <s v="anillos tapados"/>
  </r>
  <r>
    <x v="526"/>
    <x v="2"/>
    <x v="11"/>
    <d v="1899-12-30T14:00:00"/>
    <d v="1899-12-30T15:17:00"/>
    <n v="1.2833333333333332"/>
    <x v="1"/>
    <x v="2"/>
    <s v="Arranque planta"/>
    <s v="Planta general"/>
    <x v="5"/>
    <s v="Arranque de proceso"/>
  </r>
  <r>
    <x v="526"/>
    <x v="2"/>
    <x v="11"/>
    <d v="1899-12-30T16:15:00"/>
    <d v="1899-12-30T16:55:00"/>
    <n v="0.33333333333333331"/>
    <x v="0"/>
    <x v="0"/>
    <s v="Falla eléctrica"/>
    <s v="Clarificación"/>
    <x v="16"/>
    <s v="Centrifuga no arrancaba"/>
  </r>
  <r>
    <x v="526"/>
    <x v="2"/>
    <x v="11"/>
    <d v="1899-12-30T18:25:00"/>
    <d v="1899-12-30T19:20:00"/>
    <n v="0.45833333333333331"/>
    <x v="0"/>
    <x v="1"/>
    <s v="Falla operativa"/>
    <s v="Desfrutado"/>
    <x v="2"/>
    <s v="anillos tapados"/>
  </r>
  <r>
    <x v="527"/>
    <x v="2"/>
    <x v="11"/>
    <d v="1899-12-30T14:00:00"/>
    <d v="1899-12-30T15:15:00"/>
    <n v="1.25"/>
    <x v="0"/>
    <x v="1"/>
    <s v="Falla operativa"/>
    <s v="Desfrutado"/>
    <x v="2"/>
    <s v="anillos tapados"/>
  </r>
  <r>
    <x v="527"/>
    <x v="2"/>
    <x v="11"/>
    <d v="1899-12-30T21:00:00"/>
    <d v="1899-12-30T21:55:00"/>
    <n v="0.45833333333333331"/>
    <x v="0"/>
    <x v="1"/>
    <s v="Falla operativa"/>
    <s v="Desfrutado"/>
    <x v="2"/>
    <s v="anillos tapados"/>
  </r>
  <r>
    <x v="528"/>
    <x v="2"/>
    <x v="11"/>
    <d v="1899-12-30T14:00:00"/>
    <d v="1899-12-30T17:30:00"/>
    <n v="3.5"/>
    <x v="0"/>
    <x v="3"/>
    <s v="Falta de fruta fresca"/>
    <s v="Planta general"/>
    <x v="5"/>
    <s v="Falta fruta en tolva"/>
  </r>
  <r>
    <x v="528"/>
    <x v="2"/>
    <x v="11"/>
    <d v="1899-12-30T17:30:00"/>
    <d v="1899-12-30T19:10:00"/>
    <n v="0.83333333333333326"/>
    <x v="0"/>
    <x v="0"/>
    <s v="Falla mecánica"/>
    <s v="Digestión y prensado"/>
    <x v="38"/>
    <s v="Cambio de acople"/>
  </r>
  <r>
    <x v="528"/>
    <x v="2"/>
    <x v="11"/>
    <d v="1899-12-30T21:00:00"/>
    <d v="1899-12-30T22:40:00"/>
    <n v="0.83333333333333326"/>
    <x v="0"/>
    <x v="0"/>
    <s v="Falla mecánica"/>
    <s v="Esterilización "/>
    <x v="56"/>
    <s v="Se descadenó"/>
  </r>
  <r>
    <x v="529"/>
    <x v="2"/>
    <x v="11"/>
    <d v="1899-12-30T14:00:00"/>
    <d v="1899-12-30T15:00:00"/>
    <n v="1"/>
    <x v="0"/>
    <x v="0"/>
    <s v="Falla mecánica"/>
    <s v="Esterilización "/>
    <x v="56"/>
    <s v="Levantamiento de redler"/>
  </r>
  <r>
    <x v="529"/>
    <x v="2"/>
    <x v="11"/>
    <d v="1899-12-30T15:00:00"/>
    <d v="1899-12-30T17:05:00"/>
    <n v="2.0833333333333335"/>
    <x v="1"/>
    <x v="2"/>
    <s v="Arranque planta"/>
    <s v="Planta general"/>
    <x v="5"/>
    <s v="Esterilización y llenado de digestores"/>
  </r>
  <r>
    <x v="529"/>
    <x v="2"/>
    <x v="11"/>
    <d v="1899-12-30T18:03:00"/>
    <d v="1899-12-30T19:27:00"/>
    <n v="1.4"/>
    <x v="0"/>
    <x v="1"/>
    <s v="Falla operativa"/>
    <s v="Desfrutado"/>
    <x v="2"/>
    <s v="anillos tapados"/>
  </r>
  <r>
    <x v="529"/>
    <x v="2"/>
    <x v="11"/>
    <d v="1899-12-30T20:00:00"/>
    <d v="1899-12-30T21:06:00"/>
    <n v="0.55000000000000004"/>
    <x v="0"/>
    <x v="1"/>
    <s v="Falla operativa"/>
    <s v="Clarificación"/>
    <x v="80"/>
    <s v="Taponamiento"/>
  </r>
  <r>
    <x v="529"/>
    <x v="2"/>
    <x v="11"/>
    <d v="1899-12-30T21:30:00"/>
    <d v="1899-12-30T21:47:00"/>
    <n v="0.14166666666666666"/>
    <x v="0"/>
    <x v="0"/>
    <s v="Falla mecánica"/>
    <s v="Esterilización "/>
    <x v="14"/>
    <s v="Se sueltan traviesas."/>
  </r>
  <r>
    <x v="530"/>
    <x v="2"/>
    <x v="11"/>
    <d v="1899-12-30T14:00:00"/>
    <d v="1899-12-30T15:35:00"/>
    <n v="1.5833333333333335"/>
    <x v="0"/>
    <x v="1"/>
    <s v="Falla operativa"/>
    <s v="Desfrutado"/>
    <x v="2"/>
    <s v="anillos tapados"/>
  </r>
  <r>
    <x v="530"/>
    <x v="2"/>
    <x v="11"/>
    <d v="1899-12-30T16:30:00"/>
    <d v="1899-12-30T17:04:00"/>
    <n v="0.28333333333333333"/>
    <x v="0"/>
    <x v="1"/>
    <s v="Falla operativa"/>
    <s v="Clarificación"/>
    <x v="16"/>
    <s v="Taponamiento"/>
  </r>
  <r>
    <x v="530"/>
    <x v="2"/>
    <x v="11"/>
    <d v="1899-12-30T17:30:00"/>
    <d v="1899-12-30T17:50:00"/>
    <n v="0.16666666666666666"/>
    <x v="0"/>
    <x v="1"/>
    <s v="Falla operativa"/>
    <s v="Clarificación"/>
    <x v="80"/>
    <s v="Taponamiento"/>
  </r>
  <r>
    <x v="531"/>
    <x v="2"/>
    <x v="11"/>
    <d v="1899-12-30T10:00:00"/>
    <d v="1899-12-30T11:35:00"/>
    <n v="1.5833333333333335"/>
    <x v="1"/>
    <x v="2"/>
    <s v="Arranque planta"/>
    <s v="Planta general"/>
    <x v="5"/>
    <s v="Esterilización y llenado de digestores"/>
  </r>
  <r>
    <x v="531"/>
    <x v="2"/>
    <x v="11"/>
    <d v="1899-12-30T13:53:00"/>
    <d v="1899-12-30T13:58:00"/>
    <n v="8.3333333333333329E-2"/>
    <x v="0"/>
    <x v="1"/>
    <s v="Falla operativa"/>
    <s v="Desfrutado"/>
    <x v="1"/>
    <s v="Se tapa el sinfín a elevador de fruto"/>
  </r>
  <r>
    <x v="531"/>
    <x v="2"/>
    <x v="11"/>
    <d v="1899-12-30T18:23:00"/>
    <d v="1899-12-30T19:35:00"/>
    <n v="0.6"/>
    <x v="0"/>
    <x v="0"/>
    <s v="Falla mecánica"/>
    <s v="Digestión y prensado"/>
    <x v="38"/>
    <s v="Sedesacopla motor en unidad hidraulica de prensa de fruto No.1,"/>
  </r>
  <r>
    <x v="531"/>
    <x v="2"/>
    <x v="11"/>
    <d v="1899-12-30T15:42:00"/>
    <d v="1899-12-30T16:45:00"/>
    <n v="1.05"/>
    <x v="0"/>
    <x v="1"/>
    <s v="Falla operativa"/>
    <s v="Desfrutado"/>
    <x v="2"/>
    <s v="anillos tapados"/>
  </r>
  <r>
    <x v="532"/>
    <x v="2"/>
    <x v="11"/>
    <d v="1899-12-30T12:00:00"/>
    <d v="1899-12-30T14:45:00"/>
    <n v="2.75"/>
    <x v="1"/>
    <x v="2"/>
    <s v="Arranque planta"/>
    <s v="Planta general"/>
    <x v="5"/>
    <s v="Subiendo presión y llenado digestores"/>
  </r>
  <r>
    <x v="532"/>
    <x v="2"/>
    <x v="11"/>
    <d v="1899-12-30T15:45:00"/>
    <d v="1899-12-30T16:03:00"/>
    <n v="0.15"/>
    <x v="0"/>
    <x v="1"/>
    <s v="Falla operativa"/>
    <s v="Esterilización "/>
    <x v="13"/>
    <s v="Se apaga prensa 2 por dosificación de 20 minutos"/>
  </r>
  <r>
    <x v="532"/>
    <x v="2"/>
    <x v="11"/>
    <d v="1899-12-30T18:30:00"/>
    <d v="1899-12-30T18:50:00"/>
    <n v="0.16666666666666666"/>
    <x v="0"/>
    <x v="1"/>
    <s v="Falla operativa"/>
    <s v="Esterilización "/>
    <x v="13"/>
    <s v="Se apaga prensa 2 por dosificación de 20 minutos"/>
  </r>
  <r>
    <x v="532"/>
    <x v="2"/>
    <x v="11"/>
    <d v="1899-12-30T19:38:00"/>
    <d v="1899-12-30T20:38:00"/>
    <n v="0.5"/>
    <x v="0"/>
    <x v="1"/>
    <s v="Falla operativa"/>
    <s v="Esterilización "/>
    <x v="13"/>
    <s v="Se apaga prensa 2 por dosificación de 20 minutos"/>
  </r>
  <r>
    <x v="533"/>
    <x v="2"/>
    <x v="11"/>
    <d v="1899-12-30T12:00:00"/>
    <d v="1899-12-30T13:33:00"/>
    <n v="1.55"/>
    <x v="0"/>
    <x v="1"/>
    <s v="Falla operativa"/>
    <s v="Desfrutado"/>
    <x v="2"/>
    <s v="anillos tapados"/>
  </r>
  <r>
    <x v="533"/>
    <x v="2"/>
    <x v="11"/>
    <d v="1899-12-30T15:15:00"/>
    <d v="1899-12-30T16:00:00"/>
    <n v="0.375"/>
    <x v="0"/>
    <x v="1"/>
    <s v="Falla operativa"/>
    <s v="Esterilización "/>
    <x v="13"/>
    <s v="Se apaga prensa 2 por dosificación de 20 minutos"/>
  </r>
  <r>
    <x v="533"/>
    <x v="2"/>
    <x v="11"/>
    <d v="1899-12-30T16:50:00"/>
    <d v="1899-12-30T17:26:00"/>
    <n v="0.6"/>
    <x v="0"/>
    <x v="0"/>
    <s v="Falla mecánica"/>
    <s v="Clarificación"/>
    <x v="88"/>
    <s v="Falla en acople"/>
  </r>
  <r>
    <x v="533"/>
    <x v="2"/>
    <x v="11"/>
    <d v="1899-12-30T19:20:00"/>
    <d v="1899-12-30T20:25:00"/>
    <n v="0.54166666666666663"/>
    <x v="0"/>
    <x v="0"/>
    <s v="Falla mecánica"/>
    <s v="Esterilización "/>
    <x v="56"/>
    <s v="Se cae redler que alimenta tolvas de pesaje"/>
  </r>
  <r>
    <x v="534"/>
    <x v="2"/>
    <x v="11"/>
    <d v="1899-12-30T10:00:00"/>
    <d v="1899-12-30T13:40:00"/>
    <n v="3.6666666666666665"/>
    <x v="0"/>
    <x v="0"/>
    <s v="Falla mecánica"/>
    <s v="Esterilización "/>
    <x v="56"/>
    <s v="Levantamiento de redler"/>
  </r>
  <r>
    <x v="534"/>
    <x v="2"/>
    <x v="11"/>
    <d v="1899-12-30T19:00:00"/>
    <d v="1899-12-30T19:52:00"/>
    <n v="0.43333333333333335"/>
    <x v="0"/>
    <x v="1"/>
    <s v="Falla operativa"/>
    <s v="Digestión y prensado"/>
    <x v="86"/>
    <s v="Se apaga prensa por que se presenta exceso de lodos en clarificación"/>
  </r>
  <r>
    <x v="535"/>
    <x v="2"/>
    <x v="11"/>
    <d v="1899-12-30T14:00:00"/>
    <d v="1899-12-30T16:40:00"/>
    <n v="2.6666666666666665"/>
    <x v="0"/>
    <x v="0"/>
    <s v="Falla mecánica"/>
    <s v="Esterilización "/>
    <x v="56"/>
    <m/>
  </r>
  <r>
    <x v="535"/>
    <x v="2"/>
    <x v="11"/>
    <d v="1899-12-30T17:50:00"/>
    <d v="1899-12-30T19:22:00"/>
    <n v="1.5333333333333332"/>
    <x v="0"/>
    <x v="0"/>
    <s v="Falla mecánica"/>
    <s v="Planta generación de vapor"/>
    <x v="9"/>
    <s v="Sinfín de fibra 2 rompio el eje "/>
  </r>
  <r>
    <x v="536"/>
    <x v="2"/>
    <x v="11"/>
    <d v="1899-12-30T14:00:00"/>
    <d v="1899-12-30T14:50:00"/>
    <n v="0.83333333333333337"/>
    <x v="1"/>
    <x v="2"/>
    <s v="Arranque planta"/>
    <s v="Planta general"/>
    <x v="5"/>
    <s v="Esterilización y llenado de digestores"/>
  </r>
  <r>
    <x v="536"/>
    <x v="2"/>
    <x v="11"/>
    <d v="1899-12-30T15:00:00"/>
    <d v="1899-12-30T15:18:00"/>
    <n v="0.15"/>
    <x v="0"/>
    <x v="1"/>
    <s v="Falla operativa"/>
    <s v="Desfibración"/>
    <x v="64"/>
    <s v="Taponamiento"/>
  </r>
  <r>
    <x v="536"/>
    <x v="2"/>
    <x v="11"/>
    <d v="1899-12-30T16:25:00"/>
    <d v="1899-12-30T17:14:00"/>
    <n v="0.40833333333333333"/>
    <x v="0"/>
    <x v="1"/>
    <s v="Falla operativa"/>
    <s v="Esterilización "/>
    <x v="13"/>
    <s v="Se apaga prensa 2 por dosificación de 20 minutos"/>
  </r>
  <r>
    <x v="536"/>
    <x v="2"/>
    <x v="11"/>
    <d v="1899-12-30T18:00:00"/>
    <d v="1899-12-30T18:40:00"/>
    <n v="0.33333333333333331"/>
    <x v="0"/>
    <x v="1"/>
    <s v="Falla operativa"/>
    <s v="Esterilización "/>
    <x v="13"/>
    <s v="Se apaga prensa 2 por dosificación de 20 minutos"/>
  </r>
  <r>
    <x v="536"/>
    <x v="2"/>
    <x v="11"/>
    <d v="1899-12-30T19:25:00"/>
    <d v="1899-12-30T20:12:00"/>
    <n v="0.39166666666666666"/>
    <x v="0"/>
    <x v="1"/>
    <s v="Falla operativa"/>
    <s v="Esterilización "/>
    <x v="13"/>
    <s v="Se apaga prensa 2 por dosificación de 20 minutos"/>
  </r>
  <r>
    <x v="536"/>
    <x v="2"/>
    <x v="11"/>
    <d v="1899-12-30T21:30:00"/>
    <d v="1899-12-30T23:30:00"/>
    <n v="1"/>
    <x v="0"/>
    <x v="1"/>
    <s v="Falla operativa"/>
    <s v="Esterilización "/>
    <x v="13"/>
    <s v="Se apaga prensa 2 por dosificación de 20 minutos"/>
  </r>
  <r>
    <x v="537"/>
    <x v="2"/>
    <x v="11"/>
    <d v="1899-12-30T14:00:00"/>
    <d v="1899-12-30T15:05:00"/>
    <n v="1.0833333333333333"/>
    <x v="1"/>
    <x v="2"/>
    <s v="Arranque planta"/>
    <s v="Planta general"/>
    <x v="5"/>
    <s v="Esterilización y llenado de digestores"/>
  </r>
  <r>
    <x v="537"/>
    <x v="2"/>
    <x v="11"/>
    <d v="1899-12-30T16:25:00"/>
    <d v="1899-12-30T17:06:00"/>
    <n v="0.34166666666666667"/>
    <x v="0"/>
    <x v="1"/>
    <s v="Falla operativa"/>
    <s v="Esterilización "/>
    <x v="13"/>
    <s v="Se apaga prensa 2 por dosificación de 20 minutos"/>
  </r>
  <r>
    <x v="537"/>
    <x v="2"/>
    <x v="11"/>
    <d v="1899-12-30T18:17:00"/>
    <d v="1899-12-30T18:44:00"/>
    <n v="0.22500000000000001"/>
    <x v="0"/>
    <x v="1"/>
    <s v="Falla operativa"/>
    <s v="Esterilización "/>
    <x v="13"/>
    <s v="Se apaga prensa 2 por dosificación de 20 minutos"/>
  </r>
  <r>
    <x v="537"/>
    <x v="2"/>
    <x v="11"/>
    <d v="1899-12-30T19:08:00"/>
    <d v="1899-12-30T19:44:00"/>
    <n v="0.3"/>
    <x v="0"/>
    <x v="0"/>
    <s v="Falla mecánica"/>
    <s v="Palmistería"/>
    <x v="93"/>
    <s v="Se apaga prensa 1 porque el silo de nuez se encuentra lleno, ya que el expeller 1 y 2 se encontraban en mtto."/>
  </r>
  <r>
    <x v="537"/>
    <x v="2"/>
    <x v="11"/>
    <d v="1899-12-30T20:20:00"/>
    <d v="1899-12-30T20:40:00"/>
    <n v="0.16666666666666666"/>
    <x v="0"/>
    <x v="1"/>
    <s v="Falla operativa"/>
    <s v="Clarificación"/>
    <x v="16"/>
    <s v="Taponamiento"/>
  </r>
  <r>
    <x v="538"/>
    <x v="2"/>
    <x v="0"/>
    <d v="1899-12-30T14:00:00"/>
    <d v="1899-12-30T15:12:00"/>
    <n v="1.2"/>
    <x v="1"/>
    <x v="2"/>
    <s v="Arranque planta"/>
    <s v="Planta general"/>
    <x v="5"/>
    <s v="Arranque de proceso"/>
  </r>
  <r>
    <x v="538"/>
    <x v="2"/>
    <x v="0"/>
    <d v="1899-12-30T15:40:00"/>
    <d v="1899-12-30T16:25:00"/>
    <n v="0.375"/>
    <x v="0"/>
    <x v="1"/>
    <s v="Falla operativa"/>
    <s v="Clarificación"/>
    <x v="16"/>
    <s v="Taponamiento"/>
  </r>
  <r>
    <x v="538"/>
    <x v="2"/>
    <x v="0"/>
    <d v="1899-12-30T18:05:00"/>
    <d v="1899-12-30T18:50:00"/>
    <n v="0.375"/>
    <x v="0"/>
    <x v="1"/>
    <s v="Falla operativa"/>
    <s v="Clarificación"/>
    <x v="16"/>
    <s v="Taponamiento"/>
  </r>
  <r>
    <x v="539"/>
    <x v="2"/>
    <x v="0"/>
    <d v="1899-12-30T14:00:00"/>
    <d v="1899-12-30T14:45:00"/>
    <n v="0.75"/>
    <x v="1"/>
    <x v="2"/>
    <s v="Arranque planta"/>
    <s v="Planta general"/>
    <x v="5"/>
    <s v="Arranque de proceso"/>
  </r>
  <r>
    <x v="539"/>
    <x v="2"/>
    <x v="0"/>
    <d v="1899-12-30T15:02:00"/>
    <d v="1899-12-30T15:48:00"/>
    <n v="0.76666666666666672"/>
    <x v="0"/>
    <x v="0"/>
    <s v="Falla mecánica"/>
    <s v="Planta generación de vapor"/>
    <x v="9"/>
    <s v="Se parte tornillo en puente"/>
  </r>
  <r>
    <x v="539"/>
    <x v="2"/>
    <x v="0"/>
    <d v="1899-12-30T17:00:00"/>
    <d v="1899-12-30T17:30:00"/>
    <n v="0.5"/>
    <x v="0"/>
    <x v="0"/>
    <s v="Falla mecánica"/>
    <s v="Clarificación"/>
    <x v="88"/>
    <s v="Se salió la cuña la bomba"/>
  </r>
  <r>
    <x v="540"/>
    <x v="2"/>
    <x v="0"/>
    <d v="1899-12-30T14:00:00"/>
    <d v="1899-12-30T22:05:00"/>
    <n v="8.0833333333333339"/>
    <x v="0"/>
    <x v="0"/>
    <s v="Falla mecánica"/>
    <s v="Planta generación de vapor"/>
    <x v="22"/>
    <s v="Corrección de fugas en pirotubos"/>
  </r>
  <r>
    <x v="540"/>
    <x v="2"/>
    <x v="0"/>
    <d v="1899-12-30T23:01:00"/>
    <d v="1899-12-30T23:40:00"/>
    <n v="0.32500000000000001"/>
    <x v="0"/>
    <x v="1"/>
    <s v="Falla operativa"/>
    <s v="Planta generación de vapor"/>
    <x v="22"/>
    <s v="Falta de fruto esterilizado por baja presión en caldera"/>
  </r>
  <r>
    <x v="541"/>
    <x v="2"/>
    <x v="0"/>
    <d v="1899-12-30T10:10:00"/>
    <d v="1899-12-30T10:50:00"/>
    <n v="0.66666666666666663"/>
    <x v="1"/>
    <x v="2"/>
    <s v="Arranque planta"/>
    <s v="Planta general"/>
    <x v="5"/>
    <s v="Llenado digestores"/>
  </r>
  <r>
    <x v="541"/>
    <x v="2"/>
    <x v="0"/>
    <d v="1899-12-30T13:19:00"/>
    <d v="1899-12-30T13:42:00"/>
    <n v="0.19166666666666668"/>
    <x v="0"/>
    <x v="0"/>
    <s v="Falla mecánica"/>
    <s v="Esterilización "/>
    <x v="58"/>
    <s v="Daño en platina de indexer"/>
  </r>
  <r>
    <x v="541"/>
    <x v="2"/>
    <x v="0"/>
    <d v="1899-12-30T14:30:00"/>
    <d v="1899-12-30T14:59:00"/>
    <n v="0.24166666666666667"/>
    <x v="0"/>
    <x v="0"/>
    <s v="Falla mecánica"/>
    <s v="Esterilización "/>
    <x v="58"/>
    <s v="Daño en platina de indexer"/>
  </r>
  <r>
    <x v="541"/>
    <x v="2"/>
    <x v="0"/>
    <d v="1899-12-30T14:50:00"/>
    <d v="1899-12-30T15:13:00"/>
    <n v="0.38333333333333336"/>
    <x v="0"/>
    <x v="1"/>
    <s v="Falla operativa"/>
    <s v="Desfrutado"/>
    <x v="2"/>
    <s v="Limpieza de anillos tapados"/>
  </r>
  <r>
    <x v="541"/>
    <x v="2"/>
    <x v="0"/>
    <d v="1899-12-30T19:50:00"/>
    <d v="1899-12-30T20:27:00"/>
    <n v="0.30833333333333335"/>
    <x v="0"/>
    <x v="1"/>
    <s v="Falla operativa"/>
    <s v="Clarificación"/>
    <x v="16"/>
    <s v="Taponamiento"/>
  </r>
  <r>
    <x v="542"/>
    <x v="2"/>
    <x v="0"/>
    <d v="1899-12-30T10:00:00"/>
    <d v="1899-12-30T13:00:00"/>
    <n v="3"/>
    <x v="0"/>
    <x v="0"/>
    <s v="Falla mecánica"/>
    <s v="Esterilización "/>
    <x v="56"/>
    <s v="Habilitación de redler de tolvas de pesaje"/>
  </r>
  <r>
    <x v="542"/>
    <x v="2"/>
    <x v="0"/>
    <d v="1899-12-30T13:00:00"/>
    <d v="1899-12-30T14:00:00"/>
    <n v="1"/>
    <x v="1"/>
    <x v="2"/>
    <s v="Arranque planta"/>
    <s v="Planta general"/>
    <x v="5"/>
    <s v="Arranque y llenado de digestores"/>
  </r>
  <r>
    <x v="542"/>
    <x v="2"/>
    <x v="0"/>
    <d v="1899-12-30T14:37:00"/>
    <d v="1899-12-30T15:02:00"/>
    <n v="0.41666666666666669"/>
    <x v="0"/>
    <x v="1"/>
    <s v="Falla operativa"/>
    <s v="Desfrutado"/>
    <x v="2"/>
    <s v="Limpieza de anillos tapados"/>
  </r>
  <r>
    <x v="542"/>
    <x v="2"/>
    <x v="0"/>
    <d v="1899-12-30T15:20:00"/>
    <d v="1899-12-30T15:40:00"/>
    <n v="0.33333333333333331"/>
    <x v="0"/>
    <x v="1"/>
    <s v="Falla operativa"/>
    <s v="Desfrutado"/>
    <x v="2"/>
    <s v="Limpieza de anillos tapados"/>
  </r>
  <r>
    <x v="543"/>
    <x v="2"/>
    <x v="0"/>
    <d v="1899-12-30T12:00:00"/>
    <d v="1899-12-30T13:17:00"/>
    <n v="1.2833333333333332"/>
    <x v="1"/>
    <x v="2"/>
    <s v="Arranque planta"/>
    <s v="Planta general"/>
    <x v="5"/>
    <s v="Arranque y llenado de digestores"/>
  </r>
  <r>
    <x v="543"/>
    <x v="2"/>
    <x v="0"/>
    <d v="1899-12-30T14:17:00"/>
    <d v="1899-12-30T14:23:00"/>
    <n v="0.05"/>
    <x v="0"/>
    <x v="1"/>
    <s v="Falla operativa"/>
    <s v="Clarificación"/>
    <x v="80"/>
    <s v="Taponamiento"/>
  </r>
  <r>
    <x v="543"/>
    <x v="2"/>
    <x v="0"/>
    <d v="1899-12-30T19:16:00"/>
    <d v="1899-12-30T19:40:00"/>
    <n v="0.2"/>
    <x v="0"/>
    <x v="1"/>
    <s v="Falla operativa"/>
    <s v="Clarificación"/>
    <x v="80"/>
    <s v="Taponamiento"/>
  </r>
  <r>
    <x v="544"/>
    <x v="2"/>
    <x v="0"/>
    <d v="1899-12-30T06:00:00"/>
    <d v="1899-12-30T07:01:00"/>
    <n v="1.0166666666666666"/>
    <x v="1"/>
    <x v="2"/>
    <s v="Arranque planta"/>
    <s v="Planta general"/>
    <x v="5"/>
    <s v="Arranque de proceso y llenado de digestores"/>
  </r>
  <r>
    <x v="544"/>
    <x v="2"/>
    <x v="0"/>
    <d v="1899-12-30T09:15:00"/>
    <d v="1899-12-30T10:08:00"/>
    <n v="0.8833333333333333"/>
    <x v="0"/>
    <x v="0"/>
    <s v="Falla mecánica"/>
    <s v="Esterilización "/>
    <x v="56"/>
    <s v="Se caen traviesas "/>
  </r>
  <r>
    <x v="544"/>
    <x v="2"/>
    <x v="0"/>
    <d v="1899-12-30T11:09:00"/>
    <d v="1899-12-30T11:40:00"/>
    <n v="0.25833333333333336"/>
    <x v="0"/>
    <x v="1"/>
    <s v="Falla operativa"/>
    <s v="Clarificación"/>
    <x v="80"/>
    <s v="Taponamiento"/>
  </r>
  <r>
    <x v="544"/>
    <x v="2"/>
    <x v="0"/>
    <d v="1899-12-30T12:20:00"/>
    <d v="1899-12-30T12:51:00"/>
    <n v="0.51666666666666672"/>
    <x v="0"/>
    <x v="1"/>
    <s v="Falla operativa"/>
    <s v="Planta generación de vapor"/>
    <x v="9"/>
    <s v="Taponamiento"/>
  </r>
  <r>
    <x v="544"/>
    <x v="2"/>
    <x v="0"/>
    <d v="1899-12-30T13:15:00"/>
    <d v="1899-12-30T13:37:00"/>
    <n v="0.36666666666666664"/>
    <x v="0"/>
    <x v="0"/>
    <s v="Falla mecánica"/>
    <s v="Planta generación de vapor"/>
    <x v="9"/>
    <s v="Se rompen tacos del acople del reudctor del sinfín"/>
  </r>
  <r>
    <x v="545"/>
    <x v="2"/>
    <x v="0"/>
    <d v="1899-12-30T08:00:00"/>
    <d v="1899-12-30T09:30:00"/>
    <n v="1.5"/>
    <x v="1"/>
    <x v="2"/>
    <s v="Arranque planta"/>
    <s v="Planta general"/>
    <x v="5"/>
    <s v="arranque de proceso"/>
  </r>
  <r>
    <x v="545"/>
    <x v="2"/>
    <x v="0"/>
    <d v="1899-12-30T10:40:00"/>
    <d v="1899-12-30T11:02:00"/>
    <n v="0.36666666666666664"/>
    <x v="0"/>
    <x v="1"/>
    <s v="Falla operativa"/>
    <s v="Clarificación"/>
    <x v="3"/>
    <s v="Taponamiento de tuberia"/>
  </r>
  <r>
    <x v="545"/>
    <x v="2"/>
    <x v="0"/>
    <d v="1899-12-30T11:30:00"/>
    <d v="1899-12-30T12:20:00"/>
    <n v="0.83333333333333337"/>
    <x v="0"/>
    <x v="1"/>
    <s v="Falla operativa"/>
    <s v="Desfrutado"/>
    <x v="94"/>
    <s v="Se para proceso para realizar medición de raquis "/>
  </r>
  <r>
    <x v="545"/>
    <x v="2"/>
    <x v="0"/>
    <d v="1899-12-30T17:30:00"/>
    <d v="1899-12-30T18:02:00"/>
    <n v="0.53333333333333333"/>
    <x v="0"/>
    <x v="0"/>
    <s v="Falla mecánica"/>
    <s v="Desfrutado"/>
    <x v="14"/>
    <s v="Se descadenó redler"/>
  </r>
  <r>
    <x v="545"/>
    <x v="2"/>
    <x v="0"/>
    <d v="1899-12-30T19:30:00"/>
    <d v="1899-12-30T20:00:00"/>
    <n v="0.25"/>
    <x v="0"/>
    <x v="1"/>
    <s v="Falla operativa"/>
    <s v="Clarificación"/>
    <x v="80"/>
    <s v="Taponamiento"/>
  </r>
  <r>
    <x v="545"/>
    <x v="2"/>
    <x v="0"/>
    <d v="1899-12-30T20:00:00"/>
    <d v="1899-12-30T20:09:00"/>
    <n v="7.4999999999999997E-2"/>
    <x v="0"/>
    <x v="0"/>
    <s v="Falla mecánica"/>
    <s v="Desfrutado"/>
    <x v="18"/>
    <s v="Se salta cadena y se monta piñon"/>
  </r>
  <r>
    <x v="546"/>
    <x v="2"/>
    <x v="0"/>
    <d v="1899-12-30T08:00:00"/>
    <d v="1899-12-30T09:12:00"/>
    <n v="1.2"/>
    <x v="1"/>
    <x v="2"/>
    <s v="Arranque planta"/>
    <s v="Planta general"/>
    <x v="5"/>
    <s v="Arranque de proceso"/>
  </r>
  <r>
    <x v="546"/>
    <x v="2"/>
    <x v="0"/>
    <d v="1899-12-30T15:20:00"/>
    <d v="1899-12-30T15:40:00"/>
    <n v="0.16666666666666666"/>
    <x v="0"/>
    <x v="1"/>
    <s v="Falla operativa"/>
    <s v="Clarificación"/>
    <x v="80"/>
    <s v="Taponamiento"/>
  </r>
  <r>
    <x v="546"/>
    <x v="2"/>
    <x v="0"/>
    <d v="1899-12-30T16:27:00"/>
    <d v="1899-12-30T17:43:00"/>
    <n v="1.2666666666666666"/>
    <x v="0"/>
    <x v="3"/>
    <s v="Falta de fruta fresca"/>
    <s v="Planta general"/>
    <x v="5"/>
    <s v="Falta de Fruta en planta"/>
  </r>
  <r>
    <x v="546"/>
    <x v="2"/>
    <x v="0"/>
    <d v="1899-12-30T18:11:00"/>
    <d v="1899-12-30T18:41:00"/>
    <n v="0.5"/>
    <x v="0"/>
    <x v="1"/>
    <s v="Falla operativa"/>
    <s v="Clarificación"/>
    <x v="80"/>
    <s v="Taponamiento"/>
  </r>
  <r>
    <x v="547"/>
    <x v="2"/>
    <x v="0"/>
    <d v="1899-12-30T12:00:00"/>
    <d v="1899-12-30T13:10:00"/>
    <n v="1.1666666666666667"/>
    <x v="1"/>
    <x v="2"/>
    <s v="Arranque planta"/>
    <s v="Planta general"/>
    <x v="5"/>
    <s v="arranque de proceso"/>
  </r>
  <r>
    <x v="548"/>
    <x v="2"/>
    <x v="0"/>
    <d v="1899-12-30T12:00:00"/>
    <d v="1899-12-30T13:10:00"/>
    <n v="1.1666666666666667"/>
    <x v="1"/>
    <x v="2"/>
    <s v="Arranque planta"/>
    <s v="Planta general"/>
    <x v="5"/>
    <s v="arranque de proceso"/>
  </r>
  <r>
    <x v="548"/>
    <x v="2"/>
    <x v="0"/>
    <d v="1899-12-30T16:22:00"/>
    <d v="1899-12-30T16:35:00"/>
    <n v="0.21666666666666667"/>
    <x v="0"/>
    <x v="1"/>
    <s v="Falla operativa"/>
    <s v="Desfrutado"/>
    <x v="2"/>
    <s v="Limpieza de anillos tapados"/>
  </r>
  <r>
    <x v="549"/>
    <x v="2"/>
    <x v="0"/>
    <d v="1899-12-30T14:00:00"/>
    <d v="1899-12-30T14:50:00"/>
    <n v="0.83333333333333337"/>
    <x v="1"/>
    <x v="2"/>
    <s v="Arranque planta"/>
    <s v="Planta general"/>
    <x v="5"/>
    <s v="Arranque de proceso"/>
  </r>
  <r>
    <x v="549"/>
    <x v="2"/>
    <x v="0"/>
    <d v="1899-12-30T19:48:00"/>
    <d v="1899-12-30T20:27:00"/>
    <n v="0.32500000000000001"/>
    <x v="0"/>
    <x v="1"/>
    <s v="Falla operativa"/>
    <s v="Clarificación"/>
    <x v="10"/>
    <s v="Tanque lleno"/>
  </r>
  <r>
    <x v="550"/>
    <x v="2"/>
    <x v="0"/>
    <d v="1899-12-30T14:00:00"/>
    <d v="1899-12-30T16:35:00"/>
    <n v="2.5833333333333335"/>
    <x v="1"/>
    <x v="2"/>
    <s v="Arranque planta"/>
    <s v="Planta general"/>
    <x v="5"/>
    <s v="Esterilización y llenado de digestores"/>
  </r>
  <r>
    <x v="550"/>
    <x v="2"/>
    <x v="0"/>
    <d v="1899-12-30T18:24:00"/>
    <d v="1899-12-30T18:49:00"/>
    <n v="0.41666666666666669"/>
    <x v="0"/>
    <x v="0"/>
    <s v="Falla mecánica"/>
    <s v="Digestión y prensado"/>
    <x v="31"/>
    <s v="Taponamiento en sinfín que alimenta digestores, por ausencia del sinfín de retorno"/>
  </r>
  <r>
    <x v="551"/>
    <x v="2"/>
    <x v="0"/>
    <d v="1899-12-30T07:00:00"/>
    <d v="1899-12-30T09:55:00"/>
    <n v="2.9166666666666665"/>
    <x v="1"/>
    <x v="2"/>
    <s v="Arranque planta"/>
    <s v="Planta general"/>
    <x v="5"/>
    <s v="Esterilización y llenado de digestores"/>
  </r>
  <r>
    <x v="551"/>
    <x v="2"/>
    <x v="0"/>
    <d v="1899-12-30T13:10:00"/>
    <d v="1899-12-30T13:40:00"/>
    <n v="0.25"/>
    <x v="0"/>
    <x v="0"/>
    <s v="Falla mecánica"/>
    <s v="Planta generación de vapor"/>
    <x v="9"/>
    <s v="Se rompe sección del transportador."/>
  </r>
  <r>
    <x v="551"/>
    <x v="2"/>
    <x v="0"/>
    <d v="1899-12-30T13:12:00"/>
    <d v="1899-12-30T14:20:00"/>
    <n v="0.56666666666666665"/>
    <x v="0"/>
    <x v="1"/>
    <s v="Falla operativa"/>
    <s v="Digestión y prensado"/>
    <x v="82"/>
    <s v="Digestor no arrancaba"/>
  </r>
  <r>
    <x v="551"/>
    <x v="2"/>
    <x v="0"/>
    <d v="1899-12-30T15:00:00"/>
    <d v="1899-12-30T15:42:00"/>
    <n v="0.7"/>
    <x v="0"/>
    <x v="0"/>
    <s v="Falla mecánica"/>
    <s v="Clarificación"/>
    <x v="11"/>
    <s v="Malla saturada, descalibrado"/>
  </r>
  <r>
    <x v="551"/>
    <x v="2"/>
    <x v="0"/>
    <d v="1899-12-30T19:40:00"/>
    <d v="1899-12-30T20:35:00"/>
    <n v="0.45833333333333331"/>
    <x v="0"/>
    <x v="1"/>
    <s v="Falla operativa"/>
    <s v="Planta tratamiento de agua"/>
    <x v="75"/>
    <s v="Se estaban regenerando los suavizadores, ocasionando bajo nivel de agua en desaireador y no era posible esterilizar "/>
  </r>
  <r>
    <x v="552"/>
    <x v="2"/>
    <x v="0"/>
    <d v="1899-12-30T07:00:00"/>
    <d v="1899-12-30T09:15:00"/>
    <n v="1.125"/>
    <x v="1"/>
    <x v="2"/>
    <s v="Arranque planta"/>
    <s v="Planta general"/>
    <x v="5"/>
    <s v="Arranque de planta"/>
  </r>
  <r>
    <x v="552"/>
    <x v="2"/>
    <x v="0"/>
    <d v="1899-12-30T09:57:00"/>
    <d v="1899-12-30T12:47:00"/>
    <n v="1.4166666666666667"/>
    <x v="0"/>
    <x v="0"/>
    <s v="Falla mecánica"/>
    <s v="Desfibración"/>
    <x v="46"/>
    <s v="atascamiento ciclon por falla piñon esclusa"/>
  </r>
  <r>
    <x v="552"/>
    <x v="2"/>
    <x v="0"/>
    <d v="1899-12-30T17:30:00"/>
    <d v="1899-12-30T17:51:00"/>
    <n v="0.17499999999999999"/>
    <x v="0"/>
    <x v="1"/>
    <s v="Falla operativa"/>
    <s v="Clarificación"/>
    <x v="80"/>
    <s v="Taponamiento"/>
  </r>
  <r>
    <x v="553"/>
    <x v="2"/>
    <x v="0"/>
    <d v="1899-12-30T07:00:00"/>
    <d v="1899-12-30T13:25:00"/>
    <n v="6.416666666666667"/>
    <x v="1"/>
    <x v="2"/>
    <s v="Arranque planta"/>
    <s v="Planta general"/>
    <x v="5"/>
    <s v="Arranque de planta"/>
  </r>
  <r>
    <x v="553"/>
    <x v="2"/>
    <x v="0"/>
    <d v="1899-12-30T13:25:00"/>
    <d v="1899-12-30T17:30:00"/>
    <n v="2.0416666666666665"/>
    <x v="0"/>
    <x v="3"/>
    <s v="Fluído eléctrico"/>
    <s v="Planta general"/>
    <x v="5"/>
    <s v="Falla fluído eléctrico"/>
  </r>
  <r>
    <x v="553"/>
    <x v="2"/>
    <x v="0"/>
    <d v="1899-12-30T14:40:00"/>
    <d v="1899-12-30T15:00:00"/>
    <n v="0.33333333333333331"/>
    <x v="0"/>
    <x v="1"/>
    <s v="Falla operativa"/>
    <s v="Desfrutado"/>
    <x v="2"/>
    <s v="Limpieza de desfrutador por taponamiento"/>
  </r>
  <r>
    <x v="553"/>
    <x v="2"/>
    <x v="0"/>
    <d v="1899-12-30T16:41:00"/>
    <d v="1899-12-30T17:12:00"/>
    <n v="0.51666666666666672"/>
    <x v="0"/>
    <x v="1"/>
    <s v="Falla operativa"/>
    <s v="Clarificación"/>
    <x v="48"/>
    <s v="Taponamiento por deficiencia en desarenado"/>
  </r>
  <r>
    <x v="554"/>
    <x v="2"/>
    <x v="0"/>
    <d v="1899-12-30T07:00:00"/>
    <d v="1899-12-30T12:00:00"/>
    <n v="5"/>
    <x v="0"/>
    <x v="3"/>
    <s v="Fluído eléctrico"/>
    <s v="Planta general"/>
    <x v="5"/>
    <s v="Se programa iniciar proceso después de medio día debido al corte de energía y se adelanta proceso de lodos y esterilización"/>
  </r>
  <r>
    <x v="554"/>
    <x v="2"/>
    <x v="0"/>
    <d v="1899-12-30T12:00:00"/>
    <d v="1899-12-30T17:00:00"/>
    <n v="2.5"/>
    <x v="0"/>
    <x v="3"/>
    <s v="Fluído eléctrico"/>
    <s v="Digestión y prensado"/>
    <x v="13"/>
    <s v="Se arrranca hasta las 5:00pm porque se trabaja con la planta eléctrica de emergencia"/>
  </r>
  <r>
    <x v="554"/>
    <x v="2"/>
    <x v="0"/>
    <d v="1899-12-30T17:50:00"/>
    <d v="1899-12-30T19:40:00"/>
    <n v="0.91666666666666674"/>
    <x v="0"/>
    <x v="1"/>
    <s v="Falla operativa"/>
    <s v="Desfrutado"/>
    <x v="2"/>
    <s v="Limpieza de desfrutador por taponamiento"/>
  </r>
  <r>
    <x v="554"/>
    <x v="2"/>
    <x v="0"/>
    <d v="1899-12-30T20:25:00"/>
    <d v="1899-12-30T21:00:00"/>
    <n v="0.29166666666666669"/>
    <x v="0"/>
    <x v="1"/>
    <s v="Falla operativa"/>
    <s v="Clarificación"/>
    <x v="48"/>
    <s v="Taponamiento por deficiencia en desarenado"/>
  </r>
  <r>
    <x v="554"/>
    <x v="2"/>
    <x v="0"/>
    <d v="1899-12-30T19:30:00"/>
    <d v="1899-12-30T20:15:00"/>
    <n v="0.375"/>
    <x v="0"/>
    <x v="1"/>
    <s v="Falla operativa"/>
    <s v="Desfrutado"/>
    <x v="2"/>
    <s v="Limpieza de desfrutador por taponamiento"/>
  </r>
  <r>
    <x v="555"/>
    <x v="2"/>
    <x v="0"/>
    <d v="1899-12-30T06:00:00"/>
    <d v="1899-12-30T14:00:00"/>
    <n v="8"/>
    <x v="0"/>
    <x v="3"/>
    <s v="Falta de fruta fresca"/>
    <s v="Planta general"/>
    <x v="5"/>
    <s v="Falta de fruta"/>
  </r>
  <r>
    <x v="555"/>
    <x v="2"/>
    <x v="0"/>
    <d v="1899-12-30T14:40:00"/>
    <d v="1899-12-30T15:00:00"/>
    <n v="0.16666666666666666"/>
    <x v="1"/>
    <x v="2"/>
    <s v="Pruebas y ensayos"/>
    <s v="Planta general"/>
    <x v="5"/>
    <s v="Prueba de capacidad en prensa Tecnova"/>
  </r>
  <r>
    <x v="555"/>
    <x v="2"/>
    <x v="0"/>
    <d v="1899-12-30T17:30:00"/>
    <d v="1899-12-30T18:00:00"/>
    <n v="0.5"/>
    <x v="0"/>
    <x v="1"/>
    <s v="Falla operativa"/>
    <s v="Desfrutado"/>
    <x v="2"/>
    <s v="Limpieza de desfrutador por taponamiento"/>
  </r>
  <r>
    <x v="555"/>
    <x v="2"/>
    <x v="0"/>
    <d v="1899-12-30T19:11:00"/>
    <d v="1899-12-30T19:42:00"/>
    <n v="0.25833333333333336"/>
    <x v="0"/>
    <x v="1"/>
    <s v="Falla operativa"/>
    <s v="Clarificación"/>
    <x v="48"/>
    <s v="Taponamiento por deficiencia en desarenado"/>
  </r>
  <r>
    <x v="555"/>
    <x v="2"/>
    <x v="0"/>
    <d v="1899-12-30T15:30:00"/>
    <d v="1899-12-30T15:50:00"/>
    <n v="0.16666666666666666"/>
    <x v="1"/>
    <x v="2"/>
    <s v="Pruebas y ensayos"/>
    <s v="Planta general"/>
    <x v="5"/>
    <s v="Prueba de capacidad en prensa Tecnova"/>
  </r>
  <r>
    <x v="555"/>
    <x v="2"/>
    <x v="0"/>
    <d v="1899-12-30T17:30:00"/>
    <d v="1899-12-30T18:23:00"/>
    <n v="0.44166666666666665"/>
    <x v="0"/>
    <x v="1"/>
    <s v="Falla operativa"/>
    <s v="Desfrutado"/>
    <x v="2"/>
    <s v="Limpieza de desfrutador por taponamiento"/>
  </r>
  <r>
    <x v="556"/>
    <x v="2"/>
    <x v="0"/>
    <d v="1899-12-30T06:00:00"/>
    <d v="1899-12-30T10:30:00"/>
    <n v="4.5"/>
    <x v="1"/>
    <x v="2"/>
    <s v="Arranque planta"/>
    <s v="Planta general"/>
    <x v="5"/>
    <s v="Arranque de planta"/>
  </r>
  <r>
    <x v="556"/>
    <x v="2"/>
    <x v="0"/>
    <d v="1899-12-30T11:40:00"/>
    <d v="1899-12-30T12:07:00"/>
    <n v="0.22500000000000001"/>
    <x v="0"/>
    <x v="1"/>
    <s v="Falla operativa"/>
    <s v="Desfrutado"/>
    <x v="94"/>
    <s v="taponamiento de prensa "/>
  </r>
  <r>
    <x v="556"/>
    <x v="2"/>
    <x v="0"/>
    <d v="1899-12-30T13:50:00"/>
    <d v="1899-12-30T14:00:00"/>
    <n v="0.16666666666666666"/>
    <x v="0"/>
    <x v="3"/>
    <s v="Fluído eléctrico"/>
    <s v="Digestión y prensado"/>
    <x v="13"/>
    <s v="falta de enrgia electrica"/>
  </r>
  <r>
    <x v="556"/>
    <x v="2"/>
    <x v="0"/>
    <d v="1899-12-30T15:45:00"/>
    <d v="1899-12-30T19:50:00"/>
    <n v="4.083333333333333"/>
    <x v="0"/>
    <x v="0"/>
    <s v="Falla mecánica"/>
    <s v="Esterilización "/>
    <x v="52"/>
    <s v="Se suelta disco de cheque de alimentacion vapor, impidiendo el flujo."/>
  </r>
  <r>
    <x v="556"/>
    <x v="2"/>
    <x v="0"/>
    <d v="1899-12-30T20:40:00"/>
    <d v="1899-12-30T21:58:00"/>
    <n v="1.3"/>
    <x v="0"/>
    <x v="1"/>
    <s v="Falla operativa"/>
    <s v="Desfrutado"/>
    <x v="2"/>
    <s v="Taponamiento ducto alimentacion de fruto"/>
  </r>
  <r>
    <x v="557"/>
    <x v="2"/>
    <x v="0"/>
    <d v="1899-12-30T06:00:00"/>
    <d v="1899-12-30T07:50:00"/>
    <n v="1.8333333333333335"/>
    <x v="1"/>
    <x v="2"/>
    <s v="Arranque planta"/>
    <s v="Planta general"/>
    <x v="5"/>
    <s v="Arranque de planta"/>
  </r>
  <r>
    <x v="557"/>
    <x v="2"/>
    <x v="0"/>
    <d v="1899-12-30T07:50:00"/>
    <d v="1899-12-30T08:27:00"/>
    <n v="0.6166666666666667"/>
    <x v="0"/>
    <x v="0"/>
    <s v="Falla mecánica"/>
    <s v="Clarificación"/>
    <x v="39"/>
    <s v="Se partió acople de la bomba"/>
  </r>
  <r>
    <x v="557"/>
    <x v="2"/>
    <x v="0"/>
    <d v="1899-12-30T08:27:00"/>
    <d v="1899-12-30T08:50:00"/>
    <n v="0.38333333333333336"/>
    <x v="0"/>
    <x v="1"/>
    <s v="Falla operativa"/>
    <s v="Desfibración"/>
    <x v="0"/>
    <s v="Falla eléctrica en el motor del transportador rompetorta"/>
  </r>
  <r>
    <x v="557"/>
    <x v="2"/>
    <x v="0"/>
    <d v="1899-12-30T11:32:00"/>
    <d v="1899-12-30T11:55:00"/>
    <n v="0.38333333333333336"/>
    <x v="0"/>
    <x v="1"/>
    <s v="Falla operativa"/>
    <s v="Desfrutado"/>
    <x v="2"/>
    <s v="Limpieza de desfrutador por taponamiento"/>
  </r>
  <r>
    <x v="557"/>
    <x v="2"/>
    <x v="0"/>
    <d v="1899-12-30T19:14:00"/>
    <d v="1899-12-30T19:45:00"/>
    <n v="0.51666666666666672"/>
    <x v="0"/>
    <x v="1"/>
    <s v="Falla operativa"/>
    <s v="Desfrutado"/>
    <x v="2"/>
    <s v="Limpieza de desfrutador por taponamiento"/>
  </r>
  <r>
    <x v="558"/>
    <x v="2"/>
    <x v="0"/>
    <d v="1899-12-30T06:00:00"/>
    <d v="1899-12-30T07:30:00"/>
    <n v="1.5"/>
    <x v="1"/>
    <x v="2"/>
    <s v="Arranque planta"/>
    <s v="Planta general"/>
    <x v="5"/>
    <s v="Arranque de planta"/>
  </r>
  <r>
    <x v="558"/>
    <x v="2"/>
    <x v="0"/>
    <d v="1899-12-30T07:30:00"/>
    <d v="1899-12-30T09:17:00"/>
    <n v="1.7833333333333332"/>
    <x v="0"/>
    <x v="1"/>
    <s v="Falla operativa"/>
    <s v="Planta generación de vapor"/>
    <x v="22"/>
    <s v="Se incluye dentro de la limpieza de caldera, pero se separa porque es un tiempo excesivo de arranque"/>
  </r>
  <r>
    <x v="558"/>
    <x v="2"/>
    <x v="0"/>
    <d v="1899-12-30T07:30:00"/>
    <d v="1899-12-30T09:17:00"/>
    <n v="1.7833333333333332"/>
    <x v="0"/>
    <x v="1"/>
    <s v="Falla operativa"/>
    <s v="Planta generación de vapor"/>
    <x v="22"/>
    <s v="Limpieza"/>
  </r>
  <r>
    <x v="558"/>
    <x v="2"/>
    <x v="0"/>
    <d v="1899-12-30T10:40:00"/>
    <d v="1899-12-30T11:17:00"/>
    <n v="0.30833333333333335"/>
    <x v="0"/>
    <x v="1"/>
    <s v="Falla operativa"/>
    <s v="Desfrutado"/>
    <x v="94"/>
    <s v="Taponamiento"/>
  </r>
  <r>
    <x v="558"/>
    <x v="2"/>
    <x v="0"/>
    <d v="1899-12-30T11:17:00"/>
    <d v="1899-12-30T11:27:00"/>
    <n v="8.3333333333333329E-2"/>
    <x v="0"/>
    <x v="1"/>
    <s v="Falla operativa"/>
    <s v="Palmistería"/>
    <x v="93"/>
    <s v="Silo de nuez lleno"/>
  </r>
  <r>
    <x v="559"/>
    <x v="2"/>
    <x v="1"/>
    <d v="1899-12-30T06:00:00"/>
    <d v="1899-12-30T14:00:00"/>
    <n v="8"/>
    <x v="1"/>
    <x v="2"/>
    <s v="Mantenimiento programado"/>
    <s v="Planta general"/>
    <x v="5"/>
    <s v="Mamtenimiento programado general de la semana"/>
  </r>
  <r>
    <x v="559"/>
    <x v="2"/>
    <x v="1"/>
    <d v="1899-12-30T14:00:00"/>
    <d v="1899-12-30T16:00:00"/>
    <n v="2"/>
    <x v="1"/>
    <x v="2"/>
    <s v="Arranque planta"/>
    <s v="Planta general"/>
    <x v="5"/>
    <s v="-"/>
  </r>
  <r>
    <x v="559"/>
    <x v="2"/>
    <x v="1"/>
    <d v="1899-12-30T17:00:00"/>
    <d v="1899-12-30T17:36:00"/>
    <n v="0.6"/>
    <x v="0"/>
    <x v="1"/>
    <s v="Falla operativa"/>
    <s v="Desfrutado"/>
    <x v="94"/>
    <s v="taponamiento picadora de tusa"/>
  </r>
  <r>
    <x v="559"/>
    <x v="2"/>
    <x v="1"/>
    <d v="1899-12-30T19:10:00"/>
    <d v="1899-12-30T19:42:00"/>
    <n v="0.53333333333333333"/>
    <x v="0"/>
    <x v="1"/>
    <s v="Falla operativa"/>
    <s v="Desfrutado"/>
    <x v="2"/>
    <s v="Taponamiento de tambor con fibra"/>
  </r>
  <r>
    <x v="560"/>
    <x v="2"/>
    <x v="1"/>
    <d v="1899-12-30T06:00:00"/>
    <d v="1899-12-30T13:00:00"/>
    <n v="3.5"/>
    <x v="0"/>
    <x v="3"/>
    <s v="Falta de fruta fresca"/>
    <s v="Planta general"/>
    <x v="5"/>
    <s v="-"/>
  </r>
  <r>
    <x v="560"/>
    <x v="2"/>
    <x v="1"/>
    <d v="1899-12-30T15:08:00"/>
    <d v="1899-12-30T15:29:00"/>
    <n v="0.35"/>
    <x v="0"/>
    <x v="1"/>
    <s v="Falla operativa"/>
    <s v="Desfrutado"/>
    <x v="94"/>
    <s v="taponamiento picadora de tusa"/>
  </r>
  <r>
    <x v="560"/>
    <x v="2"/>
    <x v="1"/>
    <d v="1899-12-30T17:00:00"/>
    <d v="1899-12-30T17:50:00"/>
    <n v="0.83333333333333337"/>
    <x v="0"/>
    <x v="0"/>
    <s v="Falla mecánica"/>
    <s v="Planta generación de vapor"/>
    <x v="95"/>
    <s v="bajo nivel de agua"/>
  </r>
  <r>
    <x v="560"/>
    <x v="2"/>
    <x v="1"/>
    <d v="1899-12-30T17:52:00"/>
    <d v="1899-12-30T18:25:00"/>
    <n v="0.55000000000000004"/>
    <x v="1"/>
    <x v="2"/>
    <s v="Fluído eléctrico"/>
    <s v="Planta general"/>
    <x v="5"/>
    <s v="disparo cañuela por aterrizaje con vegetacion"/>
  </r>
  <r>
    <x v="561"/>
    <x v="2"/>
    <x v="1"/>
    <d v="1899-12-30T06:00:00"/>
    <d v="1899-12-30T22:00:00"/>
    <n v="16"/>
    <x v="1"/>
    <x v="2"/>
    <s v="Mantenimiento programado"/>
    <s v="Planta general"/>
    <x v="5"/>
    <s v="Se programa mantenimiento todo el día en vista de la falta de fruta"/>
  </r>
  <r>
    <x v="562"/>
    <x v="2"/>
    <x v="1"/>
    <d v="1899-12-30T14:00:00"/>
    <d v="1899-12-30T15:20:00"/>
    <n v="1.3333333333333333"/>
    <x v="1"/>
    <x v="2"/>
    <s v="Arranque planta"/>
    <s v="Planta general"/>
    <x v="5"/>
    <s v="Arranque caldera, presion de vapor, estirilizado de fruto"/>
  </r>
  <r>
    <x v="562"/>
    <x v="2"/>
    <x v="1"/>
    <d v="1899-12-30T15:20:00"/>
    <d v="1899-12-30T16:09:00"/>
    <n v="0.81666666666666665"/>
    <x v="0"/>
    <x v="1"/>
    <s v="Falla operativa"/>
    <s v="Desfibración"/>
    <x v="46"/>
    <s v="Taponamiento por fibra humeda"/>
  </r>
  <r>
    <x v="562"/>
    <x v="2"/>
    <x v="1"/>
    <d v="1899-12-30T06:00:00"/>
    <d v="1899-12-30T14:00:00"/>
    <n v="8"/>
    <x v="1"/>
    <x v="2"/>
    <s v="Mantenimiento programado"/>
    <s v="Planta general"/>
    <x v="5"/>
    <s v="Se programa finalización de mtto en vista de la poca fruta "/>
  </r>
  <r>
    <x v="563"/>
    <x v="2"/>
    <x v="1"/>
    <d v="1899-12-30T06:00:00"/>
    <d v="1899-12-30T09:20:00"/>
    <n v="3.3333333333333335"/>
    <x v="1"/>
    <x v="2"/>
    <s v="Arranque planta"/>
    <s v="Planta general"/>
    <x v="5"/>
    <s v="Arranque"/>
  </r>
  <r>
    <x v="563"/>
    <x v="2"/>
    <x v="1"/>
    <d v="1899-12-30T09:46:00"/>
    <d v="1899-12-30T10:32:00"/>
    <n v="0.76666666666666672"/>
    <x v="0"/>
    <x v="1"/>
    <s v="Falla operativa"/>
    <s v="Desfrutado"/>
    <x v="2"/>
    <s v="Taponamiento de tambor con fibra"/>
  </r>
  <r>
    <x v="563"/>
    <x v="2"/>
    <x v="1"/>
    <d v="1899-12-30T11:30:00"/>
    <d v="1899-12-30T18:00:00"/>
    <n v="6.5"/>
    <x v="0"/>
    <x v="0"/>
    <s v="Falla mecánica"/>
    <s v="Desfrutado"/>
    <x v="8"/>
    <s v="Rotura cadena, caida de cadena."/>
  </r>
  <r>
    <x v="564"/>
    <x v="2"/>
    <x v="1"/>
    <d v="1899-12-30T06:00:00"/>
    <d v="1899-12-30T08:32:00"/>
    <n v="2.5333333333333332"/>
    <x v="1"/>
    <x v="2"/>
    <s v="Arranque planta"/>
    <s v="Planta general"/>
    <x v="5"/>
    <s v="Arranque"/>
  </r>
  <r>
    <x v="564"/>
    <x v="2"/>
    <x v="1"/>
    <d v="1899-12-30T09:05:00"/>
    <d v="1899-12-30T09:26:00"/>
    <n v="0.35"/>
    <x v="0"/>
    <x v="1"/>
    <s v="Falla operativa"/>
    <s v="Desfrutado"/>
    <x v="2"/>
    <s v="Taponamiento "/>
  </r>
  <r>
    <x v="564"/>
    <x v="2"/>
    <x v="1"/>
    <d v="1899-12-30T10:32:00"/>
    <d v="1899-12-30T10:52:00"/>
    <n v="0.33333333333333331"/>
    <x v="0"/>
    <x v="1"/>
    <s v="Falla operativa"/>
    <s v="Desfrutado"/>
    <x v="2"/>
    <s v="Taponamiento "/>
  </r>
  <r>
    <x v="564"/>
    <x v="2"/>
    <x v="1"/>
    <d v="1899-12-30T13:36:00"/>
    <d v="1899-12-30T14:03:00"/>
    <n v="0.45"/>
    <x v="0"/>
    <x v="1"/>
    <s v="Falla operativa"/>
    <s v="Desfrutado"/>
    <x v="2"/>
    <s v="Taponamiento "/>
  </r>
  <r>
    <x v="565"/>
    <x v="2"/>
    <x v="1"/>
    <d v="1899-12-30T06:00:00"/>
    <d v="1899-12-30T22:00:00"/>
    <n v="16"/>
    <x v="1"/>
    <x v="2"/>
    <s v="Mantenimiento programado"/>
    <s v="Planta general"/>
    <x v="5"/>
    <s v="mantenimienito general"/>
  </r>
  <r>
    <x v="566"/>
    <x v="2"/>
    <x v="1"/>
    <d v="1899-12-30T06:00:00"/>
    <d v="1899-12-30T08:02:00"/>
    <n v="2.0333333333333332"/>
    <x v="1"/>
    <x v="2"/>
    <s v="Arranque planta"/>
    <s v="Planta general"/>
    <x v="5"/>
    <s v="Arranque"/>
  </r>
  <r>
    <x v="566"/>
    <x v="2"/>
    <x v="1"/>
    <d v="1899-12-30T08:02:00"/>
    <d v="1899-12-30T11:53:00"/>
    <n v="3.85"/>
    <x v="0"/>
    <x v="0"/>
    <s v="Falla mecánica"/>
    <s v="Esterilización "/>
    <x v="36"/>
    <s v="Falla de electroválvula en compuerta de la tolva"/>
  </r>
  <r>
    <x v="566"/>
    <x v="2"/>
    <x v="1"/>
    <d v="1899-12-30T10:00:00"/>
    <d v="1899-12-30T11:53:00"/>
    <n v="1.8833333333333333"/>
    <x v="0"/>
    <x v="0"/>
    <s v="Falla mecánica"/>
    <s v="Esterilización "/>
    <x v="36"/>
    <s v="Falla de electroválvula en compuerta de la tolva"/>
  </r>
  <r>
    <x v="566"/>
    <x v="2"/>
    <x v="1"/>
    <d v="1899-12-30T14:30:00"/>
    <d v="1899-12-30T16:00:00"/>
    <n v="1.5"/>
    <x v="0"/>
    <x v="1"/>
    <s v="Falla operativa"/>
    <s v="Desfrutado"/>
    <x v="2"/>
    <s v="Tapomamiento"/>
  </r>
  <r>
    <x v="566"/>
    <x v="2"/>
    <x v="1"/>
    <d v="1899-12-30T17:40:00"/>
    <d v="1899-12-30T22:18:00"/>
    <n v="4.6333333333333329"/>
    <x v="0"/>
    <x v="0"/>
    <s v="Falla mecánica"/>
    <s v="Esterilización "/>
    <x v="17"/>
    <s v="Se parte oreja de traviesa, provocando caída"/>
  </r>
  <r>
    <x v="567"/>
    <x v="2"/>
    <x v="1"/>
    <d v="1899-12-30T06:00:00"/>
    <d v="1899-12-30T09:56:00"/>
    <n v="3.9333333333333336"/>
    <x v="1"/>
    <x v="2"/>
    <s v="Arranque planta"/>
    <s v="Planta general"/>
    <x v="5"/>
    <s v="Arranque"/>
  </r>
  <r>
    <x v="567"/>
    <x v="2"/>
    <x v="1"/>
    <d v="1899-12-30T11:00:00"/>
    <d v="1899-12-30T11:25:00"/>
    <n v="0.41666666666666669"/>
    <x v="0"/>
    <x v="1"/>
    <s v="Falla operativa"/>
    <s v="Desfrutado"/>
    <x v="94"/>
    <s v="Taponameinto de picadora por desgaste de Knife bars"/>
  </r>
  <r>
    <x v="567"/>
    <x v="2"/>
    <x v="1"/>
    <d v="1899-12-30T15:05:00"/>
    <d v="1899-12-30T15:53:00"/>
    <n v="0.8"/>
    <x v="0"/>
    <x v="0"/>
    <s v="Falla eléctrica"/>
    <s v="Esterilización "/>
    <x v="96"/>
    <s v="Se daña bobina por caída de tensión. Se realiza cambio de bobina "/>
  </r>
  <r>
    <x v="567"/>
    <x v="2"/>
    <x v="1"/>
    <d v="1899-12-30T16:50:00"/>
    <d v="1899-12-30T17:00:00"/>
    <n v="0.16666666666666666"/>
    <x v="0"/>
    <x v="1"/>
    <s v="Falla operativa"/>
    <s v="Desfrutado"/>
    <x v="2"/>
    <m/>
  </r>
  <r>
    <x v="567"/>
    <x v="2"/>
    <x v="1"/>
    <d v="1899-12-30T19:15:00"/>
    <d v="1899-12-30T19:50:00"/>
    <n v="0.58333333333333337"/>
    <x v="0"/>
    <x v="0"/>
    <s v="Falla mecánica"/>
    <s v="Planta generación de vapor"/>
    <x v="42"/>
    <s v="Daño en la bomba en uso y bomba de stand by baja de capacidad"/>
  </r>
  <r>
    <x v="568"/>
    <x v="2"/>
    <x v="1"/>
    <d v="1899-12-30T06:00:00"/>
    <d v="1899-12-30T08:21:00"/>
    <n v="2.35"/>
    <x v="1"/>
    <x v="2"/>
    <s v="Mantenimiento programado"/>
    <s v="Planta general"/>
    <x v="5"/>
    <s v="Mantenimiento "/>
  </r>
  <r>
    <x v="568"/>
    <x v="2"/>
    <x v="1"/>
    <d v="1899-12-30T08:21:00"/>
    <d v="1899-12-30T12:00:00"/>
    <n v="3.65"/>
    <x v="1"/>
    <x v="2"/>
    <s v="Arranque planta"/>
    <s v="Planta general"/>
    <x v="5"/>
    <s v="Arranque"/>
  </r>
  <r>
    <x v="568"/>
    <x v="2"/>
    <x v="1"/>
    <d v="1899-12-30T13:22:00"/>
    <d v="1899-12-30T13:50:00"/>
    <n v="0.46666666666666667"/>
    <x v="0"/>
    <x v="1"/>
    <s v="Falla operativa"/>
    <s v="Desfrutado"/>
    <x v="2"/>
    <s v="Taponamiento "/>
  </r>
  <r>
    <x v="568"/>
    <x v="2"/>
    <x v="1"/>
    <d v="1899-12-30T18:22:00"/>
    <d v="1899-12-30T18:52:00"/>
    <n v="0.25"/>
    <x v="0"/>
    <x v="1"/>
    <s v="Falla operativa"/>
    <s v="Desfrutado"/>
    <x v="2"/>
    <s v="Taponamiento"/>
  </r>
  <r>
    <x v="569"/>
    <x v="2"/>
    <x v="1"/>
    <d v="1899-12-30T06:00:00"/>
    <d v="1899-12-30T10:02:00"/>
    <n v="4.0333333333333332"/>
    <x v="1"/>
    <x v="2"/>
    <s v="Arranque planta"/>
    <s v="Planta general"/>
    <x v="5"/>
    <s v="Arranque de planta (Limpieza de hogar, encendido, esterilización y llenado)"/>
  </r>
  <r>
    <x v="569"/>
    <x v="2"/>
    <x v="1"/>
    <d v="1899-12-30T11:20:00"/>
    <d v="1899-12-30T11:27:00"/>
    <n v="5.8333333333333334E-2"/>
    <x v="0"/>
    <x v="1"/>
    <s v="Falla operativa"/>
    <s v="Desfrutado"/>
    <x v="2"/>
    <s v="Taponamiento Se para solo la prensa 2"/>
  </r>
  <r>
    <x v="569"/>
    <x v="2"/>
    <x v="1"/>
    <d v="1899-12-30T14:46:00"/>
    <d v="1899-12-30T15:25:00"/>
    <n v="0.65"/>
    <x v="0"/>
    <x v="0"/>
    <s v="Falla mecánica"/>
    <s v="Desfrutado"/>
    <x v="8"/>
    <s v="Desencadena"/>
  </r>
  <r>
    <x v="570"/>
    <x v="2"/>
    <x v="1"/>
    <d v="1899-12-30T06:00:00"/>
    <d v="1899-12-30T12:00:00"/>
    <n v="6"/>
    <x v="0"/>
    <x v="3"/>
    <s v="Falta de fruta fresca"/>
    <s v="Planta general"/>
    <x v="5"/>
    <s v="-"/>
  </r>
  <r>
    <x v="570"/>
    <x v="2"/>
    <x v="1"/>
    <d v="1899-12-30T12:00:00"/>
    <d v="1899-12-30T13:45:00"/>
    <n v="1.75"/>
    <x v="1"/>
    <x v="2"/>
    <s v="Arranque planta"/>
    <s v="Planta general"/>
    <x v="5"/>
    <s v="Arranque"/>
  </r>
  <r>
    <x v="570"/>
    <x v="2"/>
    <x v="1"/>
    <d v="1899-12-30T19:38:00"/>
    <d v="1899-12-30T20:02:00"/>
    <n v="0.2"/>
    <x v="0"/>
    <x v="1"/>
    <s v="Falla operativa"/>
    <s v="Palmistería"/>
    <x v="54"/>
    <s v="Taponamiento"/>
  </r>
  <r>
    <x v="571"/>
    <x v="2"/>
    <x v="1"/>
    <d v="1899-12-30T06:00:00"/>
    <d v="1899-12-30T22:00:00"/>
    <n v="8"/>
    <x v="1"/>
    <x v="2"/>
    <s v="Mantenimiento programado"/>
    <s v="Planta general"/>
    <x v="5"/>
    <s v="Mantenimiento general"/>
  </r>
  <r>
    <x v="572"/>
    <x v="2"/>
    <x v="1"/>
    <d v="1899-12-30T06:00:00"/>
    <d v="1899-12-30T09:46:00"/>
    <n v="3.7666666666666666"/>
    <x v="1"/>
    <x v="2"/>
    <s v="Arranque planta"/>
    <s v="Planta general"/>
    <x v="5"/>
    <s v="Arranque"/>
  </r>
  <r>
    <x v="572"/>
    <x v="2"/>
    <x v="1"/>
    <d v="1899-12-30T16:30:00"/>
    <d v="1899-12-30T17:45:00"/>
    <n v="1.25"/>
    <x v="0"/>
    <x v="0"/>
    <s v="Falla mecánica"/>
    <s v="Desfrutado"/>
    <x v="2"/>
    <s v="Se sale cuña de motor al acople del reductor"/>
  </r>
  <r>
    <x v="572"/>
    <x v="2"/>
    <x v="1"/>
    <d v="1899-12-30T15:20:00"/>
    <d v="1899-12-30T15:43:00"/>
    <n v="0.19166666666666668"/>
    <x v="0"/>
    <x v="1"/>
    <s v="Falla operativa"/>
    <s v="Desfrutado"/>
    <x v="2"/>
    <s v="Taponamiento Se para solo la prensa 2"/>
  </r>
  <r>
    <x v="573"/>
    <x v="2"/>
    <x v="1"/>
    <d v="1899-12-30T06:00:00"/>
    <d v="1899-12-30T14:00:00"/>
    <n v="8"/>
    <x v="1"/>
    <x v="2"/>
    <s v="Arranque planta"/>
    <s v="Planta general"/>
    <x v="5"/>
    <s v="Arranque"/>
  </r>
  <r>
    <x v="573"/>
    <x v="2"/>
    <x v="1"/>
    <d v="1899-12-30T14:00:00"/>
    <d v="1899-12-30T16:02:00"/>
    <n v="2.0333333333333332"/>
    <x v="1"/>
    <x v="2"/>
    <s v="Arranque planta"/>
    <s v="Planta general"/>
    <x v="5"/>
    <s v="Arranque"/>
  </r>
  <r>
    <x v="573"/>
    <x v="2"/>
    <x v="1"/>
    <d v="1899-12-30T16:45:00"/>
    <d v="1899-12-30T17:01:00"/>
    <n v="0.26666666666666666"/>
    <x v="0"/>
    <x v="1"/>
    <s v="Falla operativa"/>
    <s v="Clarificación"/>
    <x v="27"/>
    <s v="taponamiento"/>
  </r>
  <r>
    <x v="573"/>
    <x v="2"/>
    <x v="1"/>
    <d v="1899-12-30T20:15:00"/>
    <d v="1899-12-30T20:38:00"/>
    <n v="0.19166666666666668"/>
    <x v="0"/>
    <x v="1"/>
    <s v="Falla operativa"/>
    <s v="Desfrutado"/>
    <x v="2"/>
    <s v="Taponamiento"/>
  </r>
  <r>
    <x v="574"/>
    <x v="2"/>
    <x v="1"/>
    <d v="1899-12-30T06:00:00"/>
    <d v="1899-12-30T09:10:00"/>
    <n v="3.1666666666666665"/>
    <x v="1"/>
    <x v="2"/>
    <s v="Arranque planta"/>
    <s v="Planta general"/>
    <x v="5"/>
    <s v="Arranque"/>
  </r>
  <r>
    <x v="574"/>
    <x v="2"/>
    <x v="1"/>
    <d v="1899-12-30T09:41:00"/>
    <d v="1899-12-30T10:11:00"/>
    <n v="0.5"/>
    <x v="0"/>
    <x v="1"/>
    <s v="Falla operativa"/>
    <s v="Desfrutado"/>
    <x v="2"/>
    <s v="Taponamiento"/>
  </r>
  <r>
    <x v="574"/>
    <x v="2"/>
    <x v="1"/>
    <d v="1899-12-30T13:32:00"/>
    <d v="1899-12-30T14:00:00"/>
    <n v="0.46666666666666667"/>
    <x v="0"/>
    <x v="1"/>
    <s v="Falla operativa"/>
    <s v="Desfrutado"/>
    <x v="2"/>
    <s v="Taponamiento"/>
  </r>
  <r>
    <x v="574"/>
    <x v="2"/>
    <x v="1"/>
    <d v="1899-12-30T17:42:00"/>
    <d v="1899-12-30T19:20:00"/>
    <n v="0.81666666666666665"/>
    <x v="0"/>
    <x v="1"/>
    <s v="Falla operativa"/>
    <s v="Palmistería"/>
    <x v="93"/>
    <s v="Silo de nuez lleno"/>
  </r>
  <r>
    <x v="575"/>
    <x v="2"/>
    <x v="1"/>
    <d v="1899-12-30T06:00:00"/>
    <d v="1899-12-30T14:00:00"/>
    <n v="8"/>
    <x v="0"/>
    <x v="3"/>
    <s v="Falta de fruta fresca"/>
    <s v="Planta general"/>
    <x v="5"/>
    <s v="-"/>
  </r>
  <r>
    <x v="575"/>
    <x v="2"/>
    <x v="1"/>
    <d v="1899-12-30T14:00:00"/>
    <d v="1899-12-30T17:05:00"/>
    <n v="3.0833333333333335"/>
    <x v="1"/>
    <x v="2"/>
    <s v="Arranque planta"/>
    <s v="Planta general"/>
    <x v="5"/>
    <s v="Arranque de planta"/>
  </r>
  <r>
    <x v="575"/>
    <x v="2"/>
    <x v="1"/>
    <d v="1899-12-30T20:04:00"/>
    <d v="1899-12-30T20:29:00"/>
    <n v="0.41666666666666669"/>
    <x v="0"/>
    <x v="3"/>
    <s v="Fluído eléctrico"/>
    <s v="Planta general"/>
    <x v="5"/>
    <s v="-"/>
  </r>
  <r>
    <x v="576"/>
    <x v="2"/>
    <x v="1"/>
    <d v="1899-12-30T06:00:00"/>
    <d v="1899-12-30T22:00:00"/>
    <n v="16"/>
    <x v="1"/>
    <x v="2"/>
    <s v="Mantenimiento programado"/>
    <s v="Planta general"/>
    <x v="5"/>
    <s v="Mantenimiento general"/>
  </r>
  <r>
    <x v="577"/>
    <x v="2"/>
    <x v="1"/>
    <d v="1899-12-30T06:00:00"/>
    <d v="1899-12-30T11:50:00"/>
    <n v="5.833333333333333"/>
    <x v="1"/>
    <x v="2"/>
    <s v="Arranque planta"/>
    <s v="Planta general"/>
    <x v="5"/>
    <s v="Arranque de planta-falta de combustible"/>
  </r>
  <r>
    <x v="577"/>
    <x v="2"/>
    <x v="1"/>
    <d v="1899-12-30T11:50:00"/>
    <d v="1899-12-30T13:35:00"/>
    <n v="0.875"/>
    <x v="0"/>
    <x v="3"/>
    <s v="Falta de fruta fresca"/>
    <s v="Planta general"/>
    <x v="5"/>
    <s v="Se retraso el encendido de la prensa 2, para evitar quedarse sin fruta"/>
  </r>
  <r>
    <x v="577"/>
    <x v="2"/>
    <x v="1"/>
    <d v="1899-12-30T15:10:00"/>
    <d v="1899-12-30T17:10:00"/>
    <n v="2"/>
    <x v="0"/>
    <x v="0"/>
    <s v="Falla eléctrica"/>
    <s v="Desfibración"/>
    <x v="0"/>
    <s v="Se quemó motor"/>
  </r>
  <r>
    <x v="578"/>
    <x v="2"/>
    <x v="1"/>
    <d v="1899-12-30T06:00:00"/>
    <d v="1899-12-30T22:00:00"/>
    <n v="16"/>
    <x v="1"/>
    <x v="2"/>
    <s v="Arranque planta"/>
    <s v="Planta general"/>
    <x v="5"/>
    <s v="Arranque"/>
  </r>
  <r>
    <x v="579"/>
    <x v="2"/>
    <x v="1"/>
    <d v="1899-12-30T06:00:00"/>
    <d v="1899-12-30T08:00:00"/>
    <n v="2"/>
    <x v="1"/>
    <x v="2"/>
    <s v="Arranque planta"/>
    <s v="Planta general"/>
    <x v="5"/>
    <s v="Arranque"/>
  </r>
  <r>
    <x v="579"/>
    <x v="2"/>
    <x v="1"/>
    <d v="1899-12-30T08:00:00"/>
    <d v="1899-12-30T12:25:00"/>
    <n v="4.416666666666667"/>
    <x v="0"/>
    <x v="0"/>
    <s v="Falla eléctrica"/>
    <s v="Desfibración"/>
    <x v="0"/>
    <s v="Montaje de motor del rompetorta"/>
  </r>
  <r>
    <x v="579"/>
    <x v="2"/>
    <x v="1"/>
    <d v="1899-12-30T16:05:00"/>
    <d v="1899-12-30T16:23:00"/>
    <n v="0.3"/>
    <x v="0"/>
    <x v="0"/>
    <s v="Falla mecánica"/>
    <s v="Desfrutado"/>
    <x v="50"/>
    <s v="Tensiona banda de tusas."/>
  </r>
  <r>
    <x v="579"/>
    <x v="2"/>
    <x v="1"/>
    <d v="1899-12-30T19:37:00"/>
    <d v="1899-12-30T20:25:00"/>
    <n v="0.8"/>
    <x v="0"/>
    <x v="0"/>
    <s v="Falla mecánica"/>
    <s v="Esterilización "/>
    <x v="17"/>
    <s v="Se parte cadena del redler transversal"/>
  </r>
  <r>
    <x v="579"/>
    <x v="2"/>
    <x v="1"/>
    <d v="1899-12-30T21:32:00"/>
    <d v="1899-12-30T22:00:00"/>
    <n v="0.46666666666666667"/>
    <x v="0"/>
    <x v="1"/>
    <s v="Falla operativa"/>
    <s v="Planta general"/>
    <x v="5"/>
    <s v="Parada de planta"/>
  </r>
  <r>
    <x v="580"/>
    <x v="2"/>
    <x v="1"/>
    <d v="1899-12-30T06:00:00"/>
    <d v="1899-12-30T08:00:00"/>
    <n v="2"/>
    <x v="1"/>
    <x v="2"/>
    <s v="Arranque planta"/>
    <s v="Planta general"/>
    <x v="5"/>
    <s v="Arranque"/>
  </r>
  <r>
    <x v="580"/>
    <x v="2"/>
    <x v="1"/>
    <d v="1899-12-30T08:00:00"/>
    <d v="1899-12-30T09:30:00"/>
    <n v="1.5"/>
    <x v="0"/>
    <x v="0"/>
    <s v="Falla mecánica"/>
    <s v="Esterilización "/>
    <x v="17"/>
    <s v="Se parte cadena del redler transversal"/>
  </r>
  <r>
    <x v="580"/>
    <x v="2"/>
    <x v="1"/>
    <d v="1899-12-30T09:30:00"/>
    <d v="1899-12-30T11:00:00"/>
    <n v="1.5"/>
    <x v="1"/>
    <x v="2"/>
    <s v="Arranque planta"/>
    <s v="Planta general"/>
    <x v="5"/>
    <s v="Arranque de planta"/>
  </r>
  <r>
    <x v="580"/>
    <x v="2"/>
    <x v="1"/>
    <d v="1899-12-30T14:40:00"/>
    <d v="1899-12-30T14:56:00"/>
    <n v="0.13333333333333333"/>
    <x v="0"/>
    <x v="0"/>
    <s v="Falla mecánica"/>
    <s v="Clarificación"/>
    <x v="37"/>
    <s v="Fuga la tuberia"/>
  </r>
  <r>
    <x v="580"/>
    <x v="2"/>
    <x v="1"/>
    <d v="1899-12-30T14:00:00"/>
    <d v="1899-12-30T14:50:00"/>
    <n v="0.41666666666666669"/>
    <x v="0"/>
    <x v="1"/>
    <s v="Falla operativa"/>
    <s v="Desfrutado"/>
    <x v="2"/>
    <s v="Taponamiento"/>
  </r>
  <r>
    <x v="581"/>
    <x v="2"/>
    <x v="1"/>
    <d v="1899-12-30T06:00:00"/>
    <d v="1899-12-30T15:10:00"/>
    <n v="9.1666666666666661"/>
    <x v="0"/>
    <x v="3"/>
    <s v="Falta de fruta fresca"/>
    <s v="Planta general"/>
    <x v="5"/>
    <s v="-"/>
  </r>
  <r>
    <x v="581"/>
    <x v="2"/>
    <x v="1"/>
    <d v="1899-12-30T18:44:00"/>
    <d v="1899-12-30T22:00:00"/>
    <n v="3.2666666666666666"/>
    <x v="0"/>
    <x v="3"/>
    <s v="Falta de fruta fresca"/>
    <s v="Planta general"/>
    <x v="5"/>
    <s v="-"/>
  </r>
  <r>
    <x v="582"/>
    <x v="2"/>
    <x v="1"/>
    <d v="1899-12-30T06:00:00"/>
    <d v="1899-12-30T22:00:00"/>
    <n v="16"/>
    <x v="1"/>
    <x v="2"/>
    <s v="Mantenimiento programado"/>
    <s v="Planta general"/>
    <x v="5"/>
    <s v="Mantenimiento general de planta "/>
  </r>
  <r>
    <x v="583"/>
    <x v="2"/>
    <x v="1"/>
    <d v="1899-12-30T06:00:00"/>
    <d v="1899-12-30T22:00:00"/>
    <n v="16"/>
    <x v="1"/>
    <x v="2"/>
    <s v="Mantenimiento programado"/>
    <s v="Planta general"/>
    <x v="5"/>
    <s v="Mantenimiento general de planta "/>
  </r>
  <r>
    <x v="584"/>
    <x v="2"/>
    <x v="1"/>
    <d v="1899-12-30T06:00:00"/>
    <d v="1899-12-30T10:18:00"/>
    <n v="4.3"/>
    <x v="1"/>
    <x v="2"/>
    <s v="Arranque planta"/>
    <s v="Planta general"/>
    <x v="5"/>
    <s v="Arranque"/>
  </r>
  <r>
    <x v="584"/>
    <x v="2"/>
    <x v="1"/>
    <d v="1899-12-30T14:00:00"/>
    <d v="1899-12-30T14:22:00"/>
    <n v="0.36666666666666664"/>
    <x v="0"/>
    <x v="0"/>
    <s v="Falla mecánica"/>
    <s v="Desfrutado"/>
    <x v="14"/>
    <s v="Desacadenado"/>
  </r>
  <r>
    <x v="585"/>
    <x v="2"/>
    <x v="2"/>
    <d v="1899-12-30T06:00:00"/>
    <d v="1899-12-30T08:50:00"/>
    <n v="2.8333333333333335"/>
    <x v="1"/>
    <x v="2"/>
    <s v="Arranque planta"/>
    <s v="Planta general"/>
    <x v="5"/>
    <s v="Arranque"/>
  </r>
  <r>
    <x v="585"/>
    <x v="2"/>
    <x v="2"/>
    <d v="1899-12-30T08:50:00"/>
    <d v="1899-12-30T10:40:00"/>
    <n v="0.91666666666666674"/>
    <x v="1"/>
    <x v="2"/>
    <s v="Mantenimiento programado"/>
    <s v="Planta general"/>
    <x v="5"/>
    <s v="CAMBIO DE TORNILLOS"/>
  </r>
  <r>
    <x v="585"/>
    <x v="2"/>
    <x v="2"/>
    <d v="1899-12-30T01:35:00"/>
    <d v="1899-12-30T01:48:00"/>
    <n v="0.10833333333333334"/>
    <x v="0"/>
    <x v="1"/>
    <s v="Falta Fruta esterilizada"/>
    <s v="Digestión y prensado"/>
    <x v="13"/>
    <s v="Se apaga prensa por dosificación en 20 min"/>
  </r>
  <r>
    <x v="585"/>
    <x v="2"/>
    <x v="2"/>
    <d v="1899-12-30T01:35:00"/>
    <d v="1899-12-30T01:48:00"/>
    <n v="0.10833333333333334"/>
    <x v="0"/>
    <x v="1"/>
    <s v="Falta Fruta esterilizada"/>
    <s v="Digestión y prensado"/>
    <x v="13"/>
    <s v="Se apaga prensa por dosificación en 20 min"/>
  </r>
  <r>
    <x v="585"/>
    <x v="2"/>
    <x v="2"/>
    <d v="1899-12-30T14:00:00"/>
    <d v="1899-12-30T14:41:00"/>
    <n v="0.68333333333333335"/>
    <x v="0"/>
    <x v="1"/>
    <s v="Falla operativa"/>
    <s v="Desfrutado"/>
    <x v="1"/>
    <s v="ATASCADO POR PIEDRA"/>
  </r>
  <r>
    <x v="586"/>
    <x v="2"/>
    <x v="2"/>
    <d v="1899-12-30T06:00:00"/>
    <d v="1899-12-30T15:00:00"/>
    <n v="9"/>
    <x v="1"/>
    <x v="2"/>
    <s v="Mantenimiento programado"/>
    <s v="Planta general"/>
    <x v="5"/>
    <s v="Mantenimiento general de planta "/>
  </r>
  <r>
    <x v="587"/>
    <x v="2"/>
    <x v="2"/>
    <d v="1899-12-30T06:00:00"/>
    <d v="1899-12-30T08:00:00"/>
    <n v="2"/>
    <x v="1"/>
    <x v="2"/>
    <s v="Arranque planta"/>
    <s v="Planta general"/>
    <x v="5"/>
    <s v="Arranque"/>
  </r>
  <r>
    <x v="587"/>
    <x v="2"/>
    <x v="2"/>
    <d v="1899-12-30T08:00:00"/>
    <d v="1899-12-30T08:35:00"/>
    <n v="0.29166666666666669"/>
    <x v="1"/>
    <x v="2"/>
    <s v="Arranque planta"/>
    <s v="Planta general"/>
    <x v="5"/>
    <s v="Arranque de planta"/>
  </r>
  <r>
    <x v="587"/>
    <x v="2"/>
    <x v="2"/>
    <d v="1899-12-30T08:00:00"/>
    <d v="1899-12-30T09:25:00"/>
    <n v="0.70833333333333337"/>
    <x v="1"/>
    <x v="2"/>
    <s v="Arranque planta"/>
    <s v="Planta general"/>
    <x v="5"/>
    <s v="Arranque de planta"/>
  </r>
  <r>
    <x v="587"/>
    <x v="2"/>
    <x v="2"/>
    <d v="1899-12-30T16:55:00"/>
    <d v="1899-12-30T17:20:00"/>
    <n v="0.41666666666666669"/>
    <x v="0"/>
    <x v="0"/>
    <s v="Falla mecánica"/>
    <s v="Esterilización "/>
    <x v="17"/>
    <s v="Se parte cadena del redler transversal"/>
  </r>
  <r>
    <x v="587"/>
    <x v="2"/>
    <x v="2"/>
    <d v="1899-12-30T17:51:00"/>
    <d v="1899-12-30T18:33:00"/>
    <n v="0.35"/>
    <x v="0"/>
    <x v="0"/>
    <s v="Falla mecánica"/>
    <s v="Desfrutado"/>
    <x v="92"/>
    <s v="Falla en hidraulico #2 linea tolvas de pesaje - dosififcacion"/>
  </r>
  <r>
    <x v="587"/>
    <x v="2"/>
    <x v="2"/>
    <d v="1899-12-30T17:45:00"/>
    <d v="1899-12-30T20:02:00"/>
    <n v="1.1416666666666666"/>
    <x v="0"/>
    <x v="0"/>
    <s v="Falla mecánica"/>
    <s v="Desfrutado"/>
    <x v="92"/>
    <s v="Falla en hidraulico #2 linea tolvas de pesaje - dosififcacion"/>
  </r>
  <r>
    <x v="588"/>
    <x v="2"/>
    <x v="2"/>
    <d v="1899-12-30T06:00:00"/>
    <d v="1899-12-30T14:00:00"/>
    <n v="8"/>
    <x v="1"/>
    <x v="2"/>
    <s v="Mantenimiento programado"/>
    <s v="Planta general"/>
    <x v="5"/>
    <s v="Mantenimiento general de planta "/>
  </r>
  <r>
    <x v="589"/>
    <x v="2"/>
    <x v="2"/>
    <d v="1899-12-30T14:00:00"/>
    <d v="1899-12-30T16:00:00"/>
    <n v="2"/>
    <x v="1"/>
    <x v="2"/>
    <s v="Arranque planta"/>
    <s v="Planta general"/>
    <x v="5"/>
    <s v="Arranque de planta"/>
  </r>
  <r>
    <x v="589"/>
    <x v="2"/>
    <x v="2"/>
    <d v="1899-12-30T16:00:00"/>
    <d v="1899-12-30T17:43:00"/>
    <n v="0.85833333333333339"/>
    <x v="0"/>
    <x v="0"/>
    <s v="Falla mecánica"/>
    <s v="Desfrutado"/>
    <x v="14"/>
    <s v="Descadenado"/>
  </r>
  <r>
    <x v="589"/>
    <x v="2"/>
    <x v="2"/>
    <d v="1899-12-30T18:10:00"/>
    <d v="1899-12-30T19:06:00"/>
    <n v="0.46666666666666667"/>
    <x v="0"/>
    <x v="0"/>
    <s v="Falla mecánica"/>
    <s v="Desfrutado"/>
    <x v="92"/>
    <s v="No abren compuertas"/>
  </r>
  <r>
    <x v="589"/>
    <x v="2"/>
    <x v="2"/>
    <d v="1899-12-30T17:55:00"/>
    <d v="1899-12-30T19:17:00"/>
    <n v="0.68333333333333335"/>
    <x v="0"/>
    <x v="0"/>
    <s v="Falla mecánica"/>
    <s v="Desfrutado"/>
    <x v="92"/>
    <s v="No abren compuertas"/>
  </r>
  <r>
    <x v="590"/>
    <x v="2"/>
    <x v="2"/>
    <d v="1899-12-30T14:00:00"/>
    <d v="1899-12-30T14:15:00"/>
    <n v="0.25"/>
    <x v="1"/>
    <x v="2"/>
    <s v="Arranque planta"/>
    <s v="Planta general"/>
    <x v="5"/>
    <s v="Arranque de planta"/>
  </r>
  <r>
    <x v="590"/>
    <x v="2"/>
    <x v="2"/>
    <d v="1899-12-30T15:37:00"/>
    <d v="1899-12-30T16:54:00"/>
    <n v="0.64166666666666661"/>
    <x v="0"/>
    <x v="1"/>
    <s v="Falla operativa"/>
    <s v="Digestión y prensado"/>
    <x v="86"/>
    <s v="Falta de fruto esterilizado"/>
  </r>
  <r>
    <x v="591"/>
    <x v="2"/>
    <x v="2"/>
    <d v="1899-12-30T14:00:00"/>
    <d v="1899-12-30T20:00:00"/>
    <n v="6"/>
    <x v="1"/>
    <x v="2"/>
    <s v="Mantenimiento programado"/>
    <s v="Planta general"/>
    <x v="5"/>
    <s v="Mantenimiento general de planta "/>
  </r>
  <r>
    <x v="592"/>
    <x v="2"/>
    <x v="2"/>
    <d v="1899-12-30T12:00:00"/>
    <d v="1899-12-30T12:42:00"/>
    <n v="0.7"/>
    <x v="1"/>
    <x v="2"/>
    <s v="Arranque planta"/>
    <s v="Planta general"/>
    <x v="5"/>
    <s v="Arranque de planta"/>
  </r>
  <r>
    <x v="592"/>
    <x v="2"/>
    <x v="2"/>
    <d v="1899-12-30T13:20:00"/>
    <d v="1899-12-30T13:28:00"/>
    <n v="0.13333333333333333"/>
    <x v="0"/>
    <x v="1"/>
    <s v="Falla operativa"/>
    <s v="Planta generación de vapor"/>
    <x v="9"/>
    <s v="Taponamiento sinfín, queda sin combustible la caldera"/>
  </r>
  <r>
    <x v="593"/>
    <x v="2"/>
    <x v="2"/>
    <d v="1899-12-30T06:00:00"/>
    <d v="1899-12-30T14:00:00"/>
    <n v="8"/>
    <x v="1"/>
    <x v="2"/>
    <s v="Mantenimiento programado"/>
    <s v="Planta general"/>
    <x v="5"/>
    <s v="Mantenimiento general de planta "/>
  </r>
  <r>
    <x v="593"/>
    <x v="2"/>
    <x v="2"/>
    <d v="1899-12-30T14:00:00"/>
    <d v="1899-12-30T14:36:00"/>
    <n v="0.6"/>
    <x v="1"/>
    <x v="2"/>
    <s v="Arranque planta"/>
    <s v="Planta general"/>
    <x v="5"/>
    <s v="Arranque de planta"/>
  </r>
  <r>
    <x v="594"/>
    <x v="2"/>
    <x v="2"/>
    <d v="1899-12-30T06:00:00"/>
    <d v="1899-12-30T14:00:00"/>
    <n v="8"/>
    <x v="1"/>
    <x v="2"/>
    <s v="Mantenimiento programado"/>
    <s v="Planta general"/>
    <x v="5"/>
    <s v="Mantenimiento general de planta "/>
  </r>
  <r>
    <x v="595"/>
    <x v="2"/>
    <x v="2"/>
    <d v="1899-12-30T14:00:00"/>
    <d v="1899-12-30T14:32:00"/>
    <n v="0.53333333333333333"/>
    <x v="1"/>
    <x v="2"/>
    <s v="Arranque planta"/>
    <s v="Planta general"/>
    <x v="5"/>
    <s v="Arranque de planta"/>
  </r>
  <r>
    <x v="595"/>
    <x v="2"/>
    <x v="2"/>
    <d v="1899-12-30T14:32:00"/>
    <d v="1899-12-30T15:20:00"/>
    <n v="0.8"/>
    <x v="0"/>
    <x v="0"/>
    <s v="Falla mecánica"/>
    <s v="Desfrutado"/>
    <x v="8"/>
    <s v="Se sale cadena de transmision"/>
  </r>
  <r>
    <x v="595"/>
    <x v="2"/>
    <x v="2"/>
    <d v="1899-12-30T16:12:00"/>
    <d v="1899-12-30T17:16:00"/>
    <n v="1.0666666666666667"/>
    <x v="0"/>
    <x v="0"/>
    <s v="Falla mecánica"/>
    <s v="Desfrutado"/>
    <x v="8"/>
    <s v="Se sale cadena de transmision"/>
  </r>
  <r>
    <x v="595"/>
    <x v="2"/>
    <x v="2"/>
    <d v="1899-12-30T17:59:00"/>
    <d v="1899-12-30T19:08:00"/>
    <n v="0.57499999999999996"/>
    <x v="0"/>
    <x v="0"/>
    <s v="Falla mecánica"/>
    <s v="Desfrutado"/>
    <x v="8"/>
    <s v="Se sale cadena de transmision"/>
  </r>
  <r>
    <x v="596"/>
    <x v="2"/>
    <x v="2"/>
    <d v="1899-12-30T14:00:00"/>
    <d v="1899-12-30T15:31:00"/>
    <n v="1.5166666666666666"/>
    <x v="1"/>
    <x v="2"/>
    <s v="Arranque planta"/>
    <s v="Planta general"/>
    <x v="5"/>
    <s v="Arranque de planta"/>
  </r>
  <r>
    <x v="596"/>
    <x v="2"/>
    <x v="2"/>
    <d v="1899-12-30T19:02:00"/>
    <d v="1899-12-30T19:09:00"/>
    <n v="0.11666666666666667"/>
    <x v="0"/>
    <x v="1"/>
    <s v="Falla operativa"/>
    <s v="Planta general"/>
    <x v="4"/>
    <s v="Falta de fruto esterilizado"/>
  </r>
  <r>
    <x v="597"/>
    <x v="2"/>
    <x v="2"/>
    <d v="1899-12-30T14:00:00"/>
    <d v="1899-12-30T14:29:00"/>
    <n v="0.48333333333333334"/>
    <x v="1"/>
    <x v="2"/>
    <s v="Arranque planta"/>
    <s v="Planta general"/>
    <x v="5"/>
    <s v="Arranque de planta"/>
  </r>
  <r>
    <x v="597"/>
    <x v="2"/>
    <x v="2"/>
    <d v="1899-12-30T18:12:00"/>
    <d v="1899-12-30T18:31:00"/>
    <n v="0.31666666666666665"/>
    <x v="0"/>
    <x v="1"/>
    <s v="Falla operativa"/>
    <s v="Planta general"/>
    <x v="4"/>
    <s v="Falta de fruto esterilizado"/>
  </r>
  <r>
    <x v="598"/>
    <x v="2"/>
    <x v="2"/>
    <d v="1899-12-30T14:00:00"/>
    <d v="1899-12-30T18:00:00"/>
    <n v="4"/>
    <x v="0"/>
    <x v="0"/>
    <s v="Falla mecánica"/>
    <s v="Planta generación de vapor"/>
    <x v="59"/>
    <s v="Soltura embolo valvula modulante, no se pudo habilitar"/>
  </r>
  <r>
    <x v="526"/>
    <x v="2"/>
    <x v="11"/>
    <d v="1899-12-30T10:00:00"/>
    <d v="1899-12-30T10:42:00"/>
    <n v="0.7"/>
    <x v="1"/>
    <x v="2"/>
    <s v="Arranque planta"/>
    <s v="Planta general"/>
    <x v="5"/>
    <s v="Arranque de planta"/>
  </r>
  <r>
    <x v="599"/>
    <x v="2"/>
    <x v="2"/>
    <d v="1899-12-30T14:00:00"/>
    <d v="1899-12-30T14:40:00"/>
    <n v="0.33333333333333331"/>
    <x v="0"/>
    <x v="1"/>
    <s v="Falla operativa"/>
    <s v="Planta general"/>
    <x v="4"/>
    <s v="Falta de fruto esterilizado"/>
  </r>
  <r>
    <x v="599"/>
    <x v="2"/>
    <x v="2"/>
    <d v="1899-12-30T17:30:00"/>
    <d v="1899-12-30T17:53:00"/>
    <n v="0.19166666666666668"/>
    <x v="0"/>
    <x v="1"/>
    <s v="Falla operativa"/>
    <s v="Planta general"/>
    <x v="4"/>
    <s v="Falta de fruto esterilizado"/>
  </r>
  <r>
    <x v="599"/>
    <x v="2"/>
    <x v="2"/>
    <d v="1899-12-30T14:10:00"/>
    <d v="1899-12-30T15:11:00"/>
    <n v="0.5083333333333333"/>
    <x v="0"/>
    <x v="1"/>
    <s v="Falla operativa"/>
    <s v="Planta general"/>
    <x v="4"/>
    <s v="Falta de fruto esterilizado"/>
  </r>
  <r>
    <x v="599"/>
    <x v="2"/>
    <x v="2"/>
    <d v="1899-12-30T17:27:00"/>
    <d v="1899-12-30T17:51:00"/>
    <n v="0.2"/>
    <x v="0"/>
    <x v="1"/>
    <s v="Falla operativa"/>
    <s v="Planta general"/>
    <x v="4"/>
    <s v="Falta de fruto esterilizado"/>
  </r>
  <r>
    <x v="600"/>
    <x v="2"/>
    <x v="2"/>
    <d v="1899-12-30T08:00:00"/>
    <d v="1899-12-30T11:17:00"/>
    <n v="1.6416666666666666"/>
    <x v="1"/>
    <x v="2"/>
    <s v="Arranque planta"/>
    <s v="Planta general"/>
    <x v="5"/>
    <s v="Arranque de planta"/>
  </r>
  <r>
    <x v="601"/>
    <x v="2"/>
    <x v="2"/>
    <d v="1899-12-30T06:00:00"/>
    <d v="1899-12-30T20:00:00"/>
    <n v="14"/>
    <x v="1"/>
    <x v="2"/>
    <s v="Mantenimiento programado"/>
    <s v="Planta general"/>
    <x v="5"/>
    <s v="Mantenimiento general de planta "/>
  </r>
  <r>
    <x v="602"/>
    <x v="2"/>
    <x v="2"/>
    <d v="1899-12-30T14:00:00"/>
    <d v="1899-12-30T14:15:00"/>
    <n v="0.25"/>
    <x v="1"/>
    <x v="2"/>
    <s v="Arranque planta"/>
    <s v="Planta general"/>
    <x v="5"/>
    <s v="Arranque de planta"/>
  </r>
  <r>
    <x v="602"/>
    <x v="2"/>
    <x v="2"/>
    <d v="1899-12-30T18:30:00"/>
    <d v="1899-12-30T19:05:00"/>
    <n v="0.58333333333333337"/>
    <x v="0"/>
    <x v="5"/>
    <s v="Fluído eléctrico"/>
    <s v="Planta general"/>
    <x v="51"/>
    <s v="Falla fluido electrico"/>
  </r>
  <r>
    <x v="603"/>
    <x v="2"/>
    <x v="2"/>
    <d v="1899-12-30T14:00:00"/>
    <d v="1899-12-30T14:12:00"/>
    <n v="0.2"/>
    <x v="1"/>
    <x v="2"/>
    <s v="Arranque planta"/>
    <s v="Planta general"/>
    <x v="5"/>
    <s v="Arranque de planta"/>
  </r>
  <r>
    <x v="604"/>
    <x v="2"/>
    <x v="2"/>
    <d v="1899-12-30T14:00:00"/>
    <d v="1899-12-30T14:32:00"/>
    <n v="0.53333333333333333"/>
    <x v="1"/>
    <x v="2"/>
    <s v="Arranque planta"/>
    <s v="Planta general"/>
    <x v="5"/>
    <s v="Arranque de planta"/>
  </r>
  <r>
    <x v="605"/>
    <x v="2"/>
    <x v="2"/>
    <d v="1899-12-30T14:00:00"/>
    <d v="1899-12-30T15:01:00"/>
    <n v="1.0166666666666666"/>
    <x v="1"/>
    <x v="2"/>
    <s v="Arranque planta"/>
    <s v="Planta general"/>
    <x v="5"/>
    <s v="Arranque de planta"/>
  </r>
  <r>
    <x v="606"/>
    <x v="2"/>
    <x v="2"/>
    <d v="1899-12-30T06:00:00"/>
    <d v="1899-12-30T09:00:00"/>
    <n v="1.5"/>
    <x v="1"/>
    <x v="2"/>
    <s v="Arranque planta"/>
    <s v="Planta general"/>
    <x v="5"/>
    <s v="Arranque"/>
  </r>
  <r>
    <x v="606"/>
    <x v="2"/>
    <x v="2"/>
    <d v="1899-12-30T09:00:00"/>
    <d v="1899-12-30T10:00:00"/>
    <n v="1"/>
    <x v="0"/>
    <x v="0"/>
    <s v="Falla mecánica"/>
    <s v="Clarificación"/>
    <x v="10"/>
    <s v="Fuga la tuberia de descarga"/>
  </r>
  <r>
    <x v="606"/>
    <x v="2"/>
    <x v="2"/>
    <d v="1899-12-30T10:00:00"/>
    <d v="1899-12-30T10:31:00"/>
    <n v="0.51666666666666672"/>
    <x v="1"/>
    <x v="2"/>
    <s v="Arranque planta"/>
    <s v="Planta general"/>
    <x v="5"/>
    <s v="Fibra humeda con agua"/>
  </r>
  <r>
    <x v="606"/>
    <x v="2"/>
    <x v="2"/>
    <d v="1899-12-30T16:35:00"/>
    <d v="1899-12-30T17:00:00"/>
    <n v="0.41666666666666669"/>
    <x v="0"/>
    <x v="0"/>
    <s v="Falla mecánica"/>
    <s v="Planta generación de vapor"/>
    <x v="97"/>
    <s v="Partio los tornillos d eacople intermedio"/>
  </r>
  <r>
    <x v="606"/>
    <x v="2"/>
    <x v="2"/>
    <d v="1899-12-30T18:42:00"/>
    <d v="1899-12-30T19:16:00"/>
    <n v="0.28333333333333333"/>
    <x v="0"/>
    <x v="1"/>
    <s v="Falla operativa"/>
    <s v="Digestión y prensado"/>
    <x v="86"/>
    <m/>
  </r>
  <r>
    <x v="607"/>
    <x v="2"/>
    <x v="2"/>
    <d v="1899-12-30T07:00:00"/>
    <d v="1899-12-30T08:15:00"/>
    <n v="0.625"/>
    <x v="1"/>
    <x v="2"/>
    <s v="Arranque planta"/>
    <s v="Planta general"/>
    <x v="5"/>
    <s v="Arranque de planta"/>
  </r>
  <r>
    <x v="607"/>
    <x v="2"/>
    <x v="2"/>
    <d v="1899-12-30T18:24:00"/>
    <d v="1899-12-30T20:20:00"/>
    <n v="1.9333333333333333"/>
    <x v="0"/>
    <x v="1"/>
    <s v="Falla operativa"/>
    <s v="Clarificación"/>
    <x v="35"/>
    <s v="Filtro tapado"/>
  </r>
  <r>
    <x v="607"/>
    <x v="2"/>
    <x v="2"/>
    <d v="1899-12-30T08:12:00"/>
    <d v="1899-12-30T08:35:00"/>
    <n v="0.19166666666666668"/>
    <x v="0"/>
    <x v="1"/>
    <s v="Falla operativa"/>
    <s v="Digestión y prensado"/>
    <x v="86"/>
    <m/>
  </r>
  <r>
    <x v="608"/>
    <x v="2"/>
    <x v="3"/>
    <d v="1899-12-30T10:00:00"/>
    <d v="1899-12-30T11:32:00"/>
    <n v="1.5333333333333332"/>
    <x v="1"/>
    <x v="2"/>
    <s v="Arranque planta"/>
    <s v="Planta general"/>
    <x v="5"/>
    <s v="Arranque de planta"/>
  </r>
  <r>
    <x v="608"/>
    <x v="2"/>
    <x v="3"/>
    <d v="1899-12-30T02:00:00"/>
    <d v="1899-12-30T02:27:00"/>
    <n v="0.45"/>
    <x v="0"/>
    <x v="1"/>
    <s v="Falla operativa"/>
    <s v="Desfrutado"/>
    <x v="2"/>
    <s v="Taponamiento"/>
  </r>
  <r>
    <x v="608"/>
    <x v="2"/>
    <x v="3"/>
    <d v="1899-12-30T19:20:00"/>
    <d v="1899-12-30T20:10:00"/>
    <n v="0.83333333333333337"/>
    <x v="0"/>
    <x v="5"/>
    <s v="Falta de fruta fresca"/>
    <s v="Planta general"/>
    <x v="5"/>
    <s v="Falta de Fruta"/>
  </r>
  <r>
    <x v="608"/>
    <x v="2"/>
    <x v="3"/>
    <d v="1899-12-30T16:44:00"/>
    <d v="1899-12-30T18:00:00"/>
    <n v="0.6333333333333333"/>
    <x v="0"/>
    <x v="5"/>
    <s v="Falta de fruta fresca"/>
    <s v="Planta general"/>
    <x v="5"/>
    <s v="Falta de Fruta"/>
  </r>
  <r>
    <x v="609"/>
    <x v="2"/>
    <x v="3"/>
    <d v="1899-12-30T14:00:00"/>
    <d v="1899-12-30T15:10:00"/>
    <n v="1.1666666666666667"/>
    <x v="1"/>
    <x v="2"/>
    <s v="Arranque planta"/>
    <s v="Planta general"/>
    <x v="5"/>
    <s v="Arranque de planta"/>
  </r>
  <r>
    <x v="610"/>
    <x v="2"/>
    <x v="3"/>
    <d v="1899-12-30T19:00:00"/>
    <d v="1899-12-30T20:40:00"/>
    <n v="1.6666666666666665"/>
    <x v="0"/>
    <x v="1"/>
    <s v="Falla operativa"/>
    <s v="Planta general"/>
    <x v="4"/>
    <s v="Falta de fruta esterilizado"/>
  </r>
  <r>
    <x v="611"/>
    <x v="2"/>
    <x v="3"/>
    <d v="1899-12-30T14:00:00"/>
    <d v="1899-12-30T15:00:00"/>
    <n v="1"/>
    <x v="0"/>
    <x v="1"/>
    <s v="Falla operativa"/>
    <s v="Planta general"/>
    <x v="4"/>
    <s v="Falta de fruta esterilizado"/>
  </r>
  <r>
    <x v="612"/>
    <x v="2"/>
    <x v="3"/>
    <d v="1899-12-30T08:00:00"/>
    <d v="1899-12-30T10:00:00"/>
    <n v="2"/>
    <x v="1"/>
    <x v="2"/>
    <s v="Arranque planta"/>
    <s v="Planta general"/>
    <x v="5"/>
    <s v="Arranque de planta"/>
  </r>
  <r>
    <x v="612"/>
    <x v="2"/>
    <x v="3"/>
    <d v="1899-12-30T15:15:00"/>
    <d v="1899-12-30T15:55:00"/>
    <n v="0.66666666666666663"/>
    <x v="0"/>
    <x v="1"/>
    <s v="Falla operativa"/>
    <s v="Planta generación de vapor"/>
    <x v="22"/>
    <s v="Taponamiento ducto de fibras alimentacion"/>
  </r>
  <r>
    <x v="613"/>
    <x v="2"/>
    <x v="3"/>
    <d v="1899-12-30T07:00:00"/>
    <d v="1899-12-30T08:45:00"/>
    <n v="1.75"/>
    <x v="1"/>
    <x v="2"/>
    <s v="Arranque planta"/>
    <s v="Planta general"/>
    <x v="5"/>
    <s v="Arranque de planta"/>
  </r>
  <r>
    <x v="613"/>
    <x v="2"/>
    <x v="3"/>
    <d v="1899-12-30T15:40:00"/>
    <d v="1899-12-30T16:00:00"/>
    <n v="0.33333333333333331"/>
    <x v="0"/>
    <x v="0"/>
    <s v="Falla mecánica"/>
    <s v="Desfrutado"/>
    <x v="50"/>
    <s v="Tensiona banda de tusas."/>
  </r>
  <r>
    <x v="613"/>
    <x v="2"/>
    <x v="3"/>
    <d v="1899-12-30T10:50:00"/>
    <d v="1899-12-30T11:35:00"/>
    <n v="0.375"/>
    <x v="0"/>
    <x v="1"/>
    <s v="Falla operativa"/>
    <s v="Planta general"/>
    <x v="4"/>
    <s v="Falta de fruta esterilizado"/>
  </r>
  <r>
    <x v="614"/>
    <x v="2"/>
    <x v="3"/>
    <d v="1899-12-30T09:40:00"/>
    <d v="1899-12-30T12:05:00"/>
    <n v="1.2083333333333333"/>
    <x v="0"/>
    <x v="0"/>
    <s v="Falla mecánica"/>
    <s v="Esterilización "/>
    <x v="85"/>
    <s v="Guia de Indexer desprendido"/>
  </r>
  <r>
    <x v="614"/>
    <x v="2"/>
    <x v="3"/>
    <d v="1899-12-30T13:00:00"/>
    <d v="1899-12-30T13:45:00"/>
    <n v="0.75"/>
    <x v="0"/>
    <x v="0"/>
    <s v="Falla mecánica"/>
    <s v="Clarificación"/>
    <x v="88"/>
    <s v="Falla acople de bomba a florentinos"/>
  </r>
  <r>
    <x v="614"/>
    <x v="2"/>
    <x v="3"/>
    <d v="1899-12-30T17:10:00"/>
    <d v="1899-12-30T17:50:00"/>
    <n v="0.66666666666666663"/>
    <x v="0"/>
    <x v="0"/>
    <s v="Falla mecánica"/>
    <s v="Desfibración"/>
    <x v="97"/>
    <s v="Rotura de tornillos de acople intermedio"/>
  </r>
  <r>
    <x v="615"/>
    <x v="2"/>
    <x v="3"/>
    <d v="1899-12-30T16:50:00"/>
    <d v="1899-12-30T17:05:00"/>
    <n v="0.125"/>
    <x v="0"/>
    <x v="1"/>
    <s v="Falla operativa"/>
    <s v="Planta general"/>
    <x v="4"/>
    <s v="Falta de fruta esterilizado"/>
  </r>
  <r>
    <x v="616"/>
    <x v="2"/>
    <x v="3"/>
    <d v="1899-12-30T15:00:00"/>
    <d v="1899-12-30T15:37:00"/>
    <n v="0.6166666666666667"/>
    <x v="0"/>
    <x v="1"/>
    <s v="Falla operativa"/>
    <s v="Planta general"/>
    <x v="4"/>
    <s v="Falta de fruta esterilizado"/>
  </r>
  <r>
    <x v="617"/>
    <x v="2"/>
    <x v="3"/>
    <d v="1899-12-30T15:25:00"/>
    <d v="1899-12-30T15:41:00"/>
    <n v="0.13333333333333333"/>
    <x v="0"/>
    <x v="1"/>
    <s v="Falla operativa"/>
    <s v="Planta general"/>
    <x v="4"/>
    <s v="Falta de fruta esterilizado"/>
  </r>
  <r>
    <x v="617"/>
    <x v="2"/>
    <x v="3"/>
    <d v="1899-12-30T14:57:00"/>
    <d v="1899-12-30T15:40:00"/>
    <n v="0.35833333333333334"/>
    <x v="0"/>
    <x v="1"/>
    <s v="Falla operativa"/>
    <s v="Planta general"/>
    <x v="4"/>
    <s v="Falta de fruta esterilizado"/>
  </r>
  <r>
    <x v="618"/>
    <x v="2"/>
    <x v="3"/>
    <d v="1899-12-30T14:00:00"/>
    <d v="1899-12-30T16:30:00"/>
    <n v="2.5"/>
    <x v="1"/>
    <x v="2"/>
    <s v="Arranque planta"/>
    <s v="Planta general"/>
    <x v="5"/>
    <s v="Arranque de planta"/>
  </r>
  <r>
    <x v="619"/>
    <x v="2"/>
    <x v="3"/>
    <d v="1899-12-30T14:00:00"/>
    <d v="1899-12-30T14:27:00"/>
    <n v="0.22500000000000001"/>
    <x v="0"/>
    <x v="0"/>
    <s v="Falla mecánica"/>
    <s v="Esterilización "/>
    <x v="14"/>
    <s v="Descadenado"/>
  </r>
  <r>
    <x v="619"/>
    <x v="2"/>
    <x v="3"/>
    <d v="1899-12-30T11:27:00"/>
    <d v="1899-12-30T13:10:00"/>
    <n v="0.85833333333333339"/>
    <x v="0"/>
    <x v="0"/>
    <s v="Falla mecánica"/>
    <s v="Esterilización "/>
    <x v="14"/>
    <s v="Descadenado"/>
  </r>
  <r>
    <x v="619"/>
    <x v="2"/>
    <x v="3"/>
    <d v="1899-12-30T14:00:00"/>
    <d v="1899-12-30T14:27:00"/>
    <n v="0.22500000000000001"/>
    <x v="0"/>
    <x v="0"/>
    <s v="Falla mecánica"/>
    <s v="Esterilización "/>
    <x v="14"/>
    <s v="Descadenado"/>
  </r>
  <r>
    <x v="620"/>
    <x v="2"/>
    <x v="4"/>
    <d v="1899-12-30T14:00:00"/>
    <d v="1899-12-30T15:07:00"/>
    <n v="1.1166666666666667"/>
    <x v="1"/>
    <x v="2"/>
    <s v="Arranque planta"/>
    <s v="Planta general"/>
    <x v="5"/>
    <s v="Arranque de planta"/>
  </r>
  <r>
    <x v="620"/>
    <x v="2"/>
    <x v="4"/>
    <d v="1899-12-30T17:00:00"/>
    <d v="1899-12-30T17:24:00"/>
    <n v="0.4"/>
    <x v="0"/>
    <x v="3"/>
    <s v="Fluído eléctrico"/>
    <s v="Planta general"/>
    <x v="51"/>
    <s v="Falla fluido electrico, se tapa esclusa de fibras"/>
  </r>
  <r>
    <x v="620"/>
    <x v="2"/>
    <x v="4"/>
    <d v="1899-12-30T15:45:00"/>
    <d v="1899-12-30T17:00:00"/>
    <n v="0.625"/>
    <x v="0"/>
    <x v="1"/>
    <s v="Falla operativa"/>
    <s v="Planta general"/>
    <x v="4"/>
    <s v="Falta de fruta esterilizado"/>
  </r>
  <r>
    <x v="620"/>
    <x v="2"/>
    <x v="4"/>
    <d v="1899-12-30T17:47:00"/>
    <d v="1899-12-30T18:30:00"/>
    <n v="0.35833333333333334"/>
    <x v="0"/>
    <x v="0"/>
    <s v="Falla mecánica"/>
    <s v="Esterilización "/>
    <x v="78"/>
    <s v="Cilindro hidraulico torcido"/>
  </r>
  <r>
    <x v="620"/>
    <x v="2"/>
    <x v="4"/>
    <d v="1899-12-30T19:40:00"/>
    <d v="1899-12-30T20:18:00"/>
    <n v="0.31666666666666665"/>
    <x v="0"/>
    <x v="1"/>
    <s v="Falla operativa"/>
    <s v="Planta general"/>
    <x v="4"/>
    <s v="Falta de fruta esterilizado"/>
  </r>
  <r>
    <x v="621"/>
    <x v="2"/>
    <x v="4"/>
    <d v="1899-12-30T14:00:00"/>
    <d v="1899-12-30T15:10:00"/>
    <n v="1.1666666666666667"/>
    <x v="1"/>
    <x v="2"/>
    <s v="Arranque planta"/>
    <s v="Planta general"/>
    <x v="5"/>
    <s v="Arranque de planta"/>
  </r>
  <r>
    <x v="621"/>
    <x v="2"/>
    <x v="4"/>
    <d v="1899-12-30T15:30:00"/>
    <d v="1899-12-30T16:09:00"/>
    <n v="0.32500000000000001"/>
    <x v="0"/>
    <x v="0"/>
    <s v="Falla mecánica"/>
    <s v="Desfibración"/>
    <x v="98"/>
    <s v="Conato incendio"/>
  </r>
  <r>
    <x v="621"/>
    <x v="2"/>
    <x v="4"/>
    <d v="1899-12-30T18:00:00"/>
    <d v="1899-12-30T19:15:00"/>
    <n v="1.25"/>
    <x v="0"/>
    <x v="0"/>
    <s v="Falla mecánica"/>
    <s v="Desfibración"/>
    <x v="98"/>
    <s v="Conato incendio"/>
  </r>
  <r>
    <x v="622"/>
    <x v="2"/>
    <x v="4"/>
    <d v="1899-12-30T13:50:00"/>
    <d v="1899-12-30T17:17:00"/>
    <n v="1.7250000000000001"/>
    <x v="0"/>
    <x v="3"/>
    <s v="Falta de fruta fresca"/>
    <s v="Planta general"/>
    <x v="5"/>
    <s v="Falta de Fruta en planta"/>
  </r>
  <r>
    <x v="622"/>
    <x v="2"/>
    <x v="4"/>
    <d v="1899-12-30T17:52:00"/>
    <d v="1899-12-30T19:07:00"/>
    <n v="0.625"/>
    <x v="0"/>
    <x v="3"/>
    <s v="Falta de fruta fresca"/>
    <s v="Planta general"/>
    <x v="5"/>
    <s v="Falta de Fruta en planta"/>
  </r>
  <r>
    <x v="622"/>
    <x v="2"/>
    <x v="4"/>
    <d v="1899-12-30T19:33:00"/>
    <d v="1899-12-30T21:01:00"/>
    <n v="0.73333333333333339"/>
    <x v="0"/>
    <x v="3"/>
    <s v="Falta de fruta fresca"/>
    <s v="Planta general"/>
    <x v="5"/>
    <s v="Falta de Fruta en planta"/>
  </r>
  <r>
    <x v="622"/>
    <x v="2"/>
    <x v="4"/>
    <d v="1899-12-30T13:51:00"/>
    <d v="1899-12-30T19:15:00"/>
    <n v="2.7"/>
    <x v="0"/>
    <x v="3"/>
    <s v="Falta de fruta fresca"/>
    <s v="Planta general"/>
    <x v="5"/>
    <s v="Falta de Fruta en planta"/>
  </r>
  <r>
    <x v="622"/>
    <x v="2"/>
    <x v="4"/>
    <d v="1899-12-30T19:40:00"/>
    <d v="1899-12-30T21:07:00"/>
    <n v="0.72499999999999998"/>
    <x v="0"/>
    <x v="3"/>
    <s v="Falta de fruta fresca"/>
    <s v="Planta general"/>
    <x v="5"/>
    <s v="Falta de Fruta en planta"/>
  </r>
  <r>
    <x v="623"/>
    <x v="2"/>
    <x v="4"/>
    <d v="1899-12-30T09:00:00"/>
    <d v="1899-12-30T09:23:00"/>
    <n v="0.38333333333333336"/>
    <x v="1"/>
    <x v="2"/>
    <s v="Arranque planta"/>
    <s v="Planta general"/>
    <x v="5"/>
    <s v="Arranque de planta"/>
  </r>
  <r>
    <x v="624"/>
    <x v="2"/>
    <x v="4"/>
    <d v="1899-12-30T14:52:00"/>
    <d v="1899-12-30T15:49:00"/>
    <n v="0.47499999999999998"/>
    <x v="0"/>
    <x v="0"/>
    <s v="Falla mecánica"/>
    <s v="Clarificación"/>
    <x v="88"/>
    <s v="Rotura de acople"/>
  </r>
  <r>
    <x v="624"/>
    <x v="2"/>
    <x v="4"/>
    <d v="1899-12-30T14:10:00"/>
    <d v="1899-12-30T14:22:00"/>
    <n v="0.1"/>
    <x v="0"/>
    <x v="1"/>
    <s v="Falla operativa"/>
    <s v="Desfrutado"/>
    <x v="94"/>
    <s v="Taponamiento fibras descarga prensa"/>
  </r>
  <r>
    <x v="624"/>
    <x v="2"/>
    <x v="4"/>
    <d v="1899-12-30T14:52:00"/>
    <d v="1899-12-30T16:07:00"/>
    <n v="0.625"/>
    <x v="0"/>
    <x v="0"/>
    <s v="Falla mecánica"/>
    <s v="Clarificación"/>
    <x v="88"/>
    <s v="Rotura de acople"/>
  </r>
  <r>
    <x v="624"/>
    <x v="2"/>
    <x v="4"/>
    <d v="1899-12-30T16:30:00"/>
    <d v="1899-12-30T16:55:00"/>
    <n v="0.20833333333333334"/>
    <x v="0"/>
    <x v="1"/>
    <s v="Falla operativa"/>
    <s v="Planta general"/>
    <x v="4"/>
    <s v="Falta de fruta esterilizado"/>
  </r>
  <r>
    <x v="625"/>
    <x v="2"/>
    <x v="4"/>
    <d v="1899-12-30T01:29:00"/>
    <d v="1899-12-30T01:52:00"/>
    <n v="0.38333333333333336"/>
    <x v="0"/>
    <x v="1"/>
    <s v="Falla operativa"/>
    <s v="Desfibración"/>
    <x v="46"/>
    <s v="Taponamiento"/>
  </r>
  <r>
    <x v="626"/>
    <x v="2"/>
    <x v="4"/>
    <d v="1899-12-30T02:00:00"/>
    <d v="1899-12-30T04:30:00"/>
    <n v="2.5"/>
    <x v="0"/>
    <x v="3"/>
    <s v="Falta de fruta fresca"/>
    <s v="Planta general"/>
    <x v="5"/>
    <s v="Falta de Fruta en planta"/>
  </r>
  <r>
    <x v="627"/>
    <x v="2"/>
    <x v="4"/>
    <d v="1899-12-30T02:00:00"/>
    <d v="1899-12-30T03:15:00"/>
    <n v="1.25"/>
    <x v="1"/>
    <x v="2"/>
    <s v="Arranque planta"/>
    <s v="Planta general"/>
    <x v="5"/>
    <s v="Arranque de planta"/>
  </r>
  <r>
    <x v="628"/>
    <x v="2"/>
    <x v="4"/>
    <d v="1899-12-30T02:00:00"/>
    <d v="1899-12-30T06:50:00"/>
    <n v="2.4166666666666665"/>
    <x v="0"/>
    <x v="0"/>
    <s v="Falla mecánica"/>
    <s v="Desfrutado"/>
    <x v="14"/>
    <s v="Cambio de piñones conductores x mtto"/>
  </r>
  <r>
    <x v="629"/>
    <x v="2"/>
    <x v="4"/>
    <d v="1899-12-30T14:00:00"/>
    <d v="1899-12-30T18:10:00"/>
    <n v="2.0833333333333335"/>
    <x v="0"/>
    <x v="3"/>
    <s v="Falta de fruta fresca"/>
    <s v="Planta general"/>
    <x v="5"/>
    <s v="Falta de Fruta en planta"/>
  </r>
  <r>
    <x v="629"/>
    <x v="2"/>
    <x v="4"/>
    <d v="1899-12-30T18:50:00"/>
    <d v="1899-12-30T21:00:00"/>
    <n v="1.0833333333333333"/>
    <x v="0"/>
    <x v="1"/>
    <s v="Falla operativa"/>
    <s v="Clarificación"/>
    <x v="35"/>
    <s v="Taponamiento de filtros cepillos"/>
  </r>
  <r>
    <x v="629"/>
    <x v="2"/>
    <x v="4"/>
    <d v="1899-12-30T14:00:00"/>
    <d v="1899-12-30T17:00:00"/>
    <n v="1.5"/>
    <x v="0"/>
    <x v="3"/>
    <s v="Falta de fruta fresca"/>
    <s v="Planta general"/>
    <x v="5"/>
    <s v="Falta de Fruta en planta"/>
  </r>
  <r>
    <x v="629"/>
    <x v="2"/>
    <x v="4"/>
    <d v="1899-12-30T20:00:00"/>
    <d v="1899-12-30T21:00:00"/>
    <n v="0.5"/>
    <x v="0"/>
    <x v="1"/>
    <s v="Falla operativa"/>
    <s v="Clarificación"/>
    <x v="35"/>
    <s v="Taponamiento de filtros cepillos"/>
  </r>
  <r>
    <x v="630"/>
    <x v="2"/>
    <x v="4"/>
    <d v="1899-12-30T17:25:00"/>
    <d v="1899-12-30T18:02:00"/>
    <n v="0.6166666666666667"/>
    <x v="0"/>
    <x v="0"/>
    <s v="Falla mecánica"/>
    <s v="Desfibración"/>
    <x v="9"/>
    <s v="Partio los tornillos d eacople intermedio"/>
  </r>
  <r>
    <x v="631"/>
    <x v="2"/>
    <x v="4"/>
    <d v="1899-12-30T10:32:00"/>
    <d v="1899-12-30T13:17:00"/>
    <n v="2.75"/>
    <x v="0"/>
    <x v="1"/>
    <s v="Falla operativa"/>
    <s v="Esterilización "/>
    <x v="92"/>
    <s v="Se dosifico fruto sin esterilizar a tolvas "/>
  </r>
  <r>
    <x v="631"/>
    <x v="2"/>
    <x v="4"/>
    <d v="1899-12-30T16:50:00"/>
    <d v="1899-12-30T17:10:00"/>
    <n v="0.33333333333333331"/>
    <x v="0"/>
    <x v="1"/>
    <s v="Falla operativa"/>
    <s v="Desfrutado"/>
    <x v="94"/>
    <s v="taponamiento de prensa "/>
  </r>
  <r>
    <x v="631"/>
    <x v="2"/>
    <x v="4"/>
    <d v="1899-12-30T14:40:00"/>
    <d v="1899-12-30T15:37:00"/>
    <n v="0.47499999999999998"/>
    <x v="0"/>
    <x v="1"/>
    <s v="Falla operativa"/>
    <s v="Planta general"/>
    <x v="4"/>
    <s v="Atraso en esterilizacion por fruto en tolva"/>
  </r>
  <r>
    <x v="631"/>
    <x v="2"/>
    <x v="4"/>
    <d v="1899-12-30T18:30:00"/>
    <d v="1899-12-30T19:25:00"/>
    <n v="0.45833333333333331"/>
    <x v="0"/>
    <x v="0"/>
    <s v="Falla mecánica"/>
    <s v="Desfrutado"/>
    <x v="18"/>
    <s v="descadenamiento de redler"/>
  </r>
  <r>
    <x v="632"/>
    <x v="2"/>
    <x v="5"/>
    <d v="1899-12-30T18:30:00"/>
    <d v="1899-12-30T19:07:00"/>
    <n v="0.30833333333333335"/>
    <x v="0"/>
    <x v="3"/>
    <s v="Falta de fruta fresca"/>
    <s v="Planta general"/>
    <x v="5"/>
    <s v="Falta de Fruta en planta"/>
  </r>
  <r>
    <x v="633"/>
    <x v="2"/>
    <x v="5"/>
    <d v="1899-12-30T10:38:00"/>
    <d v="1899-12-30T11:10:00"/>
    <n v="0.53333333333333333"/>
    <x v="0"/>
    <x v="0"/>
    <s v="Falla mecánica"/>
    <s v="Clarificación"/>
    <x v="88"/>
    <s v="Taponamiento"/>
  </r>
  <r>
    <x v="633"/>
    <x v="2"/>
    <x v="5"/>
    <d v="1899-12-30T09:22:00"/>
    <d v="1899-12-30T09:45:00"/>
    <n v="0.19166666666666668"/>
    <x v="0"/>
    <x v="1"/>
    <s v="Falla operativa"/>
    <s v="Planta general"/>
    <x v="4"/>
    <s v="Atraso en esterilizacion por fruto en tolva"/>
  </r>
  <r>
    <x v="633"/>
    <x v="2"/>
    <x v="5"/>
    <d v="1899-12-30T13:28:00"/>
    <d v="1899-12-30T13:45:00"/>
    <n v="0.14166666666666666"/>
    <x v="0"/>
    <x v="1"/>
    <s v="Falla operativa"/>
    <s v="Planta general"/>
    <x v="4"/>
    <s v="Atraso en esterilizacion por fruto en tolva"/>
  </r>
  <r>
    <x v="633"/>
    <x v="2"/>
    <x v="5"/>
    <d v="1899-12-30T14:00:00"/>
    <d v="1899-12-30T14:30:00"/>
    <n v="0.25"/>
    <x v="0"/>
    <x v="1"/>
    <s v="Falla operativa"/>
    <s v="Desfrutado"/>
    <x v="94"/>
    <s v="taponamiento de prensa "/>
  </r>
  <r>
    <x v="633"/>
    <x v="2"/>
    <x v="5"/>
    <d v="1899-12-30T16:07:00"/>
    <d v="1899-12-30T16:42:00"/>
    <n v="0.29166666666666669"/>
    <x v="0"/>
    <x v="1"/>
    <s v="Falla operativa"/>
    <s v="Planta general"/>
    <x v="4"/>
    <s v="Atraso en esterilizacion por fruto en tolva"/>
  </r>
  <r>
    <x v="633"/>
    <x v="2"/>
    <x v="5"/>
    <d v="1899-12-30T17:53:00"/>
    <d v="1899-12-30T18:30:00"/>
    <n v="0.30833333333333335"/>
    <x v="0"/>
    <x v="1"/>
    <s v="Falla operativa"/>
    <s v="Planta general"/>
    <x v="4"/>
    <s v="Atraso en esterilizacion por fruto en tolva"/>
  </r>
  <r>
    <x v="634"/>
    <x v="2"/>
    <x v="5"/>
    <d v="1899-12-30T18:45:00"/>
    <d v="1899-12-30T19:00:00"/>
    <n v="0.125"/>
    <x v="0"/>
    <x v="0"/>
    <s v="Falla mecánica"/>
    <s v="Desfrutado"/>
    <x v="2"/>
    <s v="falla electrica"/>
  </r>
  <r>
    <x v="635"/>
    <x v="2"/>
    <x v="5"/>
    <d v="1899-12-30T18:20:00"/>
    <d v="1899-12-30T18:48:00"/>
    <n v="0.46666666666666667"/>
    <x v="0"/>
    <x v="3"/>
    <s v="Falta de fruta fresca"/>
    <s v="Planta general"/>
    <x v="5"/>
    <s v="Falta de Fruta en planta"/>
  </r>
  <r>
    <x v="635"/>
    <x v="2"/>
    <x v="5"/>
    <d v="1899-12-30T19:33:00"/>
    <d v="1899-12-30T20:08:00"/>
    <n v="0.58333333333333337"/>
    <x v="0"/>
    <x v="3"/>
    <s v="Falta de fruta fresca"/>
    <s v="Planta general"/>
    <x v="5"/>
    <s v="Falta de Fruta en planta"/>
  </r>
  <r>
    <x v="636"/>
    <x v="2"/>
    <x v="5"/>
    <d v="1899-12-30T13:30:00"/>
    <d v="1899-12-30T15:30:00"/>
    <n v="1"/>
    <x v="0"/>
    <x v="0"/>
    <s v="Falla mecánica"/>
    <s v="Desfrutado"/>
    <x v="14"/>
    <s v="descadenado"/>
  </r>
  <r>
    <x v="636"/>
    <x v="2"/>
    <x v="5"/>
    <d v="1899-12-30T15:52:00"/>
    <d v="1899-12-30T16:37:00"/>
    <n v="0.375"/>
    <x v="0"/>
    <x v="1"/>
    <s v="Falla operativa"/>
    <s v="Planta general"/>
    <x v="4"/>
    <s v="Atraso en esterilizacion por redler caido"/>
  </r>
  <r>
    <x v="636"/>
    <x v="2"/>
    <x v="5"/>
    <d v="1899-12-30T15:52:00"/>
    <d v="1899-12-30T17:05:00"/>
    <n v="0.60833333333333339"/>
    <x v="0"/>
    <x v="1"/>
    <s v="Falla operativa"/>
    <s v="Planta general"/>
    <x v="4"/>
    <s v="Atraso en esterilizacion por redler caido"/>
  </r>
  <r>
    <x v="636"/>
    <x v="2"/>
    <x v="5"/>
    <d v="1899-12-30T18:14:00"/>
    <d v="1899-12-30T18:37:00"/>
    <n v="0.19166666666666668"/>
    <x v="0"/>
    <x v="1"/>
    <s v="Falla operativa"/>
    <s v="Planta general"/>
    <x v="4"/>
    <s v="Atraso en esterilizacion por redler caido"/>
  </r>
  <r>
    <x v="637"/>
    <x v="2"/>
    <x v="5"/>
    <d v="1899-12-30T17:40:00"/>
    <d v="1899-12-30T18:07:00"/>
    <n v="0.22500000000000001"/>
    <x v="0"/>
    <x v="1"/>
    <s v="Falla operativa"/>
    <s v="Planta general"/>
    <x v="4"/>
    <s v="falta de fruta"/>
  </r>
  <r>
    <x v="637"/>
    <x v="2"/>
    <x v="5"/>
    <d v="1899-12-30T11:50:00"/>
    <d v="1899-12-30T12:25:00"/>
    <n v="0.29166666666666669"/>
    <x v="0"/>
    <x v="1"/>
    <s v="Falla operativa"/>
    <s v="Planta general"/>
    <x v="4"/>
    <s v="falta de fruta"/>
  </r>
  <r>
    <x v="637"/>
    <x v="2"/>
    <x v="5"/>
    <d v="1899-12-30T14:50:00"/>
    <d v="1899-12-30T15:17:00"/>
    <n v="0.22500000000000001"/>
    <x v="0"/>
    <x v="1"/>
    <s v="Falla operativa"/>
    <s v="Planta general"/>
    <x v="4"/>
    <s v="falta de fruta"/>
  </r>
  <r>
    <x v="637"/>
    <x v="2"/>
    <x v="5"/>
    <d v="1899-12-30T17:00:00"/>
    <d v="1899-12-30T19:22:00"/>
    <n v="1.1833333333333333"/>
    <x v="0"/>
    <x v="1"/>
    <s v="Falla operativa"/>
    <s v="Planta general"/>
    <x v="4"/>
    <s v="falta de fruta"/>
  </r>
  <r>
    <x v="637"/>
    <x v="2"/>
    <x v="5"/>
    <d v="1899-12-30T19:50:00"/>
    <d v="1899-12-30T20:39:00"/>
    <n v="0.40833333333333333"/>
    <x v="0"/>
    <x v="1"/>
    <s v="Falla operativa"/>
    <s v="Planta general"/>
    <x v="4"/>
    <s v="falta de fruta"/>
  </r>
  <r>
    <x v="637"/>
    <x v="2"/>
    <x v="5"/>
    <d v="1899-12-30T22:11:00"/>
    <d v="1899-12-30T22:26:00"/>
    <n v="0.125"/>
    <x v="0"/>
    <x v="1"/>
    <s v="Falla operativa"/>
    <s v="Planta general"/>
    <x v="4"/>
    <s v="falta de fruta"/>
  </r>
  <r>
    <x v="638"/>
    <x v="2"/>
    <x v="5"/>
    <d v="1899-12-30T16:48:00"/>
    <d v="1899-12-30T17:50:00"/>
    <n v="0.51666666666666672"/>
    <x v="0"/>
    <x v="1"/>
    <s v="Falla operativa"/>
    <s v="Planta general"/>
    <x v="4"/>
    <s v="falta de fruta"/>
  </r>
  <r>
    <x v="638"/>
    <x v="2"/>
    <x v="5"/>
    <d v="1899-12-30T19:31:00"/>
    <d v="1899-12-30T20:25:00"/>
    <n v="0.45"/>
    <x v="0"/>
    <x v="1"/>
    <s v="Falla operativa"/>
    <s v="Planta general"/>
    <x v="4"/>
    <s v="falta de fruta"/>
  </r>
  <r>
    <x v="639"/>
    <x v="2"/>
    <x v="5"/>
    <d v="1899-12-30T15:25:00"/>
    <d v="1899-12-30T15:41:00"/>
    <n v="0.13333333333333333"/>
    <x v="0"/>
    <x v="1"/>
    <s v="Falla operativa"/>
    <s v="Desfrutado"/>
    <x v="99"/>
    <s v="taponamiento"/>
  </r>
  <r>
    <x v="639"/>
    <x v="2"/>
    <x v="5"/>
    <d v="1899-12-30T16:10:00"/>
    <d v="1899-12-30T17:13:00"/>
    <n v="1.05"/>
    <x v="0"/>
    <x v="0"/>
    <s v="Falla mecánica"/>
    <s v="Clarificación"/>
    <x v="55"/>
    <s v="corrido malla"/>
  </r>
  <r>
    <x v="639"/>
    <x v="2"/>
    <x v="5"/>
    <d v="1899-12-30T15:13:00"/>
    <d v="1899-12-30T15:50:00"/>
    <n v="0.30833333333333335"/>
    <x v="0"/>
    <x v="1"/>
    <s v="Falla operativa"/>
    <s v="Desfrutado"/>
    <x v="94"/>
    <s v="taponamiento"/>
  </r>
  <r>
    <x v="639"/>
    <x v="2"/>
    <x v="5"/>
    <d v="1899-12-30T18:20:00"/>
    <d v="1899-12-30T19:57:00"/>
    <n v="0.80833333333333335"/>
    <x v="0"/>
    <x v="1"/>
    <s v="Falla operativa"/>
    <s v="Planta general"/>
    <x v="4"/>
    <s v="falta de fruta"/>
  </r>
  <r>
    <x v="640"/>
    <x v="2"/>
    <x v="5"/>
    <d v="1899-12-30T18:03:00"/>
    <d v="1899-12-30T20:02:00"/>
    <n v="1.9833333333333334"/>
    <x v="0"/>
    <x v="0"/>
    <s v="Falla mecánica"/>
    <s v="Desfibración"/>
    <x v="0"/>
    <s v="disparo por recalentamiento motor"/>
  </r>
  <r>
    <x v="640"/>
    <x v="2"/>
    <x v="5"/>
    <d v="1899-12-30T21:01:00"/>
    <d v="1899-12-30T22:34:00"/>
    <n v="1.55"/>
    <x v="0"/>
    <x v="0"/>
    <s v="Falla mecánica"/>
    <s v="Desfibración"/>
    <x v="0"/>
    <s v="disparo por recalentamiento motor"/>
  </r>
  <r>
    <x v="640"/>
    <x v="2"/>
    <x v="5"/>
    <d v="1899-12-30T14:47:00"/>
    <d v="1899-12-30T15:25:00"/>
    <n v="0.31666666666666665"/>
    <x v="0"/>
    <x v="1"/>
    <s v="Falla operativa"/>
    <s v="Planta general"/>
    <x v="4"/>
    <s v="falta de fruta"/>
  </r>
  <r>
    <x v="640"/>
    <x v="2"/>
    <x v="5"/>
    <d v="1899-12-30T17:15:00"/>
    <d v="1899-12-30T17:40:00"/>
    <n v="0.20833333333333334"/>
    <x v="0"/>
    <x v="1"/>
    <s v="Falla operativa"/>
    <s v="Planta general"/>
    <x v="4"/>
    <s v="falta de fruta"/>
  </r>
  <r>
    <x v="641"/>
    <x v="3"/>
    <x v="6"/>
    <d v="1899-12-30T04:53:00"/>
    <d v="1899-12-30T05:20:00"/>
    <n v="0.22500000000000001"/>
    <x v="0"/>
    <x v="1"/>
    <s v="Falla operativa"/>
    <s v="Desfrutado"/>
    <x v="8"/>
    <s v="sobrecarga"/>
  </r>
  <r>
    <x v="641"/>
    <x v="3"/>
    <x v="6"/>
    <d v="1899-12-30T04:30:00"/>
    <d v="1899-12-30T05:20:00"/>
    <n v="0.41666666666666669"/>
    <x v="0"/>
    <x v="1"/>
    <s v="Falla operativa"/>
    <s v="Desfrutado"/>
    <x v="8"/>
    <s v="sobrecarga"/>
  </r>
  <r>
    <x v="641"/>
    <x v="3"/>
    <x v="6"/>
    <d v="1899-12-30T08:20:00"/>
    <d v="1899-12-30T08:50:00"/>
    <n v="0.25"/>
    <x v="0"/>
    <x v="1"/>
    <s v="Falla operativa"/>
    <s v="Desfrutado"/>
    <x v="8"/>
    <s v="sobrecarga"/>
  </r>
  <r>
    <x v="642"/>
    <x v="3"/>
    <x v="6"/>
    <d v="1899-12-30T05:50:00"/>
    <d v="1899-12-30T20:00:00"/>
    <n v="7.083333333333333"/>
    <x v="0"/>
    <x v="0"/>
    <s v="Falla mecánica"/>
    <s v="Digestión y prensado"/>
    <x v="82"/>
    <s v="Soltura paletas arrastre"/>
  </r>
  <r>
    <x v="643"/>
    <x v="3"/>
    <x v="6"/>
    <d v="1899-12-30T09:35:00"/>
    <d v="1899-12-30T11:15:00"/>
    <n v="0.83333333333333326"/>
    <x v="0"/>
    <x v="0"/>
    <s v="Falla mecánica"/>
    <s v="Digestión y prensado"/>
    <x v="82"/>
    <s v="Soltura paletas arrastre"/>
  </r>
  <r>
    <x v="643"/>
    <x v="3"/>
    <x v="6"/>
    <d v="1899-12-30T11:50:00"/>
    <d v="1899-12-30T12:22:00"/>
    <n v="0.26666666666666666"/>
    <x v="0"/>
    <x v="1"/>
    <s v="Falla operativa"/>
    <s v="Planta general"/>
    <x v="4"/>
    <s v="falta de fruta"/>
  </r>
  <r>
    <x v="643"/>
    <x v="3"/>
    <x v="6"/>
    <d v="1899-12-30T14:30:00"/>
    <d v="1899-12-30T15:10:00"/>
    <n v="0.33333333333333331"/>
    <x v="0"/>
    <x v="1"/>
    <s v="Falla operativa"/>
    <s v="Planta general"/>
    <x v="4"/>
    <s v="falta de fruta"/>
  </r>
  <r>
    <x v="643"/>
    <x v="3"/>
    <x v="6"/>
    <d v="1899-12-30T15:55:00"/>
    <d v="1899-12-30T18:22:00"/>
    <n v="1.2250000000000001"/>
    <x v="0"/>
    <x v="1"/>
    <s v="Falla operativa"/>
    <s v="Planta general"/>
    <x v="4"/>
    <s v="falta de fruta"/>
  </r>
  <r>
    <x v="644"/>
    <x v="3"/>
    <x v="6"/>
    <d v="1899-12-30T11:30:00"/>
    <d v="1899-12-30T12:00:00"/>
    <n v="0.5"/>
    <x v="0"/>
    <x v="0"/>
    <s v="Falla mecánica"/>
    <s v="Desfrutado"/>
    <x v="8"/>
    <s v="Descarrilado"/>
  </r>
  <r>
    <x v="644"/>
    <x v="3"/>
    <x v="6"/>
    <d v="1899-12-30T23:00:00"/>
    <d v="1899-12-30T23:26:00"/>
    <n v="0.21666666666666667"/>
    <x v="0"/>
    <x v="0"/>
    <s v="Falla mecánica"/>
    <s v="Desfrutado"/>
    <x v="18"/>
    <s v="Cadena partida"/>
  </r>
  <r>
    <x v="644"/>
    <x v="3"/>
    <x v="6"/>
    <d v="1899-12-30T00:50:00"/>
    <d v="1899-12-30T01:10:00"/>
    <n v="0.16666666666666666"/>
    <x v="0"/>
    <x v="1"/>
    <s v="Falla operativa"/>
    <s v="Planta general"/>
    <x v="4"/>
    <s v="falta de fruta"/>
  </r>
  <r>
    <x v="644"/>
    <x v="3"/>
    <x v="6"/>
    <d v="1899-12-30T16:25:00"/>
    <d v="1899-12-30T17:05:00"/>
    <n v="0.33333333333333331"/>
    <x v="0"/>
    <x v="1"/>
    <s v="Falla operativa"/>
    <s v="Planta general"/>
    <x v="4"/>
    <s v="falta de fruta"/>
  </r>
  <r>
    <x v="644"/>
    <x v="3"/>
    <x v="6"/>
    <d v="1899-12-30T19:15:00"/>
    <d v="1899-12-30T19:50:00"/>
    <n v="0.29166666666666669"/>
    <x v="0"/>
    <x v="1"/>
    <s v="Falla operativa"/>
    <s v="Planta general"/>
    <x v="4"/>
    <s v="falta de fruta"/>
  </r>
  <r>
    <x v="644"/>
    <x v="3"/>
    <x v="6"/>
    <d v="1899-12-30T23:00:00"/>
    <d v="1899-12-30T23:45:00"/>
    <n v="0.375"/>
    <x v="0"/>
    <x v="0"/>
    <s v="Falla mecánica"/>
    <s v="Desfrutado"/>
    <x v="18"/>
    <s v="Cadena partida"/>
  </r>
  <r>
    <x v="644"/>
    <x v="3"/>
    <x v="6"/>
    <d v="1899-12-30T00:35:00"/>
    <d v="1899-12-30T01:35:00"/>
    <n v="0.5"/>
    <x v="0"/>
    <x v="1"/>
    <s v="Falla operativa"/>
    <s v="Planta general"/>
    <x v="4"/>
    <s v="falta de fruta"/>
  </r>
  <r>
    <x v="645"/>
    <x v="3"/>
    <x v="6"/>
    <d v="1899-12-30T16:12:00"/>
    <d v="1899-12-30T16:52:00"/>
    <n v="0.66666666666666663"/>
    <x v="0"/>
    <x v="0"/>
    <s v="Falla mecánica"/>
    <s v="Clarificación"/>
    <x v="100"/>
    <s v="Ajuste tamiz 2"/>
  </r>
  <r>
    <x v="645"/>
    <x v="3"/>
    <x v="6"/>
    <d v="1899-12-30T18:17:00"/>
    <d v="1899-12-30T18:47:00"/>
    <n v="0.25"/>
    <x v="0"/>
    <x v="1"/>
    <s v="Falla operativa"/>
    <s v="Planta general"/>
    <x v="4"/>
    <s v="falta de fruta"/>
  </r>
  <r>
    <x v="646"/>
    <x v="3"/>
    <x v="6"/>
    <d v="1899-12-30T10:40:00"/>
    <d v="1899-12-30T11:15:00"/>
    <n v="0.58333333333333337"/>
    <x v="0"/>
    <x v="0"/>
    <s v="Falla mecánica"/>
    <s v="Clarificación"/>
    <x v="100"/>
    <s v="Ajuste tamiz 2"/>
  </r>
  <r>
    <x v="646"/>
    <x v="3"/>
    <x v="6"/>
    <d v="1899-12-30T21:10:00"/>
    <d v="1899-12-30T21:41:00"/>
    <n v="0.25833333333333336"/>
    <x v="0"/>
    <x v="1"/>
    <s v="Falla operativa"/>
    <s v="Desfrutado"/>
    <x v="100"/>
    <s v="taponamiento"/>
  </r>
  <r>
    <x v="646"/>
    <x v="3"/>
    <x v="6"/>
    <d v="1899-12-30T12:55:00"/>
    <d v="1899-12-30T13:23:00"/>
    <n v="0.23333333333333334"/>
    <x v="0"/>
    <x v="1"/>
    <s v="Falla operativa"/>
    <s v="Planta general"/>
    <x v="4"/>
    <s v="falta de fruta"/>
  </r>
  <r>
    <x v="646"/>
    <x v="3"/>
    <x v="6"/>
    <d v="1899-12-30T14:51:00"/>
    <d v="1899-12-30T15:17:00"/>
    <n v="0.21666666666666667"/>
    <x v="0"/>
    <x v="1"/>
    <s v="Falla operativa"/>
    <s v="Desfrutado"/>
    <x v="100"/>
    <s v="taponamiento"/>
  </r>
  <r>
    <x v="646"/>
    <x v="3"/>
    <x v="6"/>
    <d v="1899-12-30T16:40:00"/>
    <d v="1899-12-30T17:12:00"/>
    <n v="0.26666666666666666"/>
    <x v="0"/>
    <x v="1"/>
    <s v="Falla operativa"/>
    <s v="Desfrutado"/>
    <x v="100"/>
    <s v="taponamiento"/>
  </r>
  <r>
    <x v="646"/>
    <x v="3"/>
    <x v="6"/>
    <d v="1899-12-30T20:13:00"/>
    <d v="1899-12-30T20:36:00"/>
    <n v="0.19166666666666668"/>
    <x v="0"/>
    <x v="1"/>
    <s v="Falla operativa"/>
    <s v="Planta general"/>
    <x v="4"/>
    <s v="falta de fruta"/>
  </r>
  <r>
    <x v="646"/>
    <x v="3"/>
    <x v="6"/>
    <d v="1899-12-30T21:09:00"/>
    <d v="1899-12-30T21:37:00"/>
    <n v="0.23333333333333334"/>
    <x v="0"/>
    <x v="1"/>
    <s v="Falla operativa"/>
    <s v="Desfrutado"/>
    <x v="100"/>
    <s v="taponamiento"/>
  </r>
  <r>
    <x v="647"/>
    <x v="3"/>
    <x v="6"/>
    <d v="1899-12-30T12:04:00"/>
    <d v="1899-12-30T12:44:00"/>
    <n v="0.33333333333333331"/>
    <x v="0"/>
    <x v="1"/>
    <s v="Falla operativa"/>
    <s v="Planta general"/>
    <x v="4"/>
    <s v="falta de fruta"/>
  </r>
  <r>
    <x v="647"/>
    <x v="3"/>
    <x v="6"/>
    <d v="1899-12-30T16:55:00"/>
    <d v="1899-12-30T17:21:00"/>
    <n v="0.21666666666666667"/>
    <x v="0"/>
    <x v="1"/>
    <s v="Falla operativa"/>
    <s v="Desfrutado"/>
    <x v="100"/>
    <s v="taponamiento"/>
  </r>
  <r>
    <x v="647"/>
    <x v="3"/>
    <x v="6"/>
    <d v="1899-12-30T22:55:00"/>
    <d v="1899-12-30T23:30:00"/>
    <n v="0.29166666666666669"/>
    <x v="0"/>
    <x v="1"/>
    <s v="Falla operativa"/>
    <s v="Planta general"/>
    <x v="4"/>
    <s v="falta de fruta"/>
  </r>
  <r>
    <x v="647"/>
    <x v="3"/>
    <x v="6"/>
    <d v="1899-12-30T00:10:00"/>
    <d v="1899-12-30T00:40:00"/>
    <n v="0.25"/>
    <x v="0"/>
    <x v="1"/>
    <s v="Falla operativa"/>
    <s v="Planta general"/>
    <x v="4"/>
    <s v="falta de fruta"/>
  </r>
  <r>
    <x v="648"/>
    <x v="3"/>
    <x v="6"/>
    <d v="1899-12-30T17:07:00"/>
    <d v="1899-12-30T17:32:00"/>
    <n v="0.41666666666666669"/>
    <x v="0"/>
    <x v="0"/>
    <s v="Falla mecánica"/>
    <s v="Clarificación"/>
    <x v="100"/>
    <s v="Ajuste tamiz 2"/>
  </r>
  <r>
    <x v="648"/>
    <x v="3"/>
    <x v="6"/>
    <d v="1899-12-30T18:05:00"/>
    <d v="1899-12-30T18:52:00"/>
    <n v="0.78333333333333333"/>
    <x v="0"/>
    <x v="1"/>
    <s v="Falla operativa"/>
    <s v="Planta general"/>
    <x v="4"/>
    <s v="falta de fruta"/>
  </r>
  <r>
    <x v="648"/>
    <x v="3"/>
    <x v="6"/>
    <d v="1899-12-30T19:21:00"/>
    <d v="1899-12-30T19:50:00"/>
    <n v="0.48333333333333334"/>
    <x v="0"/>
    <x v="0"/>
    <s v="Falla mecánica"/>
    <s v="Clarificación"/>
    <x v="100"/>
    <s v="Ajuste tamiz 2"/>
  </r>
  <r>
    <x v="648"/>
    <x v="3"/>
    <x v="6"/>
    <d v="1899-12-30T22:10:00"/>
    <d v="1899-12-30T22:38:00"/>
    <n v="0.23333333333333334"/>
    <x v="0"/>
    <x v="0"/>
    <s v="Falla mecánica"/>
    <s v="Clarificación"/>
    <x v="100"/>
    <s v="Ajuste tamiz 2"/>
  </r>
  <r>
    <x v="648"/>
    <x v="3"/>
    <x v="6"/>
    <d v="1899-12-30T21:45:00"/>
    <d v="1899-12-30T22:35:00"/>
    <n v="0.41666666666666669"/>
    <x v="0"/>
    <x v="1"/>
    <s v="Falla operativa"/>
    <s v="Planta general"/>
    <x v="4"/>
    <s v="falta de fruta"/>
  </r>
  <r>
    <x v="649"/>
    <x v="3"/>
    <x v="6"/>
    <d v="1899-12-30T14:30:00"/>
    <d v="1899-12-30T23:59:00"/>
    <n v="4.7416666666666663"/>
    <x v="0"/>
    <x v="0"/>
    <s v="Falla mecánica"/>
    <s v="Digestión y prensado"/>
    <x v="86"/>
    <s v="Eje transmision partido"/>
  </r>
  <r>
    <x v="649"/>
    <x v="3"/>
    <x v="6"/>
    <d v="1899-12-30T00:00:00"/>
    <d v="1899-12-30T06:00:00"/>
    <n v="3"/>
    <x v="0"/>
    <x v="0"/>
    <s v="Falla mecánica"/>
    <s v="Digestión y prensado"/>
    <x v="86"/>
    <s v="Eje transmision partido"/>
  </r>
  <r>
    <x v="650"/>
    <x v="3"/>
    <x v="6"/>
    <d v="1899-12-30T06:00:00"/>
    <d v="1899-12-30T22:00:00"/>
    <n v="8"/>
    <x v="0"/>
    <x v="0"/>
    <s v="Falla mecánica"/>
    <s v="Digestión y prensado"/>
    <x v="86"/>
    <s v="Eje transmision partido"/>
  </r>
  <r>
    <x v="651"/>
    <x v="3"/>
    <x v="6"/>
    <d v="1899-12-30T10:00:00"/>
    <d v="1899-12-30T23:59:00"/>
    <n v="6.9916666666666663"/>
    <x v="0"/>
    <x v="0"/>
    <s v="Falla mecánica"/>
    <s v="Digestión y prensado"/>
    <x v="86"/>
    <s v="Eje transmision partido"/>
  </r>
  <r>
    <x v="651"/>
    <x v="3"/>
    <x v="6"/>
    <d v="1899-12-30T00:00:00"/>
    <d v="1899-12-30T06:00:00"/>
    <n v="3"/>
    <x v="0"/>
    <x v="0"/>
    <s v="Falla mecánica"/>
    <s v="Digestión y prensado"/>
    <x v="86"/>
    <s v="Eje transmision partido"/>
  </r>
  <r>
    <x v="652"/>
    <x v="3"/>
    <x v="6"/>
    <d v="1899-12-30T18:00:00"/>
    <d v="1899-12-30T19:20:00"/>
    <n v="0.66666666666666663"/>
    <x v="0"/>
    <x v="0"/>
    <s v="Falla mecánica"/>
    <s v="Desfrutado"/>
    <x v="2"/>
    <s v="Eje transmision partido"/>
  </r>
  <r>
    <x v="652"/>
    <x v="3"/>
    <x v="6"/>
    <d v="1899-12-30T11:00:00"/>
    <d v="1899-12-30T11:22:00"/>
    <n v="0.18333333333333332"/>
    <x v="0"/>
    <x v="0"/>
    <s v="Falla mecánica"/>
    <s v="Desfrutado"/>
    <x v="2"/>
    <s v="Eje transmision partido"/>
  </r>
  <r>
    <x v="652"/>
    <x v="3"/>
    <x v="6"/>
    <d v="1899-12-30T10:00:00"/>
    <d v="1899-12-30T23:59:00"/>
    <n v="6.9916666666666663"/>
    <x v="0"/>
    <x v="0"/>
    <s v="Falla mecánica"/>
    <s v="Digestión y prensado"/>
    <x v="86"/>
    <s v="Eje transmision partido"/>
  </r>
  <r>
    <x v="652"/>
    <x v="3"/>
    <x v="6"/>
    <d v="1899-12-30T00:00:00"/>
    <d v="1899-12-30T06:00:00"/>
    <n v="3"/>
    <x v="0"/>
    <x v="0"/>
    <s v="Falla mecánica"/>
    <s v="Digestión y prensado"/>
    <x v="86"/>
    <s v="Eje transmision partido"/>
  </r>
  <r>
    <x v="653"/>
    <x v="3"/>
    <x v="6"/>
    <d v="1899-12-30T14:00:00"/>
    <d v="1899-12-30T14:46:00"/>
    <n v="0.38333333333333336"/>
    <x v="0"/>
    <x v="3"/>
    <s v="Fluído eléctrico"/>
    <s v="Planta generación energía electrica"/>
    <x v="51"/>
    <s v="disparo por recalentamiento motor"/>
  </r>
  <r>
    <x v="653"/>
    <x v="3"/>
    <x v="6"/>
    <d v="1899-12-30T15:50:00"/>
    <d v="1899-12-30T16:51:00"/>
    <n v="0.5083333333333333"/>
    <x v="0"/>
    <x v="0"/>
    <s v="Falla mecánica"/>
    <s v="Desfrutado"/>
    <x v="2"/>
    <s v="Rotura cadena de transmision"/>
  </r>
  <r>
    <x v="653"/>
    <x v="3"/>
    <x v="6"/>
    <d v="1899-12-30T20:40:00"/>
    <d v="1899-12-30T20:55:00"/>
    <n v="0.125"/>
    <x v="0"/>
    <x v="3"/>
    <s v="Fluído eléctrico"/>
    <s v="Planta generación energía electrica"/>
    <x v="51"/>
    <s v="Corte de energia electrica"/>
  </r>
  <r>
    <x v="653"/>
    <x v="3"/>
    <x v="6"/>
    <d v="1899-12-30T01:05:00"/>
    <d v="1899-12-30T01:15:00"/>
    <n v="8.3333333333333329E-2"/>
    <x v="0"/>
    <x v="1"/>
    <s v="Falla operativa"/>
    <s v="Desfibración"/>
    <x v="0"/>
    <s v="Acumulacion de fibra"/>
  </r>
  <r>
    <x v="653"/>
    <x v="3"/>
    <x v="6"/>
    <d v="1899-12-30T10:00:00"/>
    <d v="1899-12-30T23:59:00"/>
    <n v="6.9916666666666663"/>
    <x v="0"/>
    <x v="0"/>
    <s v="Falla mecánica"/>
    <s v="Digestión y prensado"/>
    <x v="86"/>
    <s v="Eje transmision partido"/>
  </r>
  <r>
    <x v="653"/>
    <x v="3"/>
    <x v="6"/>
    <d v="1899-12-30T00:00:00"/>
    <d v="1899-12-30T06:00:00"/>
    <n v="3"/>
    <x v="0"/>
    <x v="0"/>
    <s v="Falla mecánica"/>
    <s v="Digestión y prensado"/>
    <x v="86"/>
    <s v="Eje transmision partido"/>
  </r>
  <r>
    <x v="654"/>
    <x v="3"/>
    <x v="6"/>
    <d v="1899-12-30T08:00:00"/>
    <d v="1899-12-30T11:00:00"/>
    <n v="1.5"/>
    <x v="0"/>
    <x v="1"/>
    <s v="Falla operativa"/>
    <s v="Desfibración"/>
    <x v="0"/>
    <s v="Rotura eje intermedio"/>
  </r>
  <r>
    <x v="654"/>
    <x v="3"/>
    <x v="6"/>
    <d v="1899-12-30T10:00:00"/>
    <d v="1899-12-30T23:59:00"/>
    <n v="6.9916666666666663"/>
    <x v="0"/>
    <x v="0"/>
    <s v="Falla mecánica"/>
    <s v="Digestión y prensado"/>
    <x v="86"/>
    <s v="Eje transmision partido"/>
  </r>
  <r>
    <x v="654"/>
    <x v="3"/>
    <x v="6"/>
    <d v="1899-12-30T00:00:00"/>
    <d v="1899-12-30T06:00:00"/>
    <n v="3"/>
    <x v="0"/>
    <x v="0"/>
    <s v="Falla mecánica"/>
    <s v="Digestión y prensado"/>
    <x v="86"/>
    <s v="Eje transmision partido"/>
  </r>
  <r>
    <x v="655"/>
    <x v="3"/>
    <x v="6"/>
    <d v="1899-12-30T08:10:00"/>
    <d v="1899-12-30T08:35:00"/>
    <n v="0.20833333333333334"/>
    <x v="0"/>
    <x v="1"/>
    <s v="Falla operativa"/>
    <s v="Planta general"/>
    <x v="4"/>
    <s v="Atraso esterilización"/>
  </r>
  <r>
    <x v="655"/>
    <x v="3"/>
    <x v="6"/>
    <d v="1899-12-30T09:30:00"/>
    <d v="1899-12-30T11:10:00"/>
    <n v="0.83333333333333326"/>
    <x v="0"/>
    <x v="0"/>
    <s v="Falla mecánica"/>
    <s v="Desfrutado"/>
    <x v="2"/>
    <s v="Salida cuña de motor."/>
  </r>
  <r>
    <x v="655"/>
    <x v="3"/>
    <x v="6"/>
    <d v="1899-12-30T05:20:00"/>
    <d v="1899-12-30T06:00:00"/>
    <n v="0.33333333333333331"/>
    <x v="0"/>
    <x v="0"/>
    <s v="Falla mecánica"/>
    <s v="Desfrutado"/>
    <x v="8"/>
    <s v="Rotura reductor"/>
  </r>
  <r>
    <x v="655"/>
    <x v="3"/>
    <x v="6"/>
    <d v="1899-12-30T10:00:00"/>
    <d v="1899-12-30T23:59:00"/>
    <n v="6.9916666666666663"/>
    <x v="0"/>
    <x v="0"/>
    <s v="Falla mecánica"/>
    <s v="Digestión y prensado"/>
    <x v="86"/>
    <s v="Eje transmision partido"/>
  </r>
  <r>
    <x v="655"/>
    <x v="3"/>
    <x v="6"/>
    <d v="1899-12-30T00:00:00"/>
    <d v="1899-12-30T06:00:00"/>
    <n v="3"/>
    <x v="0"/>
    <x v="0"/>
    <s v="Falla mecánica"/>
    <s v="Digestión y prensado"/>
    <x v="86"/>
    <s v="Eje transmision partido"/>
  </r>
  <r>
    <x v="656"/>
    <x v="3"/>
    <x v="6"/>
    <d v="1899-12-30T06:00:00"/>
    <d v="1899-12-30T16:20:00"/>
    <n v="5.166666666666667"/>
    <x v="0"/>
    <x v="0"/>
    <s v="Falla mecánica"/>
    <s v="Desfrutado"/>
    <x v="8"/>
    <s v="Rotura reductor"/>
  </r>
  <r>
    <x v="656"/>
    <x v="3"/>
    <x v="6"/>
    <d v="1899-12-30T06:00:00"/>
    <d v="1899-12-30T23:59:00"/>
    <n v="8.9916666666666671"/>
    <x v="0"/>
    <x v="0"/>
    <s v="Falla mecánica"/>
    <s v="Digestión y prensado"/>
    <x v="86"/>
    <s v="Eje transmision partido"/>
  </r>
  <r>
    <x v="656"/>
    <x v="3"/>
    <x v="6"/>
    <d v="1899-12-30T00:00:00"/>
    <d v="1899-12-30T02:40:00"/>
    <n v="1.3333333333333333"/>
    <x v="0"/>
    <x v="0"/>
    <m/>
    <s v="Digestión y prensado"/>
    <x v="86"/>
    <s v="Eje transmision partido"/>
  </r>
  <r>
    <x v="656"/>
    <x v="3"/>
    <x v="6"/>
    <d v="1899-12-30T05:00:00"/>
    <d v="1899-12-30T05:37:00"/>
    <n v="0.30833333333333335"/>
    <x v="0"/>
    <x v="1"/>
    <s v="Falla operativa"/>
    <s v="Planta general"/>
    <x v="4"/>
    <s v="Atraso esterilización"/>
  </r>
  <r>
    <x v="657"/>
    <x v="3"/>
    <x v="6"/>
    <d v="1899-12-30T07:40:00"/>
    <d v="1899-12-30T08:40:00"/>
    <n v="1"/>
    <x v="1"/>
    <x v="2"/>
    <s v="Arranque planta"/>
    <s v="Planta general"/>
    <x v="5"/>
    <s v="Arranque planta"/>
  </r>
  <r>
    <x v="657"/>
    <x v="3"/>
    <x v="6"/>
    <d v="1899-12-30T02:30:00"/>
    <d v="1899-12-30T04:20:00"/>
    <n v="1.8333333333333335"/>
    <x v="1"/>
    <x v="2"/>
    <s v="Arranque planta"/>
    <s v="Planta general"/>
    <x v="5"/>
    <s v="Arranque"/>
  </r>
  <r>
    <x v="657"/>
    <x v="3"/>
    <x v="6"/>
    <d v="1899-12-30T09:10:00"/>
    <d v="1899-12-30T13:15:00"/>
    <n v="2.0416666666666665"/>
    <x v="0"/>
    <x v="1"/>
    <s v="Falla operativa"/>
    <s v="Planta general"/>
    <x v="4"/>
    <s v="Atraso esterilización"/>
  </r>
  <r>
    <x v="658"/>
    <x v="3"/>
    <x v="6"/>
    <d v="1899-12-30T06:00:00"/>
    <d v="1899-12-30T10:40:00"/>
    <n v="2.3333333333333335"/>
    <x v="1"/>
    <x v="2"/>
    <s v="Arranque planta"/>
    <s v="Planta general"/>
    <x v="5"/>
    <s v="Arranque"/>
  </r>
  <r>
    <x v="658"/>
    <x v="3"/>
    <x v="6"/>
    <d v="1899-12-30T18:31:00"/>
    <d v="1899-12-30T18:58:00"/>
    <n v="0.22500000000000001"/>
    <x v="0"/>
    <x v="1"/>
    <s v="Falla operativa"/>
    <s v="Planta general"/>
    <x v="4"/>
    <s v="Atraso esterilización"/>
  </r>
  <r>
    <x v="658"/>
    <x v="3"/>
    <x v="6"/>
    <d v="1899-12-30T19:20:00"/>
    <d v="1899-12-30T20:07:00"/>
    <n v="0.39166666666666666"/>
    <x v="0"/>
    <x v="1"/>
    <s v="Falla operativa"/>
    <s v="Planta general"/>
    <x v="4"/>
    <s v="Atraso esterilización"/>
  </r>
  <r>
    <x v="658"/>
    <x v="3"/>
    <x v="6"/>
    <d v="1899-12-30T21:15:00"/>
    <d v="1899-12-30T21:44:00"/>
    <n v="0.24166666666666667"/>
    <x v="0"/>
    <x v="0"/>
    <s v="Falla mecánica"/>
    <s v="Desfibración"/>
    <x v="0"/>
    <s v="ajuste paleta bajo prensa 1"/>
  </r>
  <r>
    <x v="658"/>
    <x v="3"/>
    <x v="6"/>
    <d v="1899-12-30T13:30:00"/>
    <d v="1899-12-30T14:15:00"/>
    <n v="0.375"/>
    <x v="0"/>
    <x v="1"/>
    <s v="Falla operativa"/>
    <s v="Planta general"/>
    <x v="4"/>
    <s v="Atraso esterilización"/>
  </r>
  <r>
    <x v="658"/>
    <x v="3"/>
    <x v="6"/>
    <d v="1899-12-30T18:32:00"/>
    <d v="1899-12-30T18:55:00"/>
    <n v="0.19166666666666668"/>
    <x v="0"/>
    <x v="1"/>
    <s v="Falla operativa"/>
    <s v="Planta general"/>
    <x v="4"/>
    <s v="Atraso esterilización"/>
  </r>
  <r>
    <x v="659"/>
    <x v="3"/>
    <x v="6"/>
    <d v="1899-12-30T06:00:00"/>
    <d v="1899-12-30T13:00:00"/>
    <n v="7"/>
    <x v="1"/>
    <x v="2"/>
    <s v="Mantenimiento programado"/>
    <s v="Planta general"/>
    <x v="5"/>
    <s v="Mantenimiento general de planta "/>
  </r>
  <r>
    <x v="659"/>
    <x v="3"/>
    <x v="6"/>
    <d v="1899-12-30T20:31:00"/>
    <d v="1899-12-30T21:02:00"/>
    <n v="0.25833333333333336"/>
    <x v="0"/>
    <x v="1"/>
    <s v="Falla operativa"/>
    <s v="Planta general"/>
    <x v="4"/>
    <s v="Atraso esterilización"/>
  </r>
  <r>
    <x v="659"/>
    <x v="3"/>
    <x v="6"/>
    <d v="1899-12-30T22:30:00"/>
    <d v="1899-12-30T22:45:00"/>
    <n v="0.125"/>
    <x v="0"/>
    <x v="1"/>
    <s v="Falla operativa"/>
    <s v="Planta general"/>
    <x v="4"/>
    <s v="Atraso esterilización"/>
  </r>
  <r>
    <x v="659"/>
    <x v="3"/>
    <x v="6"/>
    <d v="1899-12-30T23:05:00"/>
    <d v="1899-12-30T23:59:00"/>
    <n v="0.45"/>
    <x v="0"/>
    <x v="0"/>
    <s v="Falla mecánica"/>
    <s v="Esterilización "/>
    <x v="23"/>
    <s v="resolde oreja vagoneta linea 1"/>
  </r>
  <r>
    <x v="659"/>
    <x v="3"/>
    <x v="6"/>
    <d v="1899-12-30T00:00:00"/>
    <d v="1899-12-30T00:50:00"/>
    <n v="0.41666666666666669"/>
    <x v="0"/>
    <x v="0"/>
    <s v="Falla mecánica"/>
    <s v="Esterilización "/>
    <x v="23"/>
    <s v="resolde oreja vagoneta linea 1"/>
  </r>
  <r>
    <x v="659"/>
    <x v="3"/>
    <x v="6"/>
    <d v="1899-12-30T01:00:00"/>
    <d v="1899-12-30T02:18:00"/>
    <n v="0.65"/>
    <x v="0"/>
    <x v="1"/>
    <s v="Falla operativa"/>
    <s v="Planta general"/>
    <x v="4"/>
    <s v="Atraso esterilización"/>
  </r>
  <r>
    <x v="659"/>
    <x v="3"/>
    <x v="6"/>
    <d v="1899-12-30T04:08:00"/>
    <d v="1899-12-30T05:04:00"/>
    <n v="0.93333333333333335"/>
    <x v="0"/>
    <x v="0"/>
    <s v="Falla mecánica"/>
    <s v="Desfibración"/>
    <x v="0"/>
    <s v="Parte tornillos acople 1°"/>
  </r>
  <r>
    <x v="660"/>
    <x v="3"/>
    <x v="6"/>
    <d v="1899-12-30T06:00:00"/>
    <d v="1899-12-30T09:00:00"/>
    <n v="3"/>
    <x v="1"/>
    <x v="2"/>
    <s v="Mantenimiento programado"/>
    <s v="Planta general"/>
    <x v="5"/>
    <s v="Mantenimiento general de planta "/>
  </r>
  <r>
    <x v="660"/>
    <x v="3"/>
    <x v="6"/>
    <d v="1899-12-30T11:05:00"/>
    <d v="1899-12-30T13:28:00"/>
    <n v="2.3833333333333333"/>
    <x v="0"/>
    <x v="0"/>
    <s v="Falla mecánica"/>
    <s v="Clarificación"/>
    <x v="33"/>
    <s v="rotura de acople"/>
  </r>
  <r>
    <x v="660"/>
    <x v="3"/>
    <x v="6"/>
    <d v="1899-12-30T00:40:00"/>
    <d v="1899-12-30T01:27:00"/>
    <n v="0.78333333333333333"/>
    <x v="0"/>
    <x v="3"/>
    <s v="Fluído eléctrico"/>
    <s v="Planta generación energía electrica"/>
    <x v="51"/>
    <s v="disparo planta"/>
  </r>
  <r>
    <x v="660"/>
    <x v="3"/>
    <x v="6"/>
    <d v="1899-12-30T05:00:00"/>
    <d v="1899-12-30T05:37:00"/>
    <n v="0.6166666666666667"/>
    <x v="0"/>
    <x v="0"/>
    <s v="Falla mecánica"/>
    <s v="Desfibración"/>
    <x v="9"/>
    <s v="Partido tornillos acople intermedio"/>
  </r>
  <r>
    <x v="660"/>
    <x v="3"/>
    <x v="6"/>
    <d v="1899-12-30T17:28:00"/>
    <d v="1899-12-30T17:44:00"/>
    <n v="0.13333333333333333"/>
    <x v="0"/>
    <x v="1"/>
    <s v="Falla operativa"/>
    <s v="Planta general"/>
    <x v="4"/>
    <s v="Atraso esterilización"/>
  </r>
  <r>
    <x v="660"/>
    <x v="3"/>
    <x v="6"/>
    <d v="1899-12-30T18:12:00"/>
    <d v="1899-12-30T18:25:00"/>
    <n v="0.10833333333333334"/>
    <x v="0"/>
    <x v="1"/>
    <s v="Falla operativa"/>
    <s v="Planta general"/>
    <x v="4"/>
    <s v="Atraso esterilización"/>
  </r>
  <r>
    <x v="660"/>
    <x v="3"/>
    <x v="6"/>
    <d v="1899-12-30T22:42:00"/>
    <d v="1899-12-30T23:12:00"/>
    <n v="0.25"/>
    <x v="0"/>
    <x v="1"/>
    <s v="Falla operativa"/>
    <s v="Planta general"/>
    <x v="4"/>
    <s v="Atraso esterilización"/>
  </r>
  <r>
    <x v="660"/>
    <x v="3"/>
    <x v="6"/>
    <d v="1899-12-30T03:10:00"/>
    <d v="1899-12-30T03:59:00"/>
    <n v="0.40833333333333333"/>
    <x v="0"/>
    <x v="1"/>
    <s v="Falla operativa"/>
    <s v="Clarificación"/>
    <x v="88"/>
    <s v="canales llenas"/>
  </r>
  <r>
    <x v="660"/>
    <x v="3"/>
    <x v="6"/>
    <d v="1899-12-30T05:05:00"/>
    <d v="1899-12-30T05:32:00"/>
    <n v="0.22500000000000001"/>
    <x v="0"/>
    <x v="1"/>
    <s v="Falla operativa"/>
    <s v="Planta generación de vapor"/>
    <x v="9"/>
    <s v="taponamiento ductos de fibras"/>
  </r>
  <r>
    <x v="661"/>
    <x v="3"/>
    <x v="6"/>
    <d v="1899-12-30T06:00:00"/>
    <d v="1899-12-30T07:45:00"/>
    <n v="1.75"/>
    <x v="1"/>
    <x v="2"/>
    <s v="Arranque planta"/>
    <s v="Planta general"/>
    <x v="5"/>
    <s v="Arranque"/>
  </r>
  <r>
    <x v="661"/>
    <x v="3"/>
    <x v="6"/>
    <d v="1899-12-30T19:51:00"/>
    <d v="1899-12-30T22:36:00"/>
    <n v="2.75"/>
    <x v="0"/>
    <x v="3"/>
    <s v="Fluído eléctrico"/>
    <s v="Planta generación energía electrica"/>
    <x v="51"/>
    <s v="disparo planta"/>
  </r>
  <r>
    <x v="661"/>
    <x v="3"/>
    <x v="6"/>
    <d v="1899-12-30T02:10:00"/>
    <d v="1899-12-30T02:37:00"/>
    <n v="0.22500000000000001"/>
    <x v="0"/>
    <x v="1"/>
    <s v="Falla operativa"/>
    <s v="Planta general"/>
    <x v="4"/>
    <s v="Atraso esterilización"/>
  </r>
  <r>
    <x v="661"/>
    <x v="3"/>
    <x v="6"/>
    <d v="1899-12-30T18:27:00"/>
    <d v="1899-12-30T19:05:00"/>
    <n v="0.31666666666666665"/>
    <x v="0"/>
    <x v="1"/>
    <s v="Falla operativa"/>
    <s v="Planta general"/>
    <x v="4"/>
    <s v="Atraso esterilización"/>
  </r>
  <r>
    <x v="661"/>
    <x v="3"/>
    <x v="6"/>
    <d v="1899-12-30T00:47:00"/>
    <d v="1899-12-30T01:12:00"/>
    <n v="0.20833333333333334"/>
    <x v="0"/>
    <x v="1"/>
    <s v="Falla operativa"/>
    <s v="Planta general"/>
    <x v="4"/>
    <s v="Atraso esterilización"/>
  </r>
  <r>
    <x v="662"/>
    <x v="3"/>
    <x v="6"/>
    <d v="1899-12-30T08:30:00"/>
    <d v="1899-12-30T13:00:00"/>
    <n v="2.25"/>
    <x v="0"/>
    <x v="0"/>
    <s v="Falla mecánica"/>
    <s v="Desfibración"/>
    <x v="0"/>
    <s v="Rotura de eje"/>
  </r>
  <r>
    <x v="662"/>
    <x v="3"/>
    <x v="6"/>
    <d v="1899-12-30T14:52:00"/>
    <d v="1899-12-30T15:00:00"/>
    <n v="6.6666666666666666E-2"/>
    <x v="0"/>
    <x v="0"/>
    <s v="Falla mecánica"/>
    <s v="Desfrutado"/>
    <x v="18"/>
    <s v="Descadenamiento de cadena"/>
  </r>
  <r>
    <x v="662"/>
    <x v="3"/>
    <x v="6"/>
    <d v="1899-12-30T19:25:00"/>
    <d v="1899-12-30T19:55:00"/>
    <n v="0.25"/>
    <x v="0"/>
    <x v="1"/>
    <s v="Falla operativa"/>
    <s v="Planta general"/>
    <x v="4"/>
    <s v="Atraso esterilización"/>
  </r>
  <r>
    <x v="662"/>
    <x v="3"/>
    <x v="6"/>
    <d v="1899-12-30T04:20:00"/>
    <d v="1899-12-30T04:50:00"/>
    <n v="0.25"/>
    <x v="0"/>
    <x v="0"/>
    <s v="Falla mecánica"/>
    <s v="Desfrutado"/>
    <x v="18"/>
    <s v="Descadenamiento de cadena"/>
  </r>
  <r>
    <x v="662"/>
    <x v="3"/>
    <x v="6"/>
    <d v="1899-12-30T16:30:00"/>
    <d v="1899-12-30T17:20:00"/>
    <n v="0.41666666666666669"/>
    <x v="0"/>
    <x v="1"/>
    <s v="Falla operativa"/>
    <s v="Desfrutado"/>
    <x v="8"/>
    <s v="atascamiento de fruto"/>
  </r>
  <r>
    <x v="662"/>
    <x v="3"/>
    <x v="6"/>
    <d v="1899-12-30T02:35:00"/>
    <d v="1899-12-30T03:20:00"/>
    <n v="0.375"/>
    <x v="0"/>
    <x v="0"/>
    <s v="Falla mecánica"/>
    <s v="Desfrutado"/>
    <x v="18"/>
    <s v="Descadenamiento de cadena"/>
  </r>
  <r>
    <x v="663"/>
    <x v="3"/>
    <x v="6"/>
    <d v="1899-12-30T06:00:00"/>
    <d v="1899-12-30T10:00:00"/>
    <n v="4"/>
    <x v="1"/>
    <x v="2"/>
    <s v="Mantenimiento programado"/>
    <s v="Planta general"/>
    <x v="5"/>
    <s v="Mantenimiento general de planta "/>
  </r>
  <r>
    <x v="663"/>
    <x v="3"/>
    <x v="6"/>
    <d v="1899-12-30T00:27:00"/>
    <d v="1899-12-30T01:56:00"/>
    <n v="0.7416666666666667"/>
    <x v="0"/>
    <x v="0"/>
    <s v="Falla mecánica"/>
    <s v="Desfrutado"/>
    <x v="18"/>
    <s v="Descadenamiento de cadena"/>
  </r>
  <r>
    <x v="663"/>
    <x v="3"/>
    <x v="6"/>
    <d v="1899-12-30T00:08:00"/>
    <d v="1899-12-30T01:53:00"/>
    <n v="0.875"/>
    <x v="0"/>
    <x v="0"/>
    <s v="Falla mecánica"/>
    <s v="Desfrutado"/>
    <x v="18"/>
    <s v="Descadenamiento de cadena"/>
  </r>
  <r>
    <x v="663"/>
    <x v="3"/>
    <x v="6"/>
    <d v="1899-12-30T02:55:00"/>
    <d v="1899-12-30T04:05:00"/>
    <n v="0.58333333333333337"/>
    <x v="0"/>
    <x v="1"/>
    <s v="Falla operativa"/>
    <s v="Planta general"/>
    <x v="4"/>
    <s v="Atraso esterilización"/>
  </r>
  <r>
    <x v="663"/>
    <x v="3"/>
    <x v="6"/>
    <d v="1899-12-30T04:30:00"/>
    <d v="1899-12-30T06:00:00"/>
    <n v="0.75"/>
    <x v="0"/>
    <x v="0"/>
    <s v="Falla mecánica"/>
    <s v="Digestión y prensado"/>
    <x v="86"/>
    <s v="eje largo partido"/>
  </r>
  <r>
    <x v="664"/>
    <x v="3"/>
    <x v="6"/>
    <d v="1899-12-30T18:08:00"/>
    <d v="1899-12-30T18:52:00"/>
    <n v="0.36666666666666664"/>
    <x v="0"/>
    <x v="1"/>
    <s v="Falla operativa"/>
    <s v="Planta general"/>
    <x v="4"/>
    <s v="Atraso esterilización"/>
  </r>
  <r>
    <x v="664"/>
    <x v="3"/>
    <x v="6"/>
    <d v="1899-12-30T21:08:00"/>
    <d v="1899-12-30T21:45:00"/>
    <n v="0.30833333333333335"/>
    <x v="0"/>
    <x v="1"/>
    <s v="Falla operativa"/>
    <s v="Planta general"/>
    <x v="4"/>
    <s v="Atraso esterilización"/>
  </r>
  <r>
    <x v="664"/>
    <x v="3"/>
    <x v="6"/>
    <d v="1899-12-30T23:49:00"/>
    <d v="1899-12-30T23:59:00"/>
    <n v="0.16666666666666666"/>
    <x v="1"/>
    <x v="2"/>
    <s v="Arranque planta"/>
    <s v="Planta general"/>
    <x v="5"/>
    <s v="Arranque"/>
  </r>
  <r>
    <x v="664"/>
    <x v="3"/>
    <x v="6"/>
    <d v="1899-12-30T00:00:00"/>
    <d v="1899-12-30T03:10:00"/>
    <n v="3.1666666666666665"/>
    <x v="1"/>
    <x v="2"/>
    <s v="Mantenimiento programado"/>
    <s v="Planta general"/>
    <x v="5"/>
    <s v="Mantenimiento general de planta "/>
  </r>
  <r>
    <x v="664"/>
    <x v="3"/>
    <x v="6"/>
    <d v="1899-12-30T04:40:00"/>
    <d v="1899-12-30T06:00:00"/>
    <n v="0.66666666666666663"/>
    <x v="0"/>
    <x v="0"/>
    <s v="Falla mecánica"/>
    <s v="Digestión y prensado"/>
    <x v="13"/>
    <s v="Tornillos de prensa partidos"/>
  </r>
  <r>
    <x v="665"/>
    <x v="3"/>
    <x v="6"/>
    <d v="1899-12-30T06:00:00"/>
    <d v="1899-12-30T20:31:00"/>
    <n v="7.2583333333333337"/>
    <x v="0"/>
    <x v="0"/>
    <s v="Falla mecánica"/>
    <s v="Digestión y prensado"/>
    <x v="13"/>
    <s v="Tornillos de prensa partidos"/>
  </r>
  <r>
    <x v="665"/>
    <x v="3"/>
    <x v="6"/>
    <d v="1899-12-30T20:51:00"/>
    <d v="1899-12-30T21:35:00"/>
    <n v="0.36666666666666664"/>
    <x v="0"/>
    <x v="1"/>
    <s v="Falla operativa"/>
    <s v="Planta general"/>
    <x v="4"/>
    <s v="Atraso esterilización"/>
  </r>
  <r>
    <x v="665"/>
    <x v="3"/>
    <x v="6"/>
    <d v="1899-12-30T12:15:00"/>
    <d v="1899-12-30T13:45:00"/>
    <n v="0.75"/>
    <x v="0"/>
    <x v="0"/>
    <s v="Falla mecánica"/>
    <s v="Desfibración"/>
    <x v="0"/>
    <s v="Partio tornillos de acople"/>
  </r>
  <r>
    <x v="665"/>
    <x v="3"/>
    <x v="6"/>
    <d v="1899-12-30T05:30:00"/>
    <d v="1899-12-30T06:06:00"/>
    <n v="0.3"/>
    <x v="0"/>
    <x v="1"/>
    <s v="Falla operativa"/>
    <s v="Desfibración"/>
    <x v="9"/>
    <s v="Taponamiento de ducto"/>
  </r>
  <r>
    <x v="665"/>
    <x v="3"/>
    <x v="6"/>
    <d v="1899-12-30T20:20:00"/>
    <d v="1899-12-30T22:04:00"/>
    <n v="0.8666666666666667"/>
    <x v="0"/>
    <x v="1"/>
    <s v="Falla operativa"/>
    <s v="Planta general"/>
    <x v="4"/>
    <s v="Atraso esterilización"/>
  </r>
  <r>
    <x v="665"/>
    <x v="3"/>
    <x v="6"/>
    <d v="1899-12-30T22:31:00"/>
    <d v="1899-12-30T23:32:00"/>
    <n v="0.5083333333333333"/>
    <x v="0"/>
    <x v="1"/>
    <s v="Falla operativa"/>
    <s v="Planta general"/>
    <x v="4"/>
    <s v="Atraso esterilización"/>
  </r>
  <r>
    <x v="665"/>
    <x v="3"/>
    <x v="6"/>
    <d v="1899-12-30T00:17:00"/>
    <d v="1899-12-30T01:30:00"/>
    <n v="0.60833333333333339"/>
    <x v="0"/>
    <x v="1"/>
    <s v="Falla operativa"/>
    <s v="Planta general"/>
    <x v="4"/>
    <s v="Atraso esterilización"/>
  </r>
  <r>
    <x v="665"/>
    <x v="3"/>
    <x v="6"/>
    <d v="1899-12-30T02:30:00"/>
    <d v="1899-12-30T03:07:00"/>
    <n v="0.30833333333333335"/>
    <x v="0"/>
    <x v="1"/>
    <s v="Falla operativa"/>
    <s v="Planta general"/>
    <x v="4"/>
    <s v="Atraso esterilización"/>
  </r>
  <r>
    <x v="665"/>
    <x v="3"/>
    <x v="6"/>
    <d v="1899-12-30T04:15:00"/>
    <d v="1899-12-30T04:52:00"/>
    <n v="0.30833333333333335"/>
    <x v="0"/>
    <x v="1"/>
    <s v="Falla operativa"/>
    <s v="Planta general"/>
    <x v="4"/>
    <s v="Atraso esterilización"/>
  </r>
  <r>
    <x v="666"/>
    <x v="3"/>
    <x v="6"/>
    <d v="1899-12-30T09:00:00"/>
    <d v="1899-12-30T10:20:00"/>
    <n v="0.66666666666666663"/>
    <x v="1"/>
    <x v="2"/>
    <s v="Arranque planta"/>
    <s v="Planta general"/>
    <x v="5"/>
    <s v="Arranque planta"/>
  </r>
  <r>
    <x v="666"/>
    <x v="3"/>
    <x v="6"/>
    <d v="1899-12-30T22:01:00"/>
    <d v="1899-12-30T22:45:00"/>
    <n v="0.36666666666666664"/>
    <x v="0"/>
    <x v="0"/>
    <s v="Falla mecánica"/>
    <s v="Esterilización "/>
    <x v="44"/>
    <s v="Roturta orejas vagoneta linea 2"/>
  </r>
  <r>
    <x v="666"/>
    <x v="3"/>
    <x v="6"/>
    <d v="1899-12-30T02:15:00"/>
    <d v="1899-12-30T02:55:00"/>
    <n v="0.33333333333333331"/>
    <x v="0"/>
    <x v="1"/>
    <s v="Falla operativa"/>
    <s v="Planta general"/>
    <x v="4"/>
    <s v="Atraso esterilización"/>
  </r>
  <r>
    <x v="666"/>
    <x v="3"/>
    <x v="6"/>
    <d v="1899-12-30T03:14:00"/>
    <d v="1899-12-30T03:50:00"/>
    <n v="0.3"/>
    <x v="0"/>
    <x v="1"/>
    <s v="Falla operativa"/>
    <s v="Planta general"/>
    <x v="4"/>
    <s v="Atraso esterilización"/>
  </r>
  <r>
    <x v="666"/>
    <x v="3"/>
    <x v="6"/>
    <d v="1899-12-30T04:20:00"/>
    <d v="1899-12-30T05:27:00"/>
    <n v="0.55833333333333335"/>
    <x v="0"/>
    <x v="0"/>
    <s v="Falla mecánica"/>
    <s v="Desfrutado"/>
    <x v="101"/>
    <s v="Rotura cadena"/>
  </r>
  <r>
    <x v="666"/>
    <x v="3"/>
    <x v="6"/>
    <d v="1899-12-30T11:05:00"/>
    <d v="1899-12-30T11:38:00"/>
    <n v="0.27500000000000002"/>
    <x v="0"/>
    <x v="1"/>
    <s v="Falla operativa"/>
    <s v="Planta general"/>
    <x v="4"/>
    <s v="Atraso esterilización"/>
  </r>
  <r>
    <x v="666"/>
    <x v="3"/>
    <x v="6"/>
    <d v="1899-12-30T11:59:00"/>
    <d v="1899-12-30T12:43:00"/>
    <n v="0.36666666666666664"/>
    <x v="0"/>
    <x v="1"/>
    <s v="Falla operativa"/>
    <s v="Desfrutado"/>
    <x v="18"/>
    <s v="Prueba de prensado"/>
  </r>
  <r>
    <x v="666"/>
    <x v="3"/>
    <x v="6"/>
    <d v="1899-12-30T14:45:00"/>
    <d v="1899-12-30T15:42:00"/>
    <n v="0.47499999999999998"/>
    <x v="0"/>
    <x v="1"/>
    <s v="Falla operativa"/>
    <s v="Planta general"/>
    <x v="4"/>
    <s v="Atraso esterilización"/>
  </r>
  <r>
    <x v="666"/>
    <x v="3"/>
    <x v="6"/>
    <d v="1899-12-30T17:00:00"/>
    <d v="1899-12-30T17:45:00"/>
    <n v="0.375"/>
    <x v="0"/>
    <x v="1"/>
    <s v="Falla operativa"/>
    <s v="Planta general"/>
    <x v="4"/>
    <s v="Atraso esterilización"/>
  </r>
  <r>
    <x v="666"/>
    <x v="3"/>
    <x v="6"/>
    <d v="1899-12-30T18:15:00"/>
    <d v="1899-12-30T19:08:00"/>
    <n v="0.44166666666666665"/>
    <x v="0"/>
    <x v="1"/>
    <s v="Falla operativa"/>
    <s v="Planta general"/>
    <x v="4"/>
    <s v="Atraso esterilización"/>
  </r>
  <r>
    <x v="666"/>
    <x v="3"/>
    <x v="6"/>
    <d v="1899-12-30T19:20:00"/>
    <d v="1899-12-30T20:11:00"/>
    <n v="0.42499999999999999"/>
    <x v="0"/>
    <x v="1"/>
    <s v="Falla operativa"/>
    <s v="Planta general"/>
    <x v="4"/>
    <s v="Atraso esterilización"/>
  </r>
  <r>
    <x v="666"/>
    <x v="3"/>
    <x v="6"/>
    <d v="1899-12-30T20:25:00"/>
    <d v="1899-12-30T22:48:00"/>
    <n v="1.1916666666666667"/>
    <x v="0"/>
    <x v="0"/>
    <s v="Falla mecánica"/>
    <s v="Esterilización "/>
    <x v="44"/>
    <s v="Roturta orejas vagoneta linea 2"/>
  </r>
  <r>
    <x v="666"/>
    <x v="3"/>
    <x v="6"/>
    <d v="1899-12-30T00:02:00"/>
    <d v="1899-12-30T02:15:00"/>
    <n v="1.1083333333333334"/>
    <x v="0"/>
    <x v="0"/>
    <s v="Falla mecánica"/>
    <s v="Esterilización "/>
    <x v="44"/>
    <s v="Roturta orejas vagoneta linea 2"/>
  </r>
  <r>
    <x v="666"/>
    <x v="3"/>
    <x v="6"/>
    <d v="1899-12-30T04:51:00"/>
    <d v="1899-12-30T05:16:00"/>
    <n v="0.20833333333333334"/>
    <x v="0"/>
    <x v="0"/>
    <s v="Falla mecánica"/>
    <s v="Desfrutado"/>
    <x v="101"/>
    <s v="Rotura cadena"/>
  </r>
  <r>
    <x v="667"/>
    <x v="3"/>
    <x v="7"/>
    <d v="1899-12-30T00:55:00"/>
    <d v="1899-12-30T01:30:00"/>
    <n v="0.29166666666666669"/>
    <x v="0"/>
    <x v="1"/>
    <s v="Falla operativa"/>
    <s v="Planta general"/>
    <x v="4"/>
    <s v="Atraso esterilización"/>
  </r>
  <r>
    <x v="667"/>
    <x v="3"/>
    <x v="7"/>
    <d v="1899-12-30T06:00:00"/>
    <d v="1899-12-30T06:30:00"/>
    <n v="0.25"/>
    <x v="0"/>
    <x v="1"/>
    <s v="Falla operativa"/>
    <s v="Planta general"/>
    <x v="4"/>
    <s v="Atraso esterilización"/>
  </r>
  <r>
    <x v="667"/>
    <x v="3"/>
    <x v="7"/>
    <d v="1899-12-30T12:15:00"/>
    <d v="1899-12-30T13:30:00"/>
    <n v="0.625"/>
    <x v="0"/>
    <x v="0"/>
    <s v="Falla mecánica"/>
    <s v="Desfrutado"/>
    <x v="101"/>
    <s v="Rotura cadena"/>
  </r>
  <r>
    <x v="667"/>
    <x v="3"/>
    <x v="7"/>
    <d v="1899-12-30T14:30:00"/>
    <d v="1899-12-30T16:00:00"/>
    <n v="0.75"/>
    <x v="0"/>
    <x v="0"/>
    <s v="Falla mecánica"/>
    <s v="Desfrutado"/>
    <x v="101"/>
    <s v="Rotura cadena"/>
  </r>
  <r>
    <x v="667"/>
    <x v="3"/>
    <x v="7"/>
    <d v="1899-12-30T21:10:00"/>
    <d v="1899-12-30T21:40:00"/>
    <n v="0.25"/>
    <x v="0"/>
    <x v="1"/>
    <s v="Falla operativa"/>
    <s v="Planta general"/>
    <x v="4"/>
    <s v="Atraso esterilización"/>
  </r>
  <r>
    <x v="667"/>
    <x v="3"/>
    <x v="7"/>
    <d v="1899-12-30T03:00:00"/>
    <d v="1899-12-30T03:37:00"/>
    <n v="0.30833333333333335"/>
    <x v="0"/>
    <x v="1"/>
    <s v="Falla operativa"/>
    <s v="Planta general"/>
    <x v="4"/>
    <s v="Atraso esterilización"/>
  </r>
  <r>
    <x v="668"/>
    <x v="3"/>
    <x v="7"/>
    <d v="1899-12-30T19:07:00"/>
    <d v="1899-12-30T19:45:00"/>
    <n v="0.31666666666666665"/>
    <x v="0"/>
    <x v="1"/>
    <s v="Falla operativa"/>
    <s v="Planta general"/>
    <x v="4"/>
    <s v="Atraso esterilización"/>
  </r>
  <r>
    <x v="668"/>
    <x v="3"/>
    <x v="7"/>
    <d v="1899-12-30T22:22:00"/>
    <d v="1899-12-30T23:10:00"/>
    <n v="0.4"/>
    <x v="0"/>
    <x v="1"/>
    <s v="Falla operativa"/>
    <s v="Planta general"/>
    <x v="4"/>
    <s v="Atraso esterilización"/>
  </r>
  <r>
    <x v="668"/>
    <x v="3"/>
    <x v="7"/>
    <d v="1899-12-30T00:14:00"/>
    <d v="1899-12-30T01:14:00"/>
    <n v="0.5"/>
    <x v="0"/>
    <x v="1"/>
    <s v="Falla operativa"/>
    <s v="Planta general"/>
    <x v="4"/>
    <s v="Atraso esterilización"/>
  </r>
  <r>
    <x v="668"/>
    <x v="3"/>
    <x v="7"/>
    <d v="1899-12-30T03:00:00"/>
    <d v="1899-12-30T03:50:00"/>
    <n v="0.41666666666666669"/>
    <x v="0"/>
    <x v="1"/>
    <s v="Falla operativa"/>
    <s v="Planta general"/>
    <x v="4"/>
    <s v="Atraso esterilización"/>
  </r>
  <r>
    <x v="668"/>
    <x v="3"/>
    <x v="7"/>
    <d v="1899-12-30T11:55:00"/>
    <d v="1899-12-30T13:11:00"/>
    <n v="0.6333333333333333"/>
    <x v="0"/>
    <x v="1"/>
    <s v="Falla operativa"/>
    <s v="Planta general"/>
    <x v="4"/>
    <s v="Atraso esterilización"/>
  </r>
  <r>
    <x v="668"/>
    <x v="3"/>
    <x v="7"/>
    <d v="1899-12-30T03:00:00"/>
    <d v="1899-12-30T04:07:00"/>
    <n v="0.55833333333333335"/>
    <x v="0"/>
    <x v="1"/>
    <s v="Falla operativa"/>
    <s v="Planta general"/>
    <x v="4"/>
    <s v="Atraso esterilización"/>
  </r>
  <r>
    <x v="668"/>
    <x v="3"/>
    <x v="7"/>
    <d v="1899-12-30T18:08:00"/>
    <d v="1899-12-30T19:02:00"/>
    <n v="0.45"/>
    <x v="0"/>
    <x v="1"/>
    <s v="Falla operativa"/>
    <s v="Planta general"/>
    <x v="4"/>
    <s v="Atraso esterilización"/>
  </r>
  <r>
    <x v="669"/>
    <x v="3"/>
    <x v="7"/>
    <d v="1899-12-30T10:00:00"/>
    <d v="1899-12-30T12:05:00"/>
    <n v="2.0833333333333335"/>
    <x v="0"/>
    <x v="1"/>
    <s v="Falla operativa"/>
    <s v="Clarificación"/>
    <x v="35"/>
    <s v="Taponamiento"/>
  </r>
  <r>
    <x v="669"/>
    <x v="3"/>
    <x v="7"/>
    <d v="1899-12-30T02:55:00"/>
    <d v="1899-12-30T03:20:00"/>
    <n v="0.41666666666666669"/>
    <x v="0"/>
    <x v="0"/>
    <s v="Falla mecánica"/>
    <s v="Esterilización "/>
    <x v="85"/>
    <s v="Atascamiento linea 2"/>
  </r>
  <r>
    <x v="669"/>
    <x v="3"/>
    <x v="7"/>
    <d v="1899-12-30T05:18:00"/>
    <d v="1899-12-30T06:00:00"/>
    <n v="0.35"/>
    <x v="0"/>
    <x v="0"/>
    <s v="Falla mecánica"/>
    <s v="Desfibración"/>
    <x v="0"/>
    <s v="Rotura de grapa soporte de chumacera inter."/>
  </r>
  <r>
    <x v="669"/>
    <x v="3"/>
    <x v="7"/>
    <d v="1899-12-30T18:00:00"/>
    <d v="1899-12-30T21:15:00"/>
    <n v="1.625"/>
    <x v="0"/>
    <x v="0"/>
    <s v="Falla mecánica"/>
    <s v="Planta generación de vapor"/>
    <x v="76"/>
    <s v="rotura de cadena"/>
  </r>
  <r>
    <x v="669"/>
    <x v="3"/>
    <x v="7"/>
    <d v="1899-12-30T21:32:00"/>
    <d v="1899-12-30T23:59:00"/>
    <n v="1.2250000000000001"/>
    <x v="0"/>
    <x v="0"/>
    <s v="Falla mecánica"/>
    <s v="Planta generación de vapor"/>
    <x v="76"/>
    <s v="rotura de cadena"/>
  </r>
  <r>
    <x v="669"/>
    <x v="3"/>
    <x v="7"/>
    <d v="1899-12-30T00:00:00"/>
    <d v="1899-12-30T01:08:00"/>
    <n v="0.56666666666666665"/>
    <x v="0"/>
    <x v="0"/>
    <s v="Falla mecánica"/>
    <s v="Planta generación de vapor"/>
    <x v="76"/>
    <s v="rotura de cadena"/>
  </r>
  <r>
    <x v="669"/>
    <x v="3"/>
    <x v="7"/>
    <d v="1899-12-30T01:29:00"/>
    <d v="1899-12-30T02:07:00"/>
    <n v="0.31666666666666665"/>
    <x v="0"/>
    <x v="1"/>
    <s v="Falla operativa"/>
    <s v="Clarificación"/>
    <x v="35"/>
    <s v="Taponamiento"/>
  </r>
  <r>
    <x v="669"/>
    <x v="3"/>
    <x v="7"/>
    <d v="1899-12-30T05:02:00"/>
    <d v="1899-12-30T06:00:00"/>
    <n v="0.48333333333333334"/>
    <x v="0"/>
    <x v="1"/>
    <s v="Falla operativa"/>
    <s v="Planta general"/>
    <x v="4"/>
    <s v="Atraso esterilización"/>
  </r>
  <r>
    <x v="669"/>
    <x v="3"/>
    <x v="7"/>
    <d v="1899-12-30T18:00:00"/>
    <d v="1899-12-30T20:05:00"/>
    <n v="1.0416666666666667"/>
    <x v="0"/>
    <x v="1"/>
    <s v="Falla operativa"/>
    <s v="Planta general"/>
    <x v="4"/>
    <s v="Atraso esterilización"/>
  </r>
  <r>
    <x v="669"/>
    <x v="3"/>
    <x v="7"/>
    <d v="1899-12-30T01:31:00"/>
    <d v="1899-12-30T02:17:00"/>
    <n v="0.38333333333333336"/>
    <x v="0"/>
    <x v="1"/>
    <s v="Falla operativa"/>
    <s v="Clarificación"/>
    <x v="35"/>
    <s v="Taponamiento"/>
  </r>
  <r>
    <x v="669"/>
    <x v="3"/>
    <x v="7"/>
    <d v="1899-12-30T03:30:00"/>
    <d v="1899-12-30T04:30:00"/>
    <n v="0.5"/>
    <x v="0"/>
    <x v="0"/>
    <s v="Falla mecánica"/>
    <s v="Esterilización "/>
    <x v="44"/>
    <s v="Roturta orejas vagoneta linea 2"/>
  </r>
  <r>
    <x v="669"/>
    <x v="3"/>
    <x v="7"/>
    <d v="1899-12-30T05:10:00"/>
    <d v="1899-12-30T05:50:00"/>
    <n v="0.33333333333333331"/>
    <x v="0"/>
    <x v="1"/>
    <s v="Falla operativa"/>
    <s v="Planta general"/>
    <x v="4"/>
    <s v="Atraso esterilización"/>
  </r>
  <r>
    <x v="670"/>
    <x v="3"/>
    <x v="7"/>
    <d v="1899-12-30T06:00:00"/>
    <d v="1899-12-30T07:10:00"/>
    <n v="1.1666666666666667"/>
    <x v="0"/>
    <x v="1"/>
    <s v="Falla operativa"/>
    <s v="Clarificación"/>
    <x v="35"/>
    <s v="Taponamiento"/>
  </r>
  <r>
    <x v="670"/>
    <x v="3"/>
    <x v="7"/>
    <d v="1899-12-30T15:16:00"/>
    <d v="1899-12-30T16:20:00"/>
    <n v="0.53333333333333333"/>
    <x v="0"/>
    <x v="1"/>
    <s v="Falla operativa"/>
    <s v="Planta general"/>
    <x v="4"/>
    <s v="Atraso esterilización"/>
  </r>
  <r>
    <x v="670"/>
    <x v="3"/>
    <x v="7"/>
    <d v="1899-12-30T21:28:00"/>
    <d v="1899-12-30T21:45:00"/>
    <n v="0.14166666666666666"/>
    <x v="0"/>
    <x v="1"/>
    <s v="Falla operativa"/>
    <s v="Planta general"/>
    <x v="4"/>
    <s v="Atraso esterilización"/>
  </r>
  <r>
    <x v="670"/>
    <x v="3"/>
    <x v="7"/>
    <d v="1899-12-30T23:10:00"/>
    <d v="1899-12-30T23:59:00"/>
    <n v="0.40833333333333333"/>
    <x v="0"/>
    <x v="0"/>
    <s v="Falla mecánica"/>
    <s v="Esterilización "/>
    <x v="102"/>
    <s v="Atascada rodamientos malos"/>
  </r>
  <r>
    <x v="670"/>
    <x v="3"/>
    <x v="7"/>
    <d v="1899-12-30T00:00:00"/>
    <d v="1899-12-30T01:38:00"/>
    <n v="0.81666666666666665"/>
    <x v="0"/>
    <x v="0"/>
    <s v="Falla mecánica"/>
    <s v="Esterilización "/>
    <x v="102"/>
    <s v="Atascada rodamientos malos"/>
  </r>
  <r>
    <x v="670"/>
    <x v="3"/>
    <x v="7"/>
    <d v="1899-12-30T04:17:00"/>
    <d v="1899-12-30T06:00:00"/>
    <n v="0.85833333333333339"/>
    <x v="0"/>
    <x v="0"/>
    <s v="Falla mecánica"/>
    <s v="Esterilización "/>
    <x v="102"/>
    <s v="Atascada rodamientos malos"/>
  </r>
  <r>
    <x v="671"/>
    <x v="3"/>
    <x v="7"/>
    <d v="1899-12-30T06:00:00"/>
    <d v="1899-12-30T07:30:00"/>
    <n v="1.5"/>
    <x v="0"/>
    <x v="1"/>
    <s v="Falla operativa"/>
    <s v="Planta general"/>
    <x v="4"/>
    <s v="Atraso esterilización"/>
  </r>
  <r>
    <x v="671"/>
    <x v="3"/>
    <x v="7"/>
    <d v="1899-12-30T07:30:00"/>
    <d v="1899-12-30T10:20:00"/>
    <n v="1.4166666666666667"/>
    <x v="0"/>
    <x v="1"/>
    <s v="Falla operativa"/>
    <s v="Planta general"/>
    <x v="4"/>
    <s v="Atraso esterilización"/>
  </r>
  <r>
    <x v="671"/>
    <x v="3"/>
    <x v="7"/>
    <d v="1899-12-30T08:40:00"/>
    <d v="1899-12-30T09:10:00"/>
    <n v="0.25"/>
    <x v="0"/>
    <x v="0"/>
    <s v="Falla mecánica"/>
    <s v="Esterilización "/>
    <x v="102"/>
    <s v="Atascada rodamientos malos"/>
  </r>
  <r>
    <x v="672"/>
    <x v="3"/>
    <x v="7"/>
    <d v="1899-12-30T05:40:00"/>
    <d v="1899-12-30T06:00:00"/>
    <n v="0.16666666666666666"/>
    <x v="0"/>
    <x v="1"/>
    <s v="Falla operativa"/>
    <s v="Planta general"/>
    <x v="4"/>
    <s v="Atraso esterilización"/>
  </r>
  <r>
    <x v="672"/>
    <x v="3"/>
    <x v="7"/>
    <d v="1899-12-30T03:50:00"/>
    <d v="1899-12-30T04:18:00"/>
    <n v="0.23333333333333334"/>
    <x v="0"/>
    <x v="1"/>
    <s v="Falla operativa"/>
    <s v="Planta general"/>
    <x v="4"/>
    <s v="Atraso esterilización"/>
  </r>
  <r>
    <x v="673"/>
    <x v="3"/>
    <x v="7"/>
    <d v="1899-12-30T13:17:00"/>
    <d v="1899-12-30T23:59:00"/>
    <n v="5.35"/>
    <x v="0"/>
    <x v="0"/>
    <s v="Falla mecánica"/>
    <s v="Digestión y prensado"/>
    <x v="57"/>
    <s v="Falla piñoneria digestor"/>
  </r>
  <r>
    <x v="673"/>
    <x v="3"/>
    <x v="7"/>
    <d v="1899-12-30T00:00:00"/>
    <d v="1899-12-30T06:00:00"/>
    <n v="3"/>
    <x v="0"/>
    <x v="0"/>
    <s v="Falla mecánica"/>
    <s v="Digestión y prensado"/>
    <x v="57"/>
    <s v="Falla piñoneria digestor"/>
  </r>
  <r>
    <x v="673"/>
    <x v="3"/>
    <x v="7"/>
    <d v="1899-12-30T06:40:00"/>
    <d v="1899-12-30T07:00:00"/>
    <n v="0.16666666666666666"/>
    <x v="0"/>
    <x v="1"/>
    <s v="Falla operativa"/>
    <s v="Planta general"/>
    <x v="4"/>
    <s v="Atraso esterilización"/>
  </r>
  <r>
    <x v="674"/>
    <x v="3"/>
    <x v="7"/>
    <d v="1899-12-30T06:00:00"/>
    <d v="1899-12-30T18:00:00"/>
    <n v="6"/>
    <x v="0"/>
    <x v="0"/>
    <s v="Falla mecánica"/>
    <s v="Digestión y prensado"/>
    <x v="57"/>
    <s v="Falla piñoneria digestor"/>
  </r>
  <r>
    <x v="674"/>
    <x v="3"/>
    <x v="7"/>
    <d v="1899-12-30T18:00:00"/>
    <d v="1899-12-30T23:00:00"/>
    <n v="2.5"/>
    <x v="0"/>
    <x v="1"/>
    <s v="Falla operativa"/>
    <s v="Digestión y prensado"/>
    <x v="13"/>
    <s v="prensa atascada"/>
  </r>
  <r>
    <x v="674"/>
    <x v="3"/>
    <x v="7"/>
    <d v="1899-12-30T07:10:00"/>
    <d v="1899-12-30T07:31:00"/>
    <n v="0.17499999999999999"/>
    <x v="0"/>
    <x v="0"/>
    <s v="Falla mecánica"/>
    <s v="Desfibración"/>
    <x v="0"/>
    <s v="Rotura de la u del puente"/>
  </r>
  <r>
    <x v="674"/>
    <x v="3"/>
    <x v="7"/>
    <d v="1899-12-30T08:41:00"/>
    <d v="1899-12-30T09:14:00"/>
    <n v="0.27500000000000002"/>
    <x v="0"/>
    <x v="1"/>
    <s v="Falla operativa"/>
    <s v="Planta generación de vapor"/>
    <x v="22"/>
    <s v="Bajaron nivel"/>
  </r>
  <r>
    <x v="674"/>
    <x v="3"/>
    <x v="7"/>
    <d v="1899-12-30T09:50:00"/>
    <d v="1899-12-30T10:07:00"/>
    <n v="0.14166666666666666"/>
    <x v="0"/>
    <x v="0"/>
    <s v="Falla eléctrica"/>
    <s v="Planta generación energía electrica"/>
    <x v="51"/>
    <s v="Inspección"/>
  </r>
  <r>
    <x v="674"/>
    <x v="3"/>
    <x v="7"/>
    <d v="1899-12-30T10:30:00"/>
    <d v="1899-12-30T11:08:00"/>
    <n v="0.31666666666666665"/>
    <x v="0"/>
    <x v="0"/>
    <s v="Falla eléctrica"/>
    <s v="Planta generación energía electrica"/>
    <x v="51"/>
    <s v="Inspección"/>
  </r>
  <r>
    <x v="674"/>
    <x v="3"/>
    <x v="7"/>
    <d v="1899-12-30T18:00:00"/>
    <d v="1899-12-30T18:20:00"/>
    <n v="0.16666666666666666"/>
    <x v="0"/>
    <x v="1"/>
    <s v="Falla operativa"/>
    <s v="Planta general"/>
    <x v="4"/>
    <s v="Atraso esterilización"/>
  </r>
  <r>
    <x v="674"/>
    <x v="3"/>
    <x v="7"/>
    <d v="1899-12-30T19:20:00"/>
    <d v="1899-12-30T20:45:00"/>
    <n v="0.70833333333333337"/>
    <x v="0"/>
    <x v="1"/>
    <s v="Falla operativa"/>
    <s v="Planta generación de vapor"/>
    <x v="22"/>
    <s v="Limpieza"/>
  </r>
  <r>
    <x v="674"/>
    <x v="3"/>
    <x v="7"/>
    <d v="1899-12-30T00:42:00"/>
    <d v="1899-12-30T01:18:00"/>
    <n v="0.3"/>
    <x v="0"/>
    <x v="1"/>
    <s v="Falla operativa"/>
    <s v="Planta general"/>
    <x v="4"/>
    <s v="Atraso esterilización"/>
  </r>
  <r>
    <x v="674"/>
    <x v="3"/>
    <x v="7"/>
    <d v="1899-12-30T04:40:00"/>
    <d v="1899-12-30T05:13:00"/>
    <n v="0.27500000000000002"/>
    <x v="0"/>
    <x v="1"/>
    <s v="Falla operativa"/>
    <s v="Planta general"/>
    <x v="4"/>
    <s v="Atraso esterilización"/>
  </r>
  <r>
    <x v="675"/>
    <x v="3"/>
    <x v="7"/>
    <d v="1899-12-30T10:50:00"/>
    <d v="1899-12-30T11:30:00"/>
    <n v="0.33333333333333331"/>
    <x v="0"/>
    <x v="1"/>
    <s v="Falla operativa"/>
    <s v="Planta general"/>
    <x v="4"/>
    <s v="Atraso esterilización"/>
  </r>
  <r>
    <x v="675"/>
    <x v="3"/>
    <x v="7"/>
    <d v="1899-12-30T13:01:00"/>
    <d v="1899-12-30T14:20:00"/>
    <n v="0.65833333333333333"/>
    <x v="0"/>
    <x v="1"/>
    <s v="Falla operativa"/>
    <s v="Planta generación de vapor"/>
    <x v="22"/>
    <s v="Limpieza"/>
  </r>
  <r>
    <x v="675"/>
    <x v="3"/>
    <x v="7"/>
    <d v="1899-12-30T16:40:00"/>
    <d v="1899-12-30T17:25:00"/>
    <n v="0.375"/>
    <x v="0"/>
    <x v="1"/>
    <s v="Falla operativa"/>
    <s v="Palmistería"/>
    <x v="93"/>
    <s v="Lleno"/>
  </r>
  <r>
    <x v="675"/>
    <x v="3"/>
    <x v="7"/>
    <d v="1899-12-30T19:48:00"/>
    <d v="1899-12-31T00:55:00"/>
    <n v="2.5583333333333331"/>
    <x v="0"/>
    <x v="0"/>
    <s v="Falla mecánica"/>
    <s v="Esterilización "/>
    <x v="7"/>
    <s v="Descadenó"/>
  </r>
  <r>
    <x v="675"/>
    <x v="3"/>
    <x v="7"/>
    <d v="1899-12-30T22:20:00"/>
    <d v="1899-12-30T23:00:00"/>
    <n v="0.33333333333333331"/>
    <x v="0"/>
    <x v="1"/>
    <s v="Falla operativa"/>
    <s v="Planta generación de vapor"/>
    <x v="9"/>
    <s v="Rotura de tornillos"/>
  </r>
  <r>
    <x v="675"/>
    <x v="3"/>
    <x v="7"/>
    <d v="1899-12-30T23:42:00"/>
    <d v="1899-12-31T00:08:00"/>
    <n v="0.21666666666666667"/>
    <x v="0"/>
    <x v="1"/>
    <s v="Falla operativa"/>
    <s v="Planta generación de vapor"/>
    <x v="22"/>
    <s v="Falta de presión"/>
  </r>
  <r>
    <x v="676"/>
    <x v="3"/>
    <x v="7"/>
    <d v="1899-12-30T10:20:00"/>
    <d v="1899-12-30T10:52:00"/>
    <n v="0.26666666666666666"/>
    <x v="0"/>
    <x v="1"/>
    <s v="Falla operativa"/>
    <s v="Planta general"/>
    <x v="4"/>
    <s v="Atraso esterilización"/>
  </r>
  <r>
    <x v="676"/>
    <x v="3"/>
    <x v="7"/>
    <d v="1899-12-30T12:50:00"/>
    <d v="1899-12-30T14:37:00"/>
    <n v="0.89166666666666661"/>
    <x v="0"/>
    <x v="1"/>
    <s v="Falla operativa"/>
    <s v="Planta generación de vapor"/>
    <x v="22"/>
    <s v="Limpieza"/>
  </r>
  <r>
    <x v="676"/>
    <x v="3"/>
    <x v="7"/>
    <d v="1899-12-30T15:10:00"/>
    <d v="1899-12-30T15:51:00"/>
    <n v="0.34166666666666667"/>
    <x v="0"/>
    <x v="1"/>
    <s v="Falla operativa"/>
    <s v="Desfibración"/>
    <x v="0"/>
    <s v="Toma de medidas"/>
  </r>
  <r>
    <x v="676"/>
    <x v="3"/>
    <x v="7"/>
    <d v="1899-12-30T17:20:00"/>
    <d v="1899-12-30T17:48:00"/>
    <n v="0.23333333333333334"/>
    <x v="0"/>
    <x v="1"/>
    <s v="Falla operativa"/>
    <s v="Planta general"/>
    <x v="4"/>
    <s v="Atraso esterilización"/>
  </r>
  <r>
    <x v="676"/>
    <x v="3"/>
    <x v="7"/>
    <d v="1899-12-30T18:36:00"/>
    <d v="1899-12-30T19:35:00"/>
    <n v="0.49166666666666664"/>
    <x v="0"/>
    <x v="5"/>
    <s v="Fluído eléctrico"/>
    <s v="Planta generación energía electrica"/>
    <x v="51"/>
    <s v="corte de fluido electrico y rotura de tubo en caldera"/>
  </r>
  <r>
    <x v="676"/>
    <x v="3"/>
    <x v="7"/>
    <d v="1899-12-30T21:05:00"/>
    <d v="1899-12-31T01:50:00"/>
    <n v="2.375"/>
    <x v="0"/>
    <x v="1"/>
    <s v="Falla operativa"/>
    <s v="Planta general"/>
    <x v="4"/>
    <s v="Atraso esterilización"/>
  </r>
  <r>
    <x v="676"/>
    <x v="3"/>
    <x v="7"/>
    <d v="1899-12-30T02:21:00"/>
    <d v="1899-12-30T03:20:00"/>
    <n v="0.49166666666666664"/>
    <x v="0"/>
    <x v="0"/>
    <s v="Falla mecánica"/>
    <s v="Esterilización "/>
    <x v="17"/>
    <s v="Descadeno"/>
  </r>
  <r>
    <x v="676"/>
    <x v="3"/>
    <x v="7"/>
    <d v="1899-12-30T04:00:00"/>
    <d v="1899-12-30T05:00:00"/>
    <n v="0.5"/>
    <x v="0"/>
    <x v="0"/>
    <s v="Falla mecánica"/>
    <s v="Esterilización "/>
    <x v="17"/>
    <s v="Descadeno"/>
  </r>
  <r>
    <x v="677"/>
    <x v="3"/>
    <x v="7"/>
    <d v="1899-12-30T06:00:00"/>
    <d v="1899-12-30T06:35:00"/>
    <n v="0.29166666666666669"/>
    <x v="0"/>
    <x v="1"/>
    <s v="Falla operativa"/>
    <s v="Planta general"/>
    <x v="4"/>
    <s v="Atraso esterilización"/>
  </r>
  <r>
    <x v="677"/>
    <x v="3"/>
    <x v="7"/>
    <d v="1899-12-30T07:20:00"/>
    <d v="1899-12-30T09:50:00"/>
    <n v="1.25"/>
    <x v="0"/>
    <x v="1"/>
    <s v="Falla operativa"/>
    <s v="Planta generación de vapor"/>
    <x v="22"/>
    <s v="Limpieza"/>
  </r>
  <r>
    <x v="677"/>
    <x v="3"/>
    <x v="7"/>
    <d v="1899-12-30T11:05:00"/>
    <d v="1899-12-30T11:35:00"/>
    <n v="0.25"/>
    <x v="0"/>
    <x v="1"/>
    <s v="Falla operativa"/>
    <s v="Planta general"/>
    <x v="4"/>
    <s v="Atraso esterilización"/>
  </r>
  <r>
    <x v="677"/>
    <x v="3"/>
    <x v="7"/>
    <d v="1899-12-30T12:10:00"/>
    <d v="1899-12-30T12:35:00"/>
    <n v="0.20833333333333334"/>
    <x v="0"/>
    <x v="1"/>
    <s v="Falla operativa"/>
    <s v="Planta general"/>
    <x v="4"/>
    <s v="Atraso esterilización"/>
  </r>
  <r>
    <x v="677"/>
    <x v="3"/>
    <x v="7"/>
    <d v="1899-12-30T15:44:00"/>
    <d v="1899-12-30T16:14:00"/>
    <n v="0.25"/>
    <x v="0"/>
    <x v="1"/>
    <s v="Falla operativa"/>
    <s v="Planta general"/>
    <x v="4"/>
    <s v="Atraso esterilización"/>
  </r>
  <r>
    <x v="677"/>
    <x v="3"/>
    <x v="7"/>
    <d v="1899-12-30T16:07:00"/>
    <d v="1899-12-30T17:34:00"/>
    <n v="0.72499999999999998"/>
    <x v="0"/>
    <x v="1"/>
    <s v="Falla operativa"/>
    <s v="Planta general"/>
    <x v="4"/>
    <s v="Atraso esterilización"/>
  </r>
  <r>
    <x v="677"/>
    <x v="3"/>
    <x v="7"/>
    <d v="1899-12-30T03:20:00"/>
    <d v="1899-12-30T03:37:00"/>
    <n v="0.14166666666666666"/>
    <x v="0"/>
    <x v="0"/>
    <s v="Falla mecánica"/>
    <s v="Clarificación"/>
    <x v="43"/>
    <s v="Taponamiento"/>
  </r>
  <r>
    <x v="678"/>
    <x v="3"/>
    <x v="7"/>
    <d v="1899-12-30T06:10:00"/>
    <d v="1899-12-30T10:37:00"/>
    <n v="2.2250000000000001"/>
    <x v="0"/>
    <x v="0"/>
    <s v="Falla mecánica"/>
    <s v="Esterilización "/>
    <x v="56"/>
    <s v="Descadeno"/>
  </r>
  <r>
    <x v="678"/>
    <x v="3"/>
    <x v="7"/>
    <d v="1899-12-30T12:40:00"/>
    <d v="1899-12-30T13:35:00"/>
    <n v="0.45833333333333331"/>
    <x v="0"/>
    <x v="1"/>
    <s v="Falla operativa"/>
    <s v="Planta generación de vapor"/>
    <x v="9"/>
    <s v="Rotura de tornillo"/>
  </r>
  <r>
    <x v="679"/>
    <x v="3"/>
    <x v="7"/>
    <d v="1899-12-30T18:00:00"/>
    <d v="1899-12-30T23:59:00"/>
    <n v="2.9916666666666667"/>
    <x v="0"/>
    <x v="0"/>
    <s v="Falla mecánica"/>
    <s v="Esterilización "/>
    <x v="96"/>
    <s v="dañado, perdio compresion"/>
  </r>
  <r>
    <x v="679"/>
    <x v="3"/>
    <x v="7"/>
    <d v="1899-12-30T00:00:00"/>
    <d v="1899-12-30T06:00:00"/>
    <n v="3"/>
    <x v="0"/>
    <x v="0"/>
    <s v="Falla mecánica"/>
    <s v="Esterilización "/>
    <x v="96"/>
    <s v="dañado, perdio compresion"/>
  </r>
  <r>
    <x v="679"/>
    <x v="3"/>
    <x v="7"/>
    <d v="1899-12-30T23:21:00"/>
    <d v="1899-12-30T23:59:00"/>
    <n v="0.31666666666666665"/>
    <x v="0"/>
    <x v="0"/>
    <s v="Falla mecánica"/>
    <s v="Esterilización "/>
    <x v="96"/>
    <s v="dañado, perdio compresion"/>
  </r>
  <r>
    <x v="679"/>
    <x v="3"/>
    <x v="7"/>
    <d v="1899-12-30T00:00:00"/>
    <d v="1899-12-30T00:54:00"/>
    <n v="0.45"/>
    <x v="0"/>
    <x v="0"/>
    <s v="Falla mecánica"/>
    <s v="Esterilización "/>
    <x v="96"/>
    <s v="dañado, perdio compresion"/>
  </r>
  <r>
    <x v="679"/>
    <x v="3"/>
    <x v="7"/>
    <d v="1899-12-30T02:00:00"/>
    <d v="1899-12-30T02:37:00"/>
    <n v="0.30833333333333335"/>
    <x v="0"/>
    <x v="0"/>
    <s v="Falla mecánica"/>
    <s v="Esterilización "/>
    <x v="96"/>
    <s v="dañado, perdio compresion"/>
  </r>
  <r>
    <x v="679"/>
    <x v="3"/>
    <x v="7"/>
    <d v="1899-12-30T03:54:00"/>
    <d v="1899-12-30T04:41:00"/>
    <n v="0.39166666666666666"/>
    <x v="0"/>
    <x v="0"/>
    <s v="Falla mecánica"/>
    <s v="Esterilización "/>
    <x v="96"/>
    <s v="dañado, perdio compresion"/>
  </r>
  <r>
    <x v="680"/>
    <x v="3"/>
    <x v="7"/>
    <d v="1899-12-30T06:00:00"/>
    <d v="1899-12-30T19:48:00"/>
    <n v="6.9"/>
    <x v="0"/>
    <x v="0"/>
    <s v="Falla mecánica"/>
    <s v="Digestión y prensado"/>
    <x v="13"/>
    <s v="cambio de tornillos"/>
  </r>
  <r>
    <x v="680"/>
    <x v="3"/>
    <x v="7"/>
    <d v="1899-12-30T06:00:00"/>
    <d v="1899-12-30T09:18:00"/>
    <n v="1.65"/>
    <x v="0"/>
    <x v="0"/>
    <s v="Falla mecánica"/>
    <s v="Esterilización "/>
    <x v="96"/>
    <s v="dañado, perdio compresion"/>
  </r>
  <r>
    <x v="680"/>
    <x v="3"/>
    <x v="7"/>
    <d v="1899-12-30T02:17:00"/>
    <d v="1899-12-30T03:30:00"/>
    <n v="0.60833333333333339"/>
    <x v="0"/>
    <x v="0"/>
    <s v="Falla mecánica"/>
    <s v="Desfrutado"/>
    <x v="8"/>
    <s v="Descadenamiento de cadena"/>
  </r>
  <r>
    <x v="680"/>
    <x v="3"/>
    <x v="7"/>
    <d v="1899-12-30T19:20:00"/>
    <d v="1899-12-30T19:35:00"/>
    <n v="0.125"/>
    <x v="0"/>
    <x v="1"/>
    <s v="Falla operativa"/>
    <s v="Esterilización "/>
    <x v="4"/>
    <s v="Atraso esterilización"/>
  </r>
  <r>
    <x v="680"/>
    <x v="3"/>
    <x v="7"/>
    <d v="1899-12-30T20:20:00"/>
    <d v="1899-12-30T20:35:00"/>
    <n v="0.125"/>
    <x v="0"/>
    <x v="1"/>
    <s v="Falla operativa"/>
    <s v="Esterilización "/>
    <x v="4"/>
    <s v="Atraso esterilización"/>
  </r>
  <r>
    <x v="681"/>
    <x v="3"/>
    <x v="7"/>
    <d v="1899-12-30T06:00:00"/>
    <d v="1899-12-30T06:53:00"/>
    <n v="0.8833333333333333"/>
    <x v="0"/>
    <x v="1"/>
    <s v="Falla operativa"/>
    <s v="Desfrutado"/>
    <x v="2"/>
    <s v="Limpieza tambor, tapado de tusa"/>
  </r>
  <r>
    <x v="681"/>
    <x v="3"/>
    <x v="7"/>
    <d v="1899-12-30T10:55:00"/>
    <d v="1899-12-30T12:00:00"/>
    <n v="1.0833333333333333"/>
    <x v="0"/>
    <x v="0"/>
    <s v="Falla mecánica"/>
    <s v="Desfrutado"/>
    <x v="8"/>
    <s v="Cadena partida"/>
  </r>
  <r>
    <x v="681"/>
    <x v="3"/>
    <x v="7"/>
    <d v="1899-12-30T18:18:00"/>
    <d v="1899-12-30T18:29:00"/>
    <n v="9.166666666666666E-2"/>
    <x v="0"/>
    <x v="1"/>
    <s v="Falla operativa"/>
    <s v="Esterilización "/>
    <x v="4"/>
    <s v="Atraso esterilización"/>
  </r>
  <r>
    <x v="681"/>
    <x v="3"/>
    <x v="7"/>
    <d v="1899-12-30T18:43:00"/>
    <d v="1899-12-30T18:51:00"/>
    <n v="6.6666666666666666E-2"/>
    <x v="0"/>
    <x v="1"/>
    <s v="Falla operativa"/>
    <s v="Esterilización "/>
    <x v="4"/>
    <s v="Atraso esterilización"/>
  </r>
  <r>
    <x v="681"/>
    <x v="3"/>
    <x v="7"/>
    <d v="1899-12-30T21:05:00"/>
    <d v="1899-12-30T21:50:00"/>
    <n v="0.375"/>
    <x v="0"/>
    <x v="1"/>
    <s v="Falla operativa"/>
    <s v="Esterilización "/>
    <x v="4"/>
    <s v="Atraso esterilización"/>
  </r>
  <r>
    <x v="681"/>
    <x v="3"/>
    <x v="7"/>
    <d v="1899-12-30T22:37:00"/>
    <d v="1899-12-30T22:50:00"/>
    <n v="0.10833333333333334"/>
    <x v="0"/>
    <x v="1"/>
    <s v="Falla operativa"/>
    <s v="Desfrutado"/>
    <x v="2"/>
    <s v="Limpieza tambor, tapado de tusa"/>
  </r>
  <r>
    <x v="681"/>
    <x v="3"/>
    <x v="7"/>
    <d v="1899-12-30T03:43:00"/>
    <d v="1899-12-30T04:27:00"/>
    <n v="0.36666666666666664"/>
    <x v="0"/>
    <x v="1"/>
    <s v="Falla operativa"/>
    <s v="Esterilización "/>
    <x v="4"/>
    <s v="Atraso esterilización"/>
  </r>
  <r>
    <x v="681"/>
    <x v="3"/>
    <x v="7"/>
    <d v="1899-12-30T05:12:00"/>
    <d v="1899-12-30T05:32:00"/>
    <n v="0.16666666666666666"/>
    <x v="0"/>
    <x v="1"/>
    <s v="Falla operativa"/>
    <s v="Clarificación"/>
    <x v="16"/>
    <s v="centrifugas tapadas"/>
  </r>
  <r>
    <x v="682"/>
    <x v="3"/>
    <x v="7"/>
    <d v="1899-12-30T06:00:00"/>
    <d v="1899-12-30T06:46:00"/>
    <n v="0.38333333333333336"/>
    <x v="0"/>
    <x v="0"/>
    <s v="Falla mecánica"/>
    <s v="Desfrutado"/>
    <x v="18"/>
    <s v="Descadenamiento de cadena"/>
  </r>
  <r>
    <x v="682"/>
    <x v="3"/>
    <x v="7"/>
    <d v="1899-12-30T14:15:00"/>
    <d v="1899-12-30T14:40:00"/>
    <n v="0.20833333333333334"/>
    <x v="0"/>
    <x v="0"/>
    <s v="Falla mecánica"/>
    <s v="Desfrutado"/>
    <x v="8"/>
    <s v="Salida de piñon transmision"/>
  </r>
  <r>
    <x v="682"/>
    <x v="3"/>
    <x v="7"/>
    <d v="1899-12-30T20:30:00"/>
    <d v="1899-12-30T23:04:00"/>
    <n v="1.2833333333333332"/>
    <x v="0"/>
    <x v="1"/>
    <s v="Falla operativa"/>
    <s v="Esterilización "/>
    <x v="4"/>
    <s v="Atraso esterilización"/>
  </r>
  <r>
    <x v="682"/>
    <x v="3"/>
    <x v="7"/>
    <d v="1899-12-30T23:52:00"/>
    <d v="1899-12-30T23:59:00"/>
    <n v="5.8333333333333334E-2"/>
    <x v="0"/>
    <x v="1"/>
    <s v="Falla operativa"/>
    <s v="Esterilización "/>
    <x v="4"/>
    <s v="Atraso esterilización"/>
  </r>
  <r>
    <x v="682"/>
    <x v="3"/>
    <x v="7"/>
    <d v="1899-12-30T00:00:00"/>
    <d v="1899-12-30T00:35:00"/>
    <n v="0.29166666666666669"/>
    <x v="0"/>
    <x v="1"/>
    <s v="Falla operativa"/>
    <s v="Esterilización "/>
    <x v="4"/>
    <s v="Atraso esterilización"/>
  </r>
  <r>
    <x v="683"/>
    <x v="3"/>
    <x v="7"/>
    <d v="1899-12-30T10:09:00"/>
    <d v="1899-12-30T13:45:00"/>
    <n v="1.8"/>
    <x v="0"/>
    <x v="1"/>
    <s v="Falla operativa"/>
    <s v="Esterilización "/>
    <x v="4"/>
    <s v="Atraso esterilización"/>
  </r>
  <r>
    <x v="683"/>
    <x v="3"/>
    <x v="7"/>
    <d v="1899-12-30T20:18:00"/>
    <d v="1899-12-30T20:36:00"/>
    <n v="0.15"/>
    <x v="0"/>
    <x v="1"/>
    <s v="Falla operativa"/>
    <s v="Esterilización "/>
    <x v="4"/>
    <s v="Atraso esterilización"/>
  </r>
  <r>
    <x v="683"/>
    <x v="3"/>
    <x v="7"/>
    <d v="1899-12-30T21:40:00"/>
    <d v="1899-12-30T21:58:00"/>
    <n v="0.15"/>
    <x v="0"/>
    <x v="1"/>
    <s v="Falla operativa"/>
    <s v="Esterilización "/>
    <x v="4"/>
    <s v="Atraso esterilización"/>
  </r>
  <r>
    <x v="683"/>
    <x v="3"/>
    <x v="7"/>
    <d v="1899-12-30T23:44:00"/>
    <d v="1899-12-30T23:59:00"/>
    <n v="0.125"/>
    <x v="0"/>
    <x v="1"/>
    <s v="Falla operativa"/>
    <s v="Esterilización "/>
    <x v="4"/>
    <s v="Atraso esterilización"/>
  </r>
  <r>
    <x v="683"/>
    <x v="3"/>
    <x v="7"/>
    <d v="1899-12-30T00:10:00"/>
    <d v="1899-12-30T01:07:00"/>
    <n v="0.47499999999999998"/>
    <x v="0"/>
    <x v="1"/>
    <s v="Falla operativa"/>
    <s v="Esterilización "/>
    <x v="4"/>
    <s v="Atraso esterilización"/>
  </r>
  <r>
    <x v="684"/>
    <x v="3"/>
    <x v="7"/>
    <d v="1899-12-30T18:50:00"/>
    <d v="1899-12-30T20:22:00"/>
    <n v="0.76666666666666661"/>
    <x v="0"/>
    <x v="1"/>
    <s v="Falla operativa"/>
    <s v="Esterilización "/>
    <x v="4"/>
    <s v="Atraso esterilización"/>
  </r>
  <r>
    <x v="684"/>
    <x v="3"/>
    <x v="7"/>
    <d v="1899-12-30T21:23:00"/>
    <d v="1899-12-30T21:32:00"/>
    <n v="7.4999999999999997E-2"/>
    <x v="0"/>
    <x v="1"/>
    <s v="Falla operativa"/>
    <s v="Desfrutado"/>
    <x v="50"/>
    <s v="taponamiento de tusa"/>
  </r>
  <r>
    <x v="684"/>
    <x v="3"/>
    <x v="7"/>
    <d v="1899-12-30T11:25:00"/>
    <d v="1899-12-30T12:25:00"/>
    <n v="0.5"/>
    <x v="0"/>
    <x v="1"/>
    <s v="Falla operativa"/>
    <s v="Desfrutado"/>
    <x v="4"/>
    <s v="Atraso esterilización"/>
  </r>
  <r>
    <x v="684"/>
    <x v="3"/>
    <x v="7"/>
    <d v="1899-12-30T13:05:00"/>
    <d v="1899-12-30T15:05:00"/>
    <n v="1"/>
    <x v="0"/>
    <x v="1"/>
    <s v="Falla operativa"/>
    <s v="Desfrutado"/>
    <x v="4"/>
    <s v="Atraso esterilización"/>
  </r>
  <r>
    <x v="684"/>
    <x v="3"/>
    <x v="7"/>
    <d v="1899-12-30T15:35:00"/>
    <d v="1899-12-30T16:00:00"/>
    <n v="0.20833333333333334"/>
    <x v="0"/>
    <x v="1"/>
    <s v="Falla operativa"/>
    <s v="Desfrutado"/>
    <x v="18"/>
    <s v="Descadenamiento de cadena"/>
  </r>
  <r>
    <x v="684"/>
    <x v="3"/>
    <x v="7"/>
    <d v="1899-12-30T16:38:00"/>
    <d v="1899-12-30T17:35:00"/>
    <n v="0.47499999999999998"/>
    <x v="0"/>
    <x v="1"/>
    <s v="Falla operativa"/>
    <s v="Desfrutado"/>
    <x v="4"/>
    <s v="Atraso esterilización"/>
  </r>
  <r>
    <x v="684"/>
    <x v="3"/>
    <x v="7"/>
    <d v="1899-12-30T21:23:00"/>
    <d v="1899-12-30T21:58:00"/>
    <n v="0.29166666666666669"/>
    <x v="0"/>
    <x v="1"/>
    <s v="Falla operativa"/>
    <s v="Desfrutado"/>
    <x v="50"/>
    <s v="taponamiento de tusa"/>
  </r>
  <r>
    <x v="684"/>
    <x v="3"/>
    <x v="7"/>
    <d v="1899-12-30T00:48:00"/>
    <d v="1899-12-30T01:07:00"/>
    <n v="0.15833333333333333"/>
    <x v="0"/>
    <x v="1"/>
    <s v="Falla operativa"/>
    <s v="Esterilización "/>
    <x v="4"/>
    <s v="Atraso esterilización"/>
  </r>
  <r>
    <x v="685"/>
    <x v="3"/>
    <x v="7"/>
    <d v="1899-12-30T06:00:00"/>
    <d v="1899-12-30T06:05:00"/>
    <n v="4.1666666666666664E-2"/>
    <x v="0"/>
    <x v="1"/>
    <s v="Falla operativa"/>
    <s v="Esterilización "/>
    <x v="4"/>
    <s v="Atraso esterilización"/>
  </r>
  <r>
    <x v="686"/>
    <x v="3"/>
    <x v="7"/>
    <d v="1899-12-30T07:00:00"/>
    <d v="1899-12-30T08:00:00"/>
    <n v="0.5"/>
    <x v="0"/>
    <x v="1"/>
    <s v="Falla operativa"/>
    <s v="Desfrutado"/>
    <x v="19"/>
    <s v="tapado"/>
  </r>
  <r>
    <x v="686"/>
    <x v="3"/>
    <x v="7"/>
    <d v="1899-12-30T07:30:00"/>
    <d v="1899-12-30T08:30:00"/>
    <n v="0.5"/>
    <x v="0"/>
    <x v="1"/>
    <s v="Falla operativa"/>
    <s v="Desfrutado"/>
    <x v="19"/>
    <s v="tapado"/>
  </r>
  <r>
    <x v="687"/>
    <x v="3"/>
    <x v="7"/>
    <d v="1899-12-30T07:50:00"/>
    <d v="1899-12-30T10:30:00"/>
    <n v="1.3333333333333333"/>
    <x v="0"/>
    <x v="1"/>
    <s v="Falla operativa"/>
    <s v="Esterilización "/>
    <x v="4"/>
    <s v="Atraso esterilización"/>
  </r>
  <r>
    <x v="687"/>
    <x v="3"/>
    <x v="7"/>
    <d v="1899-12-30T14:34:00"/>
    <d v="1899-12-30T20:00:00"/>
    <n v="2.7166666666666668"/>
    <x v="0"/>
    <x v="0"/>
    <s v="Falla mecánica"/>
    <s v="Desfrutado"/>
    <x v="8"/>
    <s v="Se rompe cadena"/>
  </r>
  <r>
    <x v="687"/>
    <x v="3"/>
    <x v="7"/>
    <d v="1899-12-30T07:10:00"/>
    <d v="1899-12-30T10:30:00"/>
    <n v="1.6666666666666667"/>
    <x v="0"/>
    <x v="0"/>
    <s v="Falla mecánica"/>
    <s v="Desfrutado"/>
    <x v="50"/>
    <s v="Falla de rodillo"/>
  </r>
  <r>
    <x v="687"/>
    <x v="3"/>
    <x v="7"/>
    <d v="1899-12-30T13:46:00"/>
    <d v="1899-12-30T14:00:00"/>
    <n v="0.11666666666666667"/>
    <x v="0"/>
    <x v="1"/>
    <s v="Falla operativa"/>
    <s v="Esterilización "/>
    <x v="4"/>
    <s v="Atraso esterilización"/>
  </r>
  <r>
    <x v="687"/>
    <x v="3"/>
    <x v="7"/>
    <d v="1899-12-30T14:34:00"/>
    <d v="1899-12-30T21:17:00"/>
    <n v="3.3583333333333334"/>
    <x v="0"/>
    <x v="0"/>
    <s v="Falla mecánica"/>
    <s v="Desfrutado"/>
    <x v="8"/>
    <s v="Se rompe cadena"/>
  </r>
  <r>
    <x v="687"/>
    <x v="3"/>
    <x v="7"/>
    <d v="1899-12-30T22:30:00"/>
    <d v="1899-12-30T23:15:00"/>
    <n v="0.375"/>
    <x v="0"/>
    <x v="1"/>
    <s v="Falla operativa"/>
    <s v="Esterilización "/>
    <x v="4"/>
    <s v="Atraso esterilización"/>
  </r>
  <r>
    <x v="688"/>
    <x v="3"/>
    <x v="7"/>
    <d v="1899-12-30T03:14:00"/>
    <d v="1899-12-30T04:15:00"/>
    <n v="0.5083333333333333"/>
    <x v="0"/>
    <x v="1"/>
    <s v="Falla operativa"/>
    <s v="Esterilización "/>
    <x v="4"/>
    <s v="Atraso esterilización"/>
  </r>
  <r>
    <x v="688"/>
    <x v="3"/>
    <x v="7"/>
    <d v="1899-12-30T13:50:00"/>
    <d v="1899-12-30T14:55:00"/>
    <n v="0.54166666666666663"/>
    <x v="0"/>
    <x v="0"/>
    <s v="Falla mecánica"/>
    <s v="Desfrutado"/>
    <x v="101"/>
    <s v="Desencadena"/>
  </r>
  <r>
    <x v="688"/>
    <x v="3"/>
    <x v="7"/>
    <d v="1899-12-30T15:30:00"/>
    <d v="1899-12-30T16:15:00"/>
    <n v="0.375"/>
    <x v="0"/>
    <x v="0"/>
    <s v="Falla mecánica"/>
    <s v="Desfrutado"/>
    <x v="101"/>
    <s v="Desencadena"/>
  </r>
  <r>
    <x v="688"/>
    <x v="3"/>
    <x v="7"/>
    <d v="1899-12-30T18:11:00"/>
    <d v="1899-12-30T18:30:00"/>
    <n v="0.15833333333333333"/>
    <x v="0"/>
    <x v="1"/>
    <s v="Falla operativa"/>
    <s v="Esterilización "/>
    <x v="4"/>
    <s v="Atraso esterilización"/>
  </r>
  <r>
    <x v="688"/>
    <x v="3"/>
    <x v="7"/>
    <d v="1899-12-30T19:50:00"/>
    <d v="1899-12-30T20:25:00"/>
    <n v="0.29166666666666669"/>
    <x v="0"/>
    <x v="1"/>
    <s v="Falla operativa"/>
    <s v="Desfrutado"/>
    <x v="19"/>
    <s v="tapado"/>
  </r>
  <r>
    <x v="688"/>
    <x v="3"/>
    <x v="7"/>
    <d v="1899-12-30T01:10:00"/>
    <d v="1899-12-30T02:00:00"/>
    <n v="0.41666666666666669"/>
    <x v="0"/>
    <x v="1"/>
    <s v="Falla operativa"/>
    <s v="Esterilización "/>
    <x v="4"/>
    <s v="Atraso esterilización"/>
  </r>
  <r>
    <x v="688"/>
    <x v="3"/>
    <x v="7"/>
    <d v="1899-12-30T04:35:00"/>
    <d v="1899-12-30T05:00:00"/>
    <n v="0.20833333333333334"/>
    <x v="0"/>
    <x v="1"/>
    <s v="Falla operativa"/>
    <s v="Esterilización "/>
    <x v="4"/>
    <s v="Atraso esterilización"/>
  </r>
  <r>
    <x v="689"/>
    <x v="3"/>
    <x v="7"/>
    <d v="1899-12-30T02:25:00"/>
    <d v="1899-12-30T02:34:00"/>
    <n v="0.15"/>
    <x v="0"/>
    <x v="1"/>
    <s v="Falla operativa"/>
    <s v="Desfrutado"/>
    <x v="50"/>
    <s v="atascamiento de banda"/>
  </r>
  <r>
    <x v="689"/>
    <x v="3"/>
    <x v="7"/>
    <d v="1899-12-30T06:00:00"/>
    <d v="1899-12-30T12:04:00"/>
    <n v="3.0333333333333332"/>
    <x v="0"/>
    <x v="0"/>
    <s v="Falla mecánica"/>
    <s v="Esterilización "/>
    <x v="52"/>
    <s v="Se ajusta lengüeta cheque suelta"/>
  </r>
  <r>
    <x v="689"/>
    <x v="3"/>
    <x v="7"/>
    <d v="1899-12-30T17:23:00"/>
    <d v="1899-12-30T17:41:00"/>
    <n v="0.15"/>
    <x v="0"/>
    <x v="1"/>
    <s v="Falla operativa"/>
    <s v="Esterilización "/>
    <x v="4"/>
    <s v="Atraso esterilización"/>
  </r>
  <r>
    <x v="689"/>
    <x v="3"/>
    <x v="7"/>
    <d v="1899-12-30T20:50:00"/>
    <d v="1899-12-30T22:50:00"/>
    <n v="1"/>
    <x v="0"/>
    <x v="0"/>
    <s v="Falla mecánica"/>
    <s v="Esterilización "/>
    <x v="23"/>
    <s v="Cambio de rodamientos "/>
  </r>
  <r>
    <x v="689"/>
    <x v="3"/>
    <x v="7"/>
    <d v="1899-12-30T23:50:00"/>
    <d v="1899-12-30T23:59:00"/>
    <n v="7.4999999999999997E-2"/>
    <x v="0"/>
    <x v="0"/>
    <s v="Falla mecánica"/>
    <s v="Esterilización "/>
    <x v="52"/>
    <s v="cambio de cheques de la entrada de agua"/>
  </r>
  <r>
    <x v="689"/>
    <x v="3"/>
    <x v="7"/>
    <d v="1899-12-30T00:00:00"/>
    <d v="1899-12-30T01:50:00"/>
    <n v="0.91666666666666674"/>
    <x v="0"/>
    <x v="0"/>
    <s v="Falla mecánica"/>
    <s v="Esterilización "/>
    <x v="52"/>
    <s v="cambio de cheques de la entrada de agua"/>
  </r>
  <r>
    <x v="689"/>
    <x v="3"/>
    <x v="7"/>
    <d v="1899-12-30T03:00:00"/>
    <d v="1899-12-30T03:22:00"/>
    <n v="0.18333333333333332"/>
    <x v="0"/>
    <x v="1"/>
    <s v="Falla operativa"/>
    <s v="Esterilización "/>
    <x v="4"/>
    <s v="Atraso esterilización"/>
  </r>
  <r>
    <x v="690"/>
    <x v="3"/>
    <x v="7"/>
    <d v="1899-12-30T08:15:00"/>
    <d v="1899-12-30T08:23:00"/>
    <n v="6.6666666666666666E-2"/>
    <x v="0"/>
    <x v="1"/>
    <s v="Falla operativa"/>
    <s v="Esterilización "/>
    <x v="4"/>
    <s v="Atraso esterilización"/>
  </r>
  <r>
    <x v="690"/>
    <x v="3"/>
    <x v="7"/>
    <d v="1899-12-30T15:30:00"/>
    <d v="1899-12-30T16:00:00"/>
    <n v="0.25"/>
    <x v="0"/>
    <x v="1"/>
    <s v="Falla operativa"/>
    <s v="Esterilización "/>
    <x v="4"/>
    <s v="Atraso esterilización"/>
  </r>
  <r>
    <x v="690"/>
    <x v="3"/>
    <x v="7"/>
    <d v="1899-12-30T18:40:00"/>
    <d v="1899-12-30T19:00:00"/>
    <n v="0.16666666666666666"/>
    <x v="0"/>
    <x v="1"/>
    <s v="Falla operativa"/>
    <s v="Esterilización "/>
    <x v="4"/>
    <s v="Atraso esterilización"/>
  </r>
  <r>
    <x v="690"/>
    <x v="3"/>
    <x v="7"/>
    <d v="1899-12-30T00:12:00"/>
    <d v="1899-12-30T00:40:00"/>
    <n v="0.23333333333333334"/>
    <x v="0"/>
    <x v="1"/>
    <s v="Falla operativa"/>
    <s v="Esterilización "/>
    <x v="4"/>
    <s v="Atraso esterilización"/>
  </r>
  <r>
    <x v="691"/>
    <x v="3"/>
    <x v="7"/>
    <d v="1899-12-30T14:39:00"/>
    <d v="1899-12-30T14:44:00"/>
    <n v="8.3333333333333329E-2"/>
    <x v="0"/>
    <x v="1"/>
    <s v="Falla operativa"/>
    <s v="Desfrutado"/>
    <x v="50"/>
    <s v="atascamiento de banda"/>
  </r>
  <r>
    <x v="691"/>
    <x v="3"/>
    <x v="7"/>
    <d v="1899-12-30T15:42:00"/>
    <d v="1899-12-30T15:53:00"/>
    <n v="0.18333333333333332"/>
    <x v="0"/>
    <x v="1"/>
    <s v="Falla operativa"/>
    <s v="Desfrutado"/>
    <x v="50"/>
    <s v="atascamiento de banda"/>
  </r>
  <r>
    <x v="692"/>
    <x v="3"/>
    <x v="7"/>
    <d v="1899-12-30T18:44:00"/>
    <d v="1899-12-30T20:28:00"/>
    <n v="1.7333333333333334"/>
    <x v="0"/>
    <x v="1"/>
    <s v="Falla operativa"/>
    <s v="Esterilización "/>
    <x v="52"/>
    <s v="Descarrilado"/>
  </r>
  <r>
    <x v="692"/>
    <x v="3"/>
    <x v="7"/>
    <d v="1899-12-30T02:00:00"/>
    <d v="1899-12-30T02:24:00"/>
    <n v="0.4"/>
    <x v="0"/>
    <x v="0"/>
    <s v="Falla mecánica"/>
    <s v="Desfrutado"/>
    <x v="101"/>
    <s v="Descadenado"/>
  </r>
  <r>
    <x v="692"/>
    <x v="3"/>
    <x v="7"/>
    <d v="1899-12-30T17:00:00"/>
    <d v="1899-12-30T17:25:00"/>
    <n v="0.20833333333333334"/>
    <x v="0"/>
    <x v="0"/>
    <s v="Falla mecánica"/>
    <s v="Desfrutado"/>
    <x v="101"/>
    <s v="Descadenado"/>
  </r>
  <r>
    <x v="692"/>
    <x v="3"/>
    <x v="7"/>
    <d v="1899-12-30T20:22:00"/>
    <d v="1899-12-30T21:47:00"/>
    <n v="0.70833333333333337"/>
    <x v="0"/>
    <x v="1"/>
    <s v="Falla operativa"/>
    <s v="Esterilización "/>
    <x v="4"/>
    <s v="Atraso esterilización"/>
  </r>
  <r>
    <x v="693"/>
    <x v="3"/>
    <x v="7"/>
    <d v="1899-12-30T01:30:00"/>
    <d v="1899-12-30T14:00:00"/>
    <n v="12.5"/>
    <x v="0"/>
    <x v="0"/>
    <s v="Falla mecánica"/>
    <s v="Desfrutado"/>
    <x v="2"/>
    <s v="Rotura piñones reductor"/>
  </r>
  <r>
    <x v="693"/>
    <x v="3"/>
    <x v="7"/>
    <d v="1899-12-30T17:59:00"/>
    <d v="1899-12-30T23:59:00"/>
    <n v="6"/>
    <x v="0"/>
    <x v="0"/>
    <s v="Falla mecánica"/>
    <s v="Desfrutado"/>
    <x v="2"/>
    <s v="Rotura piñones reductor"/>
  </r>
  <r>
    <x v="693"/>
    <x v="3"/>
    <x v="7"/>
    <d v="1899-12-30T00:00:00"/>
    <d v="1899-12-30T02:00:00"/>
    <n v="2"/>
    <x v="0"/>
    <x v="0"/>
    <s v="Falla mecánica"/>
    <s v="Desfrutado"/>
    <x v="2"/>
    <s v="Rotura piñones reductor"/>
  </r>
  <r>
    <x v="694"/>
    <x v="3"/>
    <x v="8"/>
    <d v="1899-12-30T06:00:00"/>
    <d v="1899-12-30T14:00:00"/>
    <n v="8"/>
    <x v="0"/>
    <x v="0"/>
    <s v="Falla mecánica"/>
    <s v="Desfrutado"/>
    <x v="2"/>
    <s v="Rotura piñones reductor"/>
  </r>
  <r>
    <x v="694"/>
    <x v="3"/>
    <x v="8"/>
    <d v="1899-12-30T02:00:00"/>
    <d v="1899-12-30T02:20:00"/>
    <n v="0.33333333333333331"/>
    <x v="0"/>
    <x v="1"/>
    <s v="Falla operativa"/>
    <s v="Desfrutado"/>
    <x v="2"/>
    <s v="Taponamiento tambor"/>
  </r>
  <r>
    <x v="695"/>
    <x v="3"/>
    <x v="8"/>
    <d v="1899-12-30T11:18:00"/>
    <d v="1899-12-30T17:26:00"/>
    <n v="6.1333333333333337"/>
    <x v="0"/>
    <x v="0"/>
    <s v="Falla mecánica"/>
    <s v="Desfrutado"/>
    <x v="101"/>
    <s v="Descadenado"/>
  </r>
  <r>
    <x v="695"/>
    <x v="3"/>
    <x v="8"/>
    <d v="1899-12-30T18:59:00"/>
    <d v="1899-12-30T19:40:00"/>
    <n v="0.34166666666666667"/>
    <x v="0"/>
    <x v="1"/>
    <s v="Falla operativa"/>
    <s v="Esterilización "/>
    <x v="4"/>
    <s v="Atraso esterilización"/>
  </r>
  <r>
    <x v="695"/>
    <x v="3"/>
    <x v="8"/>
    <d v="1899-12-30T09:30:00"/>
    <d v="1899-12-30T10:40:00"/>
    <n v="0.58333333333333337"/>
    <x v="0"/>
    <x v="1"/>
    <s v="Falla operativa"/>
    <s v="Esterilización "/>
    <x v="4"/>
    <s v="Atraso esterilización"/>
  </r>
  <r>
    <x v="695"/>
    <x v="3"/>
    <x v="8"/>
    <d v="1899-12-30T11:12:00"/>
    <d v="1899-12-30T13:41:00"/>
    <n v="1.2416666666666667"/>
    <x v="0"/>
    <x v="1"/>
    <s v="Falla operativa"/>
    <s v="Esterilización "/>
    <x v="4"/>
    <s v="Atraso esterilización"/>
  </r>
  <r>
    <x v="695"/>
    <x v="3"/>
    <x v="8"/>
    <d v="1899-12-30T14:43:00"/>
    <d v="1899-12-30T16:10:00"/>
    <n v="0.72499999999999998"/>
    <x v="0"/>
    <x v="0"/>
    <s v="Falla mecánica"/>
    <s v="Desfrutado"/>
    <x v="101"/>
    <s v="Descadenado"/>
  </r>
  <r>
    <x v="695"/>
    <x v="3"/>
    <x v="8"/>
    <d v="1899-12-30T16:43:00"/>
    <d v="1899-12-30T17:28:00"/>
    <n v="0.375"/>
    <x v="0"/>
    <x v="0"/>
    <s v="Falla mecánica"/>
    <s v="Desfrutado"/>
    <x v="101"/>
    <s v="Descadenado"/>
  </r>
  <r>
    <x v="695"/>
    <x v="3"/>
    <x v="8"/>
    <d v="1899-12-30T19:40:00"/>
    <d v="1899-12-30T19:54:00"/>
    <n v="0.11666666666666667"/>
    <x v="0"/>
    <x v="1"/>
    <s v="Falla operativa"/>
    <s v="Esterilización "/>
    <x v="4"/>
    <s v="Atraso esterilización"/>
  </r>
  <r>
    <x v="695"/>
    <x v="3"/>
    <x v="8"/>
    <d v="1899-12-30T02:10:00"/>
    <d v="1899-12-30T03:05:00"/>
    <n v="0.45833333333333331"/>
    <x v="0"/>
    <x v="1"/>
    <s v="Falla operativa"/>
    <s v="Esterilización "/>
    <x v="4"/>
    <s v="Atraso esterilización"/>
  </r>
  <r>
    <x v="696"/>
    <x v="3"/>
    <x v="8"/>
    <d v="1899-12-30T15:30:00"/>
    <d v="1899-12-30T15:55:00"/>
    <n v="0.20833333333333334"/>
    <x v="0"/>
    <x v="1"/>
    <s v="Falla operativa"/>
    <s v="Esterilización "/>
    <x v="4"/>
    <s v="Atraso esterilización"/>
  </r>
  <r>
    <x v="696"/>
    <x v="3"/>
    <x v="8"/>
    <d v="1899-12-30T06:00:00"/>
    <d v="1899-12-30T11:54:00"/>
    <n v="2.95"/>
    <x v="0"/>
    <x v="1"/>
    <s v="Falla operativa"/>
    <s v="Esterilización "/>
    <x v="4"/>
    <s v="Atraso esterilización"/>
  </r>
  <r>
    <x v="696"/>
    <x v="3"/>
    <x v="8"/>
    <d v="1899-12-30T18:15:00"/>
    <d v="1899-12-30T18:44:00"/>
    <n v="0.24166666666666667"/>
    <x v="0"/>
    <x v="1"/>
    <s v="Falla operativa"/>
    <s v="Esterilización "/>
    <x v="4"/>
    <s v="Atraso esterilización"/>
  </r>
  <r>
    <x v="696"/>
    <x v="3"/>
    <x v="8"/>
    <d v="1899-12-30T03:30:00"/>
    <d v="1899-12-30T04:19:00"/>
    <n v="0.40833333333333333"/>
    <x v="0"/>
    <x v="1"/>
    <s v="Falla operativa"/>
    <s v="Esterilización "/>
    <x v="4"/>
    <s v="Atraso esterilización"/>
  </r>
  <r>
    <x v="696"/>
    <x v="3"/>
    <x v="8"/>
    <d v="1899-12-30T05:20:00"/>
    <d v="1899-12-30T05:45:00"/>
    <n v="0.20833333333333334"/>
    <x v="0"/>
    <x v="1"/>
    <s v="Falla operativa"/>
    <s v="Esterilización "/>
    <x v="4"/>
    <s v="Atraso esterilización"/>
  </r>
  <r>
    <x v="697"/>
    <x v="3"/>
    <x v="8"/>
    <d v="1899-12-30T07:30:00"/>
    <d v="1899-12-30T12:00:00"/>
    <n v="2.25"/>
    <x v="0"/>
    <x v="1"/>
    <s v="Falla operativa"/>
    <s v="Esterilización "/>
    <x v="4"/>
    <s v="Atraso esterilización"/>
  </r>
  <r>
    <x v="697"/>
    <x v="3"/>
    <x v="8"/>
    <d v="1899-12-30T12:45:00"/>
    <d v="1899-12-30T13:43:00"/>
    <n v="0.48333333333333334"/>
    <x v="0"/>
    <x v="1"/>
    <s v="Falla operativa"/>
    <s v="Esterilización "/>
    <x v="4"/>
    <s v="Atraso esterilización"/>
  </r>
  <r>
    <x v="697"/>
    <x v="3"/>
    <x v="8"/>
    <d v="1899-12-30T16:48:00"/>
    <d v="1899-12-30T17:50:00"/>
    <n v="0.51666666666666672"/>
    <x v="0"/>
    <x v="1"/>
    <s v="Falla operativa"/>
    <s v="Esterilización "/>
    <x v="4"/>
    <s v="Atraso esterilización"/>
  </r>
  <r>
    <x v="697"/>
    <x v="3"/>
    <x v="8"/>
    <d v="1899-12-30T22:50:00"/>
    <d v="1899-12-30T23:40:00"/>
    <n v="0.41666666666666669"/>
    <x v="0"/>
    <x v="1"/>
    <s v="Falla operativa"/>
    <s v="Esterilización "/>
    <x v="4"/>
    <s v="Atraso esterilización"/>
  </r>
  <r>
    <x v="697"/>
    <x v="3"/>
    <x v="8"/>
    <d v="1899-12-30T03:15:00"/>
    <d v="1899-12-30T05:07:00"/>
    <n v="0.93333333333333335"/>
    <x v="0"/>
    <x v="1"/>
    <s v="Falla operativa"/>
    <s v="Desfrutado"/>
    <x v="101"/>
    <s v="Atascamiento"/>
  </r>
  <r>
    <x v="698"/>
    <x v="3"/>
    <x v="8"/>
    <d v="1899-12-30T06:00:00"/>
    <d v="1899-12-30T06:15:00"/>
    <n v="0.125"/>
    <x v="0"/>
    <x v="1"/>
    <s v="Falla operativa"/>
    <s v="Clarificación"/>
    <x v="55"/>
    <s v="Limpieza"/>
  </r>
  <r>
    <x v="698"/>
    <x v="3"/>
    <x v="8"/>
    <d v="1899-12-30T06:00:00"/>
    <d v="1899-12-30T10:17:00"/>
    <n v="2.1416666666666666"/>
    <x v="0"/>
    <x v="1"/>
    <s v="Falla operativa"/>
    <s v="Clarificación"/>
    <x v="55"/>
    <s v="Limpieza"/>
  </r>
  <r>
    <x v="698"/>
    <x v="3"/>
    <x v="8"/>
    <d v="1899-12-30T12:52:00"/>
    <d v="1899-12-30T13:22:00"/>
    <n v="0.25"/>
    <x v="0"/>
    <x v="0"/>
    <s v="Falla mecánica"/>
    <s v="Desfrutado"/>
    <x v="101"/>
    <s v="Descadenado"/>
  </r>
  <r>
    <x v="699"/>
    <x v="3"/>
    <x v="8"/>
    <d v="1899-12-30T06:00:00"/>
    <d v="1899-12-30T06:22:00"/>
    <n v="0.18333333333333332"/>
    <x v="0"/>
    <x v="1"/>
    <s v="Falla operativa"/>
    <s v="Esterilización "/>
    <x v="4"/>
    <s v="Atraso esterilización"/>
  </r>
  <r>
    <x v="699"/>
    <x v="3"/>
    <x v="8"/>
    <d v="1899-12-30T06:00:00"/>
    <d v="1899-12-30T06:40:00"/>
    <n v="0.33333333333333331"/>
    <x v="0"/>
    <x v="1"/>
    <s v="Falla operativa"/>
    <s v="Esterilización "/>
    <x v="4"/>
    <s v="Atraso esterilización"/>
  </r>
  <r>
    <x v="699"/>
    <x v="3"/>
    <x v="8"/>
    <d v="1899-12-30T21:50:00"/>
    <d v="1899-12-30T22:25:00"/>
    <n v="0.29166666666666669"/>
    <x v="0"/>
    <x v="1"/>
    <s v="Falla operativa"/>
    <s v="Esterilización "/>
    <x v="4"/>
    <s v="Atraso esterilización"/>
  </r>
  <r>
    <x v="699"/>
    <x v="3"/>
    <x v="8"/>
    <d v="1899-12-30T00:20:00"/>
    <d v="1899-12-30T00:50:00"/>
    <n v="0.25"/>
    <x v="0"/>
    <x v="1"/>
    <s v="Falla operativa"/>
    <s v="Esterilización "/>
    <x v="4"/>
    <s v="Atraso esterilización"/>
  </r>
  <r>
    <x v="699"/>
    <x v="3"/>
    <x v="8"/>
    <d v="1899-12-30T03:12:00"/>
    <d v="1899-12-30T03:30:00"/>
    <n v="0.15"/>
    <x v="0"/>
    <x v="5"/>
    <s v="Fluído eléctrico"/>
    <s v="Planta generación energía electrica"/>
    <x v="51"/>
    <s v="corte de fluido electrico"/>
  </r>
  <r>
    <x v="700"/>
    <x v="3"/>
    <x v="8"/>
    <d v="1899-12-30T18:00:00"/>
    <d v="1899-12-30T22:37:00"/>
    <n v="2.3083333333333336"/>
    <x v="0"/>
    <x v="1"/>
    <s v="Falla operativa"/>
    <s v="Esterilización "/>
    <x v="4"/>
    <s v="Atraso esterilización"/>
  </r>
  <r>
    <x v="700"/>
    <x v="3"/>
    <x v="8"/>
    <d v="1899-12-30T02:26:00"/>
    <d v="1899-12-30T02:54:00"/>
    <n v="0.23333333333333334"/>
    <x v="0"/>
    <x v="1"/>
    <s v="Falla operativa"/>
    <s v="Esterilización "/>
    <x v="4"/>
    <s v="Atraso esterilización"/>
  </r>
  <r>
    <x v="700"/>
    <x v="3"/>
    <x v="8"/>
    <d v="1899-12-30T03:18:00"/>
    <d v="1899-12-30T03:50:00"/>
    <n v="0.26666666666666666"/>
    <x v="0"/>
    <x v="5"/>
    <s v="Fluído eléctrico"/>
    <s v="Planta generación energía electrica"/>
    <x v="51"/>
    <s v="corte de fluido electrico"/>
  </r>
  <r>
    <x v="700"/>
    <x v="3"/>
    <x v="8"/>
    <d v="1899-12-30T04:04:00"/>
    <d v="1899-12-30T05:22:00"/>
    <n v="0.65"/>
    <x v="0"/>
    <x v="1"/>
    <s v="Falla operativa"/>
    <s v="Esterilización "/>
    <x v="4"/>
    <s v="Atraso esterilización"/>
  </r>
  <r>
    <x v="701"/>
    <x v="3"/>
    <x v="8"/>
    <d v="1899-12-30T07:00:00"/>
    <d v="1899-12-30T07:10:00"/>
    <n v="8.3333333333333329E-2"/>
    <x v="0"/>
    <x v="5"/>
    <s v="Fluído eléctrico"/>
    <s v="Planta generación energía electrica"/>
    <x v="51"/>
    <s v="corte de fluido electrico"/>
  </r>
  <r>
    <x v="701"/>
    <x v="3"/>
    <x v="8"/>
    <d v="1899-12-30T08:59:00"/>
    <d v="1899-12-30T09:10:00"/>
    <n v="9.166666666666666E-2"/>
    <x v="0"/>
    <x v="5"/>
    <s v="Fluído eléctrico"/>
    <s v="Planta generación energía electrica"/>
    <x v="51"/>
    <s v="Apagado de planta"/>
  </r>
  <r>
    <x v="701"/>
    <x v="3"/>
    <x v="8"/>
    <d v="1899-12-30T15:15:00"/>
    <d v="1899-12-30T18:05:00"/>
    <n v="1.4166666666666667"/>
    <x v="0"/>
    <x v="0"/>
    <s v="Falla mecánica"/>
    <s v="Desfibración"/>
    <x v="0"/>
    <s v="Rotura "/>
  </r>
  <r>
    <x v="701"/>
    <x v="3"/>
    <x v="8"/>
    <d v="1899-12-30T19:30:00"/>
    <d v="1899-12-30T19:55:00"/>
    <n v="0.20833333333333334"/>
    <x v="0"/>
    <x v="1"/>
    <s v="Falla operativa"/>
    <s v="Esterilización "/>
    <x v="4"/>
    <s v="Atraso esterilización"/>
  </r>
  <r>
    <x v="701"/>
    <x v="3"/>
    <x v="8"/>
    <d v="1899-12-30T23:45:00"/>
    <d v="1899-12-30T23:59:00"/>
    <n v="0.11666666666666667"/>
    <x v="0"/>
    <x v="1"/>
    <s v="Falla operativa"/>
    <s v="Esterilización "/>
    <x v="4"/>
    <s v="Atraso esterilización"/>
  </r>
  <r>
    <x v="701"/>
    <x v="3"/>
    <x v="8"/>
    <d v="1899-12-30T04:20:00"/>
    <d v="1899-12-30T05:17:00"/>
    <n v="0.47499999999999998"/>
    <x v="0"/>
    <x v="0"/>
    <s v="Falla mecánica"/>
    <s v="Esterilización "/>
    <x v="14"/>
    <s v="Sobre carga"/>
  </r>
  <r>
    <x v="702"/>
    <x v="3"/>
    <x v="8"/>
    <d v="1899-12-30T08:16:00"/>
    <d v="1899-12-30T09:22:00"/>
    <n v="0.55000000000000004"/>
    <x v="0"/>
    <x v="1"/>
    <s v="Falla operativa"/>
    <s v="Esterilización "/>
    <x v="4"/>
    <s v="Atraso esterilización"/>
  </r>
  <r>
    <x v="702"/>
    <x v="3"/>
    <x v="8"/>
    <d v="1899-12-30T12:20:00"/>
    <d v="1899-12-30T14:40:00"/>
    <n v="1.1666666666666667"/>
    <x v="0"/>
    <x v="1"/>
    <s v="Falla operativa"/>
    <s v="Planta generación de vapor"/>
    <x v="22"/>
    <s v="Limpieza"/>
  </r>
  <r>
    <x v="702"/>
    <x v="3"/>
    <x v="8"/>
    <d v="1899-12-30T21:30:00"/>
    <d v="1899-12-30T22:10:00"/>
    <n v="0.33333333333333331"/>
    <x v="0"/>
    <x v="1"/>
    <s v="Falla operativa"/>
    <s v="Esterilización "/>
    <x v="4"/>
    <s v="Atraso esterilización"/>
  </r>
  <r>
    <x v="702"/>
    <x v="3"/>
    <x v="8"/>
    <d v="1899-12-30T01:00:00"/>
    <d v="1899-12-30T01:26:00"/>
    <n v="0.21666666666666667"/>
    <x v="0"/>
    <x v="1"/>
    <s v="Falla operativa"/>
    <s v="Esterilización "/>
    <x v="4"/>
    <s v="Atraso esterilización"/>
  </r>
  <r>
    <x v="702"/>
    <x v="3"/>
    <x v="8"/>
    <d v="1899-12-30T02:54:00"/>
    <d v="1899-12-30T03:20:00"/>
    <n v="0.21666666666666667"/>
    <x v="0"/>
    <x v="1"/>
    <s v="Falla operativa"/>
    <s v="Esterilización "/>
    <x v="4"/>
    <s v="Atraso esterilización"/>
  </r>
  <r>
    <x v="703"/>
    <x v="3"/>
    <x v="8"/>
    <d v="1899-12-30T15:00:00"/>
    <d v="1899-12-30T15:09:00"/>
    <n v="7.4999999999999997E-2"/>
    <x v="0"/>
    <x v="1"/>
    <s v="Falla operativa"/>
    <s v="Esterilización "/>
    <x v="4"/>
    <s v="Atraso esterilización"/>
  </r>
  <r>
    <x v="703"/>
    <x v="3"/>
    <x v="8"/>
    <d v="1899-12-30T16:40:00"/>
    <d v="1899-12-30T16:50:00"/>
    <n v="8.3333333333333329E-2"/>
    <x v="0"/>
    <x v="1"/>
    <s v="Falla operativa"/>
    <s v="Esterilización "/>
    <x v="4"/>
    <s v="Atraso esterilización"/>
  </r>
  <r>
    <x v="703"/>
    <x v="3"/>
    <x v="8"/>
    <d v="1899-12-30T18:24:00"/>
    <d v="1899-12-30T18:44:00"/>
    <n v="0.16666666666666666"/>
    <x v="0"/>
    <x v="1"/>
    <s v="Falla operativa"/>
    <s v="Esterilización "/>
    <x v="4"/>
    <s v="Atraso esterilización"/>
  </r>
  <r>
    <x v="703"/>
    <x v="3"/>
    <x v="8"/>
    <d v="1899-12-30T20:35:00"/>
    <d v="1899-12-30T21:05:00"/>
    <n v="0.25"/>
    <x v="0"/>
    <x v="1"/>
    <s v="Falla operativa"/>
    <s v="Esterilización "/>
    <x v="4"/>
    <s v="Atraso esterilización"/>
  </r>
  <r>
    <x v="703"/>
    <x v="3"/>
    <x v="8"/>
    <d v="1899-12-30T22:15:00"/>
    <d v="1899-12-30T23:04:00"/>
    <n v="0.40833333333333333"/>
    <x v="0"/>
    <x v="1"/>
    <s v="Falla operativa"/>
    <s v="Esterilización "/>
    <x v="4"/>
    <s v="Atraso esterilización"/>
  </r>
  <r>
    <x v="703"/>
    <x v="3"/>
    <x v="8"/>
    <d v="1899-12-30T23:55:00"/>
    <d v="1899-12-30T23:59:00"/>
    <n v="3.3333333333333333E-2"/>
    <x v="0"/>
    <x v="1"/>
    <s v="Falla operativa"/>
    <s v="Esterilización "/>
    <x v="4"/>
    <s v="Atraso esterilización"/>
  </r>
  <r>
    <x v="703"/>
    <x v="3"/>
    <x v="8"/>
    <d v="1899-12-30T00:00:00"/>
    <d v="1899-12-30T00:35:00"/>
    <n v="0.29166666666666669"/>
    <x v="0"/>
    <x v="1"/>
    <s v="Falla operativa"/>
    <s v="Esterilización "/>
    <x v="4"/>
    <s v="Atraso esterilización"/>
  </r>
  <r>
    <x v="703"/>
    <x v="3"/>
    <x v="8"/>
    <d v="1899-12-30T02:05:00"/>
    <d v="1899-12-30T02:41:00"/>
    <n v="0.3"/>
    <x v="0"/>
    <x v="1"/>
    <s v="Falla operativa"/>
    <s v="Esterilización "/>
    <x v="4"/>
    <s v="Atraso esterilización"/>
  </r>
  <r>
    <x v="704"/>
    <x v="3"/>
    <x v="8"/>
    <d v="1899-12-30T07:00:00"/>
    <d v="1899-12-30T07:05:00"/>
    <n v="4.1666666666666664E-2"/>
    <x v="0"/>
    <x v="3"/>
    <s v="Fluído eléctrico"/>
    <s v="Planta general"/>
    <x v="5"/>
    <s v="corte de energia inesperado"/>
  </r>
  <r>
    <x v="704"/>
    <x v="3"/>
    <x v="8"/>
    <d v="1899-12-30T07:05:00"/>
    <d v="1899-12-30T10:05:00"/>
    <n v="1.5"/>
    <x v="0"/>
    <x v="3"/>
    <s v="Fluído eléctrico"/>
    <s v="Planta general"/>
    <x v="5"/>
    <s v="corte de energia inesperado"/>
  </r>
  <r>
    <x v="704"/>
    <x v="3"/>
    <x v="8"/>
    <d v="1899-12-30T10:05:00"/>
    <d v="1899-12-30T13:10:00"/>
    <n v="1.5416666666666667"/>
    <x v="0"/>
    <x v="1"/>
    <s v="Falla operativa"/>
    <s v="Esterilización "/>
    <x v="4"/>
    <s v="Atraso esterilización"/>
  </r>
  <r>
    <x v="704"/>
    <x v="3"/>
    <x v="8"/>
    <d v="1899-12-30T06:30:00"/>
    <d v="1899-12-30T06:40:00"/>
    <n v="8.3333333333333329E-2"/>
    <x v="0"/>
    <x v="1"/>
    <s v="Falla operativa"/>
    <s v="Esterilización "/>
    <x v="4"/>
    <s v="Atraso esterilización"/>
  </r>
  <r>
    <x v="704"/>
    <x v="3"/>
    <x v="8"/>
    <d v="1899-12-30T07:00:00"/>
    <d v="1899-12-30T07:30:00"/>
    <n v="0.25"/>
    <x v="0"/>
    <x v="1"/>
    <s v="Falla operativa"/>
    <s v="Esterilización "/>
    <x v="4"/>
    <s v="Atraso esterilización"/>
  </r>
  <r>
    <x v="704"/>
    <x v="3"/>
    <x v="8"/>
    <d v="1899-12-30T08:30:00"/>
    <d v="1899-12-30T10:06:00"/>
    <n v="0.8"/>
    <x v="0"/>
    <x v="3"/>
    <s v="Fluído eléctrico"/>
    <s v="Planta general"/>
    <x v="5"/>
    <s v="corte de energia inesperado"/>
  </r>
  <r>
    <x v="704"/>
    <x v="3"/>
    <x v="8"/>
    <d v="1899-12-30T20:34:00"/>
    <d v="1899-12-30T21:00:00"/>
    <n v="0.21666666666666667"/>
    <x v="0"/>
    <x v="1"/>
    <s v="Falla operativa"/>
    <s v="Esterilización "/>
    <x v="4"/>
    <s v="Atraso esterilización"/>
  </r>
  <r>
    <x v="704"/>
    <x v="3"/>
    <x v="8"/>
    <d v="1899-12-30T21:35:00"/>
    <d v="1899-12-30T22:00:00"/>
    <n v="0.20833333333333334"/>
    <x v="0"/>
    <x v="1"/>
    <s v="Falla operativa"/>
    <s v="Esterilización "/>
    <x v="4"/>
    <s v="Atraso esterilización"/>
  </r>
  <r>
    <x v="704"/>
    <x v="3"/>
    <x v="8"/>
    <d v="1899-12-30T23:12:00"/>
    <d v="1899-12-30T23:59:00"/>
    <n v="0.39166666666666666"/>
    <x v="0"/>
    <x v="1"/>
    <s v="Falla operativa"/>
    <s v="Esterilización "/>
    <x v="4"/>
    <s v="Atraso esterilización"/>
  </r>
  <r>
    <x v="704"/>
    <x v="3"/>
    <x v="8"/>
    <d v="1899-12-30T00:00:00"/>
    <d v="1899-12-30T01:58:00"/>
    <n v="0.98333333333333339"/>
    <x v="0"/>
    <x v="1"/>
    <s v="Falla operativa"/>
    <s v="Esterilización "/>
    <x v="4"/>
    <s v="Atraso esterilización"/>
  </r>
  <r>
    <x v="705"/>
    <x v="3"/>
    <x v="8"/>
    <d v="1899-12-30T07:30:00"/>
    <d v="1899-12-30T12:47:00"/>
    <n v="2.6416666666666666"/>
    <x v="0"/>
    <x v="3"/>
    <s v="Fluído eléctrico"/>
    <s v="Planta general"/>
    <x v="4"/>
    <s v="corte de energia inesperado"/>
  </r>
  <r>
    <x v="705"/>
    <x v="3"/>
    <x v="8"/>
    <d v="1899-12-30T12:00:00"/>
    <d v="1899-12-30T12:47:00"/>
    <n v="0.39166666666666666"/>
    <x v="0"/>
    <x v="0"/>
    <s v="Falla mecánica"/>
    <s v="Clarificación"/>
    <x v="55"/>
    <s v="Corto acometida motor"/>
  </r>
  <r>
    <x v="705"/>
    <x v="3"/>
    <x v="8"/>
    <d v="1899-12-30T14:00:00"/>
    <d v="1899-12-30T15:40:00"/>
    <n v="0.83333333333333326"/>
    <x v="0"/>
    <x v="1"/>
    <s v="Falla operativa"/>
    <s v="Esterilización "/>
    <x v="4"/>
    <s v="Atraso esterilización"/>
  </r>
  <r>
    <x v="706"/>
    <x v="3"/>
    <x v="8"/>
    <d v="1899-12-30T17:40:00"/>
    <d v="1899-12-30T23:59:00"/>
    <n v="3.1583333333333332"/>
    <x v="0"/>
    <x v="3"/>
    <s v="Fluído eléctrico"/>
    <s v="Planta general"/>
    <x v="5"/>
    <s v="corte de energia inesperado"/>
  </r>
  <r>
    <x v="706"/>
    <x v="3"/>
    <x v="8"/>
    <d v="1899-12-30T00:00:00"/>
    <d v="1899-12-30T06:00:00"/>
    <n v="3"/>
    <x v="0"/>
    <x v="3"/>
    <s v="Fluído eléctrico"/>
    <s v="Planta general"/>
    <x v="5"/>
    <s v="corte de energia inesperado"/>
  </r>
  <r>
    <x v="706"/>
    <x v="3"/>
    <x v="8"/>
    <d v="1899-12-30T15:10:00"/>
    <d v="1899-12-30T15:25:00"/>
    <n v="0.125"/>
    <x v="0"/>
    <x v="1"/>
    <s v="Falla operativa"/>
    <s v="Desfibración"/>
    <x v="46"/>
    <s v="taponamiento"/>
  </r>
  <r>
    <x v="706"/>
    <x v="3"/>
    <x v="8"/>
    <d v="1899-12-30T20:15:00"/>
    <d v="1899-12-30T21:17:00"/>
    <n v="0.51666666666666672"/>
    <x v="0"/>
    <x v="1"/>
    <s v="Falla operativa"/>
    <s v="Planta generación energía electrica"/>
    <x v="51"/>
    <s v="disparo por recalentamiento motor"/>
  </r>
  <r>
    <x v="706"/>
    <x v="3"/>
    <x v="8"/>
    <d v="1899-12-30T23:51:00"/>
    <d v="1899-12-30T23:59:00"/>
    <n v="6.6666666666666666E-2"/>
    <x v="0"/>
    <x v="1"/>
    <s v="Falla operativa"/>
    <s v="Planta generación energía electrica"/>
    <x v="51"/>
    <s v="falta de combustible"/>
  </r>
  <r>
    <x v="706"/>
    <x v="3"/>
    <x v="8"/>
    <d v="1899-12-30T00:00:00"/>
    <d v="1899-12-30T01:07:00"/>
    <n v="0.55833333333333335"/>
    <x v="0"/>
    <x v="1"/>
    <s v="Falla operativa"/>
    <s v="Planta generación energía electrica"/>
    <x v="51"/>
    <s v="falta de combustible"/>
  </r>
  <r>
    <x v="707"/>
    <x v="3"/>
    <x v="8"/>
    <d v="1899-12-30T06:00:00"/>
    <d v="1899-12-30T10:30:00"/>
    <n v="2.25"/>
    <x v="0"/>
    <x v="3"/>
    <s v="Fluído eléctrico"/>
    <s v="Planta general"/>
    <x v="5"/>
    <s v="corte de energia inesperado"/>
  </r>
  <r>
    <x v="707"/>
    <x v="3"/>
    <x v="8"/>
    <d v="1899-12-30T10:30:00"/>
    <d v="1899-12-30T19:40:00"/>
    <n v="4.583333333333333"/>
    <x v="0"/>
    <x v="0"/>
    <s v="Falla mecánica"/>
    <s v="Digestión y prensado"/>
    <x v="13"/>
    <s v="Motor electrico quemado"/>
  </r>
  <r>
    <x v="707"/>
    <x v="3"/>
    <x v="8"/>
    <d v="1899-12-30T01:00:00"/>
    <d v="1899-12-30T01:27:00"/>
    <n v="0.22500000000000001"/>
    <x v="0"/>
    <x v="0"/>
    <s v="Falla mecánica"/>
    <s v="Desfrutado"/>
    <x v="18"/>
    <s v="Descadenamiento "/>
  </r>
  <r>
    <x v="707"/>
    <x v="3"/>
    <x v="8"/>
    <d v="1899-12-30T06:40:00"/>
    <d v="1899-12-30T07:06:00"/>
    <n v="0.21666666666666667"/>
    <x v="0"/>
    <x v="3"/>
    <s v="Fluído eléctrico"/>
    <s v="Planta general"/>
    <x v="5"/>
    <s v="corte de energia inesperado"/>
  </r>
  <r>
    <x v="707"/>
    <x v="3"/>
    <x v="8"/>
    <d v="1899-12-30T09:35:00"/>
    <d v="1899-12-30T10:15:00"/>
    <n v="0.33333333333333331"/>
    <x v="0"/>
    <x v="1"/>
    <s v="Falla operativa"/>
    <s v="Planta generación energía electrica"/>
    <x v="51"/>
    <s v="falta de combustible"/>
  </r>
  <r>
    <x v="707"/>
    <x v="3"/>
    <x v="8"/>
    <d v="1899-12-30T11:53:00"/>
    <d v="1899-12-30T12:32:00"/>
    <n v="0.32500000000000001"/>
    <x v="0"/>
    <x v="1"/>
    <s v="Falla operativa"/>
    <s v="Esterilización "/>
    <x v="12"/>
    <s v="Atascamiento de tambor por devolucion cargado"/>
  </r>
  <r>
    <x v="707"/>
    <x v="3"/>
    <x v="8"/>
    <d v="1899-12-30T23:30:00"/>
    <d v="1899-12-30T23:59:00"/>
    <n v="0.24166666666666667"/>
    <x v="0"/>
    <x v="0"/>
    <s v="Falla mecánica"/>
    <s v="Desfrutado"/>
    <x v="18"/>
    <s v="Descadenamiento "/>
  </r>
  <r>
    <x v="707"/>
    <x v="3"/>
    <x v="8"/>
    <d v="1899-12-30T00:51:00"/>
    <d v="1899-12-30T02:00:00"/>
    <n v="0.57499999999999996"/>
    <x v="0"/>
    <x v="0"/>
    <s v="Falla mecánica"/>
    <s v="Desfrutado"/>
    <x v="18"/>
    <s v="Descadenamiento "/>
  </r>
  <r>
    <x v="707"/>
    <x v="3"/>
    <x v="8"/>
    <d v="1899-12-30T02:50:00"/>
    <d v="1899-12-30T05:10:00"/>
    <n v="1.1666666666666667"/>
    <x v="0"/>
    <x v="0"/>
    <s v="Falla mecánica"/>
    <s v="Esterilización "/>
    <x v="23"/>
    <s v="Atascamieto en Indexer"/>
  </r>
  <r>
    <x v="707"/>
    <x v="3"/>
    <x v="8"/>
    <d v="1899-12-30T05:50:00"/>
    <d v="1899-12-30T06:00:00"/>
    <n v="8.3333333333333329E-2"/>
    <x v="0"/>
    <x v="0"/>
    <s v="Falla mecánica"/>
    <s v="Desfrutado"/>
    <x v="18"/>
    <s v="Descadenamiento "/>
  </r>
  <r>
    <x v="708"/>
    <x v="3"/>
    <x v="8"/>
    <d v="1899-12-30T12:00:00"/>
    <d v="1899-12-30T12:30:00"/>
    <n v="0.25"/>
    <x v="0"/>
    <x v="1"/>
    <s v="Falla operativa"/>
    <s v="Esterilización "/>
    <x v="4"/>
    <s v="Atraso esterilización"/>
  </r>
  <r>
    <x v="708"/>
    <x v="3"/>
    <x v="8"/>
    <d v="1899-12-30T15:03:00"/>
    <d v="1899-12-30T15:35:00"/>
    <n v="0.26666666666666666"/>
    <x v="0"/>
    <x v="1"/>
    <s v="Falla operativa"/>
    <s v="Esterilización "/>
    <x v="4"/>
    <s v="Atraso esterilización"/>
  </r>
  <r>
    <x v="708"/>
    <x v="3"/>
    <x v="8"/>
    <d v="1899-12-30T18:00:00"/>
    <d v="1899-12-30T18:55:00"/>
    <n v="0.45833333333333331"/>
    <x v="0"/>
    <x v="1"/>
    <s v="Falla operativa"/>
    <s v="Esterilización "/>
    <x v="4"/>
    <s v="Atraso esterilización"/>
  </r>
  <r>
    <x v="708"/>
    <x v="3"/>
    <x v="8"/>
    <d v="1899-12-30T19:51:00"/>
    <d v="1899-12-30T20:24:00"/>
    <n v="0.27500000000000002"/>
    <x v="0"/>
    <x v="1"/>
    <s v="Falla operativa"/>
    <s v="Esterilización "/>
    <x v="4"/>
    <s v="Atraso esterilización"/>
  </r>
  <r>
    <x v="708"/>
    <x v="3"/>
    <x v="8"/>
    <d v="1899-12-30T20:40:00"/>
    <d v="1899-12-30T23:10:00"/>
    <n v="1.25"/>
    <x v="0"/>
    <x v="1"/>
    <s v="Falla operativa"/>
    <s v="Esterilización "/>
    <x v="4"/>
    <s v="Atraso esterilización"/>
  </r>
  <r>
    <x v="708"/>
    <x v="3"/>
    <x v="8"/>
    <d v="1899-12-30T01:21:00"/>
    <d v="1899-12-30T01:55:00"/>
    <n v="0.28333333333333333"/>
    <x v="0"/>
    <x v="1"/>
    <s v="Falla operativa"/>
    <s v="Esterilización "/>
    <x v="4"/>
    <s v="Atraso esterilización"/>
  </r>
  <r>
    <x v="708"/>
    <x v="3"/>
    <x v="8"/>
    <d v="1899-12-30T04:51:00"/>
    <d v="1899-12-30T06:00:00"/>
    <n v="0.57499999999999996"/>
    <x v="0"/>
    <x v="1"/>
    <s v="Falla operativa"/>
    <s v="Esterilización "/>
    <x v="4"/>
    <s v="Atraso esterilización"/>
  </r>
  <r>
    <x v="709"/>
    <x v="3"/>
    <x v="8"/>
    <d v="1899-12-30T00:35:00"/>
    <d v="1899-12-30T01:10:00"/>
    <n v="0.29166666666666669"/>
    <x v="0"/>
    <x v="0"/>
    <s v="Falla mecánica"/>
    <s v="Desfrutado"/>
    <x v="101"/>
    <s v="Descadenamiento "/>
  </r>
  <r>
    <x v="709"/>
    <x v="3"/>
    <x v="8"/>
    <d v="1899-12-30T05:10:00"/>
    <d v="1899-12-30T05:52:00"/>
    <n v="0.35"/>
    <x v="0"/>
    <x v="0"/>
    <s v="Falla mecánica"/>
    <s v="Esterilización "/>
    <x v="23"/>
    <s v="Atascamieto en Indexer Linea 2"/>
  </r>
  <r>
    <x v="709"/>
    <x v="3"/>
    <x v="8"/>
    <d v="1899-12-30T13:00:00"/>
    <d v="1899-12-30T16:00:00"/>
    <n v="1.5"/>
    <x v="0"/>
    <x v="1"/>
    <s v="Falla operativa"/>
    <s v="Esterilización "/>
    <x v="4"/>
    <s v="Atraso esterilización"/>
  </r>
  <r>
    <x v="709"/>
    <x v="3"/>
    <x v="8"/>
    <d v="1899-12-30T18:00:00"/>
    <d v="1899-12-30T18:51:00"/>
    <n v="0.42499999999999999"/>
    <x v="0"/>
    <x v="1"/>
    <s v="Falla operativa"/>
    <s v="Esterilización "/>
    <x v="4"/>
    <s v="Atraso esterilización"/>
  </r>
  <r>
    <x v="709"/>
    <x v="3"/>
    <x v="8"/>
    <d v="1899-12-30T00:30:00"/>
    <d v="1899-12-30T01:14:00"/>
    <n v="0.36666666666666664"/>
    <x v="0"/>
    <x v="0"/>
    <s v="Falla mecánica"/>
    <s v="Desfrutado"/>
    <x v="101"/>
    <s v="Descadenamiento "/>
  </r>
  <r>
    <x v="709"/>
    <x v="3"/>
    <x v="8"/>
    <d v="1899-12-30T05:12:00"/>
    <d v="1899-12-30T05:52:00"/>
    <n v="0.33333333333333331"/>
    <x v="0"/>
    <x v="0"/>
    <s v="Falla mecánica"/>
    <s v="Esterilización "/>
    <x v="23"/>
    <s v="Atascamieto en Indexer Linea 2"/>
  </r>
  <r>
    <x v="710"/>
    <x v="3"/>
    <x v="8"/>
    <d v="1899-12-30T14:56:00"/>
    <d v="1899-12-30T15:31:00"/>
    <n v="0.58333333333333337"/>
    <x v="0"/>
    <x v="1"/>
    <s v="Falla operativa"/>
    <s v="Palmistería"/>
    <x v="6"/>
    <s v="Taponamiento por exceso de nuez"/>
  </r>
  <r>
    <x v="710"/>
    <x v="3"/>
    <x v="8"/>
    <d v="1899-12-30T23:01:00"/>
    <d v="1899-12-30T23:48:00"/>
    <n v="0.39166666666666666"/>
    <x v="0"/>
    <x v="0"/>
    <s v="Falla mecánica"/>
    <s v="Esterilización "/>
    <x v="23"/>
    <s v="Atascamieto en Indexer Linea 2"/>
  </r>
  <r>
    <x v="710"/>
    <x v="3"/>
    <x v="8"/>
    <d v="1899-12-30T11:19:00"/>
    <d v="1899-12-30T12:00:00"/>
    <n v="0.34166666666666667"/>
    <x v="0"/>
    <x v="1"/>
    <s v="Falla operativa"/>
    <s v="Esterilización "/>
    <x v="4"/>
    <s v="Atraso esterilización"/>
  </r>
  <r>
    <x v="710"/>
    <x v="3"/>
    <x v="8"/>
    <d v="1899-12-30T13:50:00"/>
    <d v="1899-12-30T14:45:00"/>
    <n v="0.45833333333333331"/>
    <x v="0"/>
    <x v="1"/>
    <s v="Falla operativa"/>
    <s v="Desfrutado"/>
    <x v="2"/>
    <s v="Taponamiento anillos"/>
  </r>
  <r>
    <x v="710"/>
    <x v="3"/>
    <x v="8"/>
    <d v="1899-12-30T18:00:00"/>
    <d v="1899-12-30T18:50:00"/>
    <n v="0.41666666666666669"/>
    <x v="0"/>
    <x v="1"/>
    <s v="Falla operativa"/>
    <s v="Esterilización "/>
    <x v="4"/>
    <s v="Atraso esterilización"/>
  </r>
  <r>
    <x v="710"/>
    <x v="3"/>
    <x v="8"/>
    <d v="1899-12-30T19:17:00"/>
    <d v="1899-12-30T21:10:00"/>
    <n v="0.94166666666666665"/>
    <x v="0"/>
    <x v="1"/>
    <s v="Falla operativa"/>
    <s v="Esterilización "/>
    <x v="4"/>
    <s v="Atraso esterilización"/>
  </r>
  <r>
    <x v="710"/>
    <x v="3"/>
    <x v="8"/>
    <d v="1899-12-30T22:14:00"/>
    <d v="1899-12-30T23:43:00"/>
    <n v="0.7416666666666667"/>
    <x v="0"/>
    <x v="1"/>
    <s v="Falla operativa"/>
    <s v="Esterilización "/>
    <x v="4"/>
    <s v="Atraso esterilización"/>
  </r>
  <r>
    <x v="710"/>
    <x v="3"/>
    <x v="8"/>
    <d v="1899-12-30T02:25:00"/>
    <d v="1899-12-30T02:50:00"/>
    <n v="0.20833333333333334"/>
    <x v="0"/>
    <x v="1"/>
    <s v="Falla operativa"/>
    <s v="Desfrutado"/>
    <x v="50"/>
    <s v="Taponamiento tusa"/>
  </r>
  <r>
    <x v="711"/>
    <x v="3"/>
    <x v="8"/>
    <d v="1899-12-30T17:30:00"/>
    <d v="1899-12-30T17:40:00"/>
    <n v="0.16666666666666666"/>
    <x v="0"/>
    <x v="1"/>
    <s v="Falla operativa"/>
    <s v="Clarificación"/>
    <x v="100"/>
    <m/>
  </r>
  <r>
    <x v="711"/>
    <x v="3"/>
    <x v="8"/>
    <d v="1899-12-30T19:04:00"/>
    <d v="1899-12-30T20:14:00"/>
    <n v="1.1666666666666667"/>
    <x v="0"/>
    <x v="0"/>
    <s v="Falla mecánica"/>
    <s v="Desfrutado"/>
    <x v="18"/>
    <s v="Descadenamiento "/>
  </r>
  <r>
    <x v="711"/>
    <x v="3"/>
    <x v="8"/>
    <d v="1899-12-30T21:04:00"/>
    <d v="1899-12-30T21:47:00"/>
    <n v="0.71666666666666667"/>
    <x v="0"/>
    <x v="0"/>
    <s v="Falla mecánica"/>
    <s v="Desfrutado"/>
    <x v="18"/>
    <s v="Descadenamiento "/>
  </r>
  <r>
    <x v="711"/>
    <x v="3"/>
    <x v="8"/>
    <d v="1899-12-30T02:21:00"/>
    <d v="1899-12-30T03:10:00"/>
    <n v="0.40833333333333333"/>
    <x v="0"/>
    <x v="0"/>
    <s v="Falla mecánica"/>
    <s v="Clarificación"/>
    <x v="88"/>
    <s v="Corto acometida motor"/>
  </r>
  <r>
    <x v="711"/>
    <x v="3"/>
    <x v="8"/>
    <d v="1899-12-30T12:23:00"/>
    <d v="1899-12-30T13:20:00"/>
    <n v="0.47499999999999998"/>
    <x v="0"/>
    <x v="1"/>
    <s v="Falla operativa"/>
    <s v="Esterilización "/>
    <x v="4"/>
    <s v="Atraso esterilización"/>
  </r>
  <r>
    <x v="711"/>
    <x v="3"/>
    <x v="8"/>
    <d v="1899-12-30T14:45:00"/>
    <d v="1899-12-30T15:30:00"/>
    <n v="0.375"/>
    <x v="0"/>
    <x v="1"/>
    <s v="Falla operativa"/>
    <s v="Esterilización "/>
    <x v="4"/>
    <s v="Atraso esterilización"/>
  </r>
  <r>
    <x v="711"/>
    <x v="3"/>
    <x v="8"/>
    <d v="1899-12-30T17:00:00"/>
    <d v="1899-12-30T17:30:00"/>
    <n v="0.25"/>
    <x v="0"/>
    <x v="1"/>
    <s v="Falla operativa"/>
    <s v="Esterilización "/>
    <x v="4"/>
    <s v="Atraso esterilización"/>
  </r>
  <r>
    <x v="711"/>
    <x v="3"/>
    <x v="8"/>
    <d v="1899-12-30T22:35:00"/>
    <d v="1899-12-30T23:15:00"/>
    <n v="0.33333333333333331"/>
    <x v="0"/>
    <x v="1"/>
    <s v="Falla operativa"/>
    <s v="Esterilización "/>
    <x v="4"/>
    <s v="Atraso esterilización"/>
  </r>
  <r>
    <x v="711"/>
    <x v="3"/>
    <x v="8"/>
    <d v="1899-12-30T00:01:00"/>
    <d v="1899-12-30T00:15:00"/>
    <n v="0.11666666666666667"/>
    <x v="0"/>
    <x v="1"/>
    <s v="Falla operativa"/>
    <s v="Esterilización "/>
    <x v="4"/>
    <s v="Atraso esterilización"/>
  </r>
  <r>
    <x v="711"/>
    <x v="3"/>
    <x v="8"/>
    <d v="1899-12-30T02:00:00"/>
    <d v="1899-12-30T04:05:00"/>
    <n v="1.0416666666666667"/>
    <x v="0"/>
    <x v="0"/>
    <s v="Falla mecánica"/>
    <s v="Clarificación"/>
    <x v="88"/>
    <s v="Corto acometida motor"/>
  </r>
  <r>
    <x v="711"/>
    <x v="3"/>
    <x v="8"/>
    <d v="1899-12-30T04:13:00"/>
    <d v="1899-12-30T06:00:00"/>
    <n v="0.89166666666666661"/>
    <x v="0"/>
    <x v="1"/>
    <s v="Falla operativa"/>
    <s v="Desfrutado"/>
    <x v="50"/>
    <s v="Taponamiento tusa"/>
  </r>
  <r>
    <x v="712"/>
    <x v="3"/>
    <x v="8"/>
    <d v="1899-12-30T06:00:00"/>
    <d v="1899-12-30T11:30:00"/>
    <n v="2.75"/>
    <x v="0"/>
    <x v="5"/>
    <s v="Fluído eléctrico"/>
    <s v="Planta generación energía electrica"/>
    <x v="51"/>
    <s v="corte energia electrica"/>
  </r>
  <r>
    <x v="712"/>
    <x v="3"/>
    <x v="8"/>
    <d v="1899-12-30T11:50:00"/>
    <d v="1899-12-30T12:30:00"/>
    <n v="0.66666666666666663"/>
    <x v="0"/>
    <x v="5"/>
    <s v="Fluído eléctrico"/>
    <s v="Planta generación energía electrica"/>
    <x v="51"/>
    <s v="corte energia electrica"/>
  </r>
  <r>
    <x v="712"/>
    <x v="3"/>
    <x v="8"/>
    <d v="1899-12-30T10:30:00"/>
    <d v="1899-12-30T11:30:00"/>
    <n v="0.5"/>
    <x v="0"/>
    <x v="0"/>
    <s v="Falla mecánica"/>
    <s v="Desfrutado"/>
    <x v="18"/>
    <s v="Descadenamiento "/>
  </r>
  <r>
    <x v="713"/>
    <x v="3"/>
    <x v="8"/>
    <d v="1899-12-30T09:41:00"/>
    <d v="1899-12-30T10:34:00"/>
    <n v="0.8833333333333333"/>
    <x v="0"/>
    <x v="1"/>
    <s v="Falla operativa"/>
    <s v="Clarificación"/>
    <x v="87"/>
    <s v="Taponamiento"/>
  </r>
  <r>
    <x v="713"/>
    <x v="3"/>
    <x v="8"/>
    <d v="1899-12-30T11:14:00"/>
    <d v="1899-12-30T12:04:00"/>
    <n v="0.83333333333333337"/>
    <x v="0"/>
    <x v="0"/>
    <s v="Falla mecánica"/>
    <s v="Esterilización "/>
    <x v="23"/>
    <s v="Atascamieto en Indexer Linea 2"/>
  </r>
  <r>
    <x v="713"/>
    <x v="3"/>
    <x v="8"/>
    <d v="1899-12-30T14:15:00"/>
    <d v="1899-12-30T15:38:00"/>
    <n v="0.69166666666666665"/>
    <x v="0"/>
    <x v="0"/>
    <s v="Falla mecánica"/>
    <s v="Clarificación"/>
    <x v="55"/>
    <s v="Soltura cuerpo"/>
  </r>
  <r>
    <x v="713"/>
    <x v="3"/>
    <x v="8"/>
    <d v="1899-12-30T12:56:00"/>
    <d v="1899-12-30T13:08:00"/>
    <n v="0.1"/>
    <x v="0"/>
    <x v="0"/>
    <s v="Falla mecánica"/>
    <s v="Desfrutado"/>
    <x v="101"/>
    <s v="Descadenamiento "/>
  </r>
  <r>
    <x v="713"/>
    <x v="3"/>
    <x v="8"/>
    <d v="1899-12-30T14:40:00"/>
    <d v="1899-12-30T15:28:00"/>
    <n v="0.4"/>
    <x v="0"/>
    <x v="0"/>
    <s v="Falla mecánica"/>
    <s v="Esterilización "/>
    <x v="23"/>
    <s v="Atascamieto en Indexer Linea 2"/>
  </r>
  <r>
    <x v="713"/>
    <x v="3"/>
    <x v="8"/>
    <d v="1899-12-30T16:15:00"/>
    <d v="1899-12-30T17:04:00"/>
    <n v="0.40833333333333333"/>
    <x v="0"/>
    <x v="0"/>
    <s v="Falla mecánica"/>
    <s v="Desfrutado"/>
    <x v="101"/>
    <s v="Descadenamiento "/>
  </r>
  <r>
    <x v="713"/>
    <x v="3"/>
    <x v="8"/>
    <d v="1899-12-30T18:48:00"/>
    <d v="1899-12-30T19:22:00"/>
    <n v="0.28333333333333333"/>
    <x v="0"/>
    <x v="1"/>
    <s v="Falla operativa"/>
    <s v="Esterilización "/>
    <x v="4"/>
    <s v="Atraso esterilización"/>
  </r>
  <r>
    <x v="713"/>
    <x v="3"/>
    <x v="8"/>
    <d v="1899-12-30T20:40:00"/>
    <d v="1899-12-30T21:54:00"/>
    <n v="0.6166666666666667"/>
    <x v="0"/>
    <x v="0"/>
    <s v="Falla mecánica"/>
    <s v="Esterilización "/>
    <x v="23"/>
    <s v="Atascamieto en Indexer Linea 2"/>
  </r>
  <r>
    <x v="713"/>
    <x v="3"/>
    <x v="8"/>
    <d v="1899-12-30T00:15:00"/>
    <d v="1899-12-30T01:35:00"/>
    <n v="0.66666666666666663"/>
    <x v="0"/>
    <x v="0"/>
    <s v="Falla mecánica"/>
    <s v="Desfrutado"/>
    <x v="101"/>
    <s v="Descadenamiento "/>
  </r>
  <r>
    <x v="713"/>
    <x v="3"/>
    <x v="8"/>
    <d v="1899-12-30T02:52:00"/>
    <d v="1899-12-30T04:40:00"/>
    <n v="1.8"/>
    <x v="0"/>
    <x v="1"/>
    <s v="Falla operativa"/>
    <s v="Desfrutado"/>
    <x v="2"/>
    <s v="Taponamiento anillos"/>
  </r>
  <r>
    <x v="713"/>
    <x v="3"/>
    <x v="8"/>
    <d v="1899-12-30T05:28:00"/>
    <d v="1899-12-30T06:02:00"/>
    <n v="0.28333333333333333"/>
    <x v="0"/>
    <x v="1"/>
    <s v="Falla operativa"/>
    <s v="Esterilización "/>
    <x v="4"/>
    <s v="Atraso esterilización"/>
  </r>
  <r>
    <x v="714"/>
    <x v="3"/>
    <x v="8"/>
    <d v="1899-12-30T07:10:00"/>
    <d v="1899-12-30T18:00:00"/>
    <n v="5.416666666666667"/>
    <x v="0"/>
    <x v="5"/>
    <s v="Fluído eléctrico"/>
    <s v="Planta generación energía electrica"/>
    <x v="51"/>
    <s v="corte energia electrica"/>
  </r>
  <r>
    <x v="714"/>
    <x v="3"/>
    <x v="8"/>
    <d v="1899-12-30T07:03:00"/>
    <d v="1899-12-30T08:20:00"/>
    <n v="0.64166666666666661"/>
    <x v="0"/>
    <x v="1"/>
    <s v="Falla operativa"/>
    <s v="Esterilización "/>
    <x v="4"/>
    <s v="Atraso esterilización"/>
  </r>
  <r>
    <x v="714"/>
    <x v="3"/>
    <x v="8"/>
    <d v="1899-12-30T08:14:00"/>
    <d v="1899-12-30T11:34:00"/>
    <n v="1.6666666666666667"/>
    <x v="0"/>
    <x v="0"/>
    <s v="Falla mecánica"/>
    <s v="Esterilización "/>
    <x v="23"/>
    <s v="Atascamieto en Indexer Linea 2"/>
  </r>
  <r>
    <x v="714"/>
    <x v="3"/>
    <x v="8"/>
    <d v="1899-12-30T13:41:00"/>
    <d v="1899-12-30T16:14:00"/>
    <n v="1.2749999999999999"/>
    <x v="0"/>
    <x v="0"/>
    <s v="Falla mecánica"/>
    <s v="Planta general"/>
    <x v="5"/>
    <s v="-"/>
  </r>
  <r>
    <x v="714"/>
    <x v="3"/>
    <x v="8"/>
    <d v="1899-12-30T19:00:00"/>
    <d v="1899-12-30T21:28:00"/>
    <n v="1.2333333333333334"/>
    <x v="0"/>
    <x v="0"/>
    <s v="Falla mecánica"/>
    <s v="Desfrutado"/>
    <x v="101"/>
    <s v="Descadenamiento "/>
  </r>
  <r>
    <x v="714"/>
    <x v="3"/>
    <x v="8"/>
    <d v="1899-12-30T22:32:00"/>
    <d v="1899-12-30T23:28:00"/>
    <n v="0.46666666666666667"/>
    <x v="0"/>
    <x v="1"/>
    <s v="Falla operativa"/>
    <s v="Esterilización "/>
    <x v="4"/>
    <s v="Atraso esterilización"/>
  </r>
  <r>
    <x v="714"/>
    <x v="3"/>
    <x v="8"/>
    <d v="1899-12-30T00:20:00"/>
    <d v="1899-12-30T01:40:00"/>
    <n v="0.66666666666666663"/>
    <x v="0"/>
    <x v="1"/>
    <s v="Falla operativa"/>
    <s v="Esterilización "/>
    <x v="4"/>
    <s v="Atraso esterilización"/>
  </r>
  <r>
    <x v="714"/>
    <x v="3"/>
    <x v="8"/>
    <d v="1899-12-30T02:20:00"/>
    <d v="1899-12-30T03:05:00"/>
    <n v="0.375"/>
    <x v="0"/>
    <x v="1"/>
    <s v="Falla operativa"/>
    <s v="Esterilización "/>
    <x v="4"/>
    <s v="Atraso esterilización"/>
  </r>
  <r>
    <x v="714"/>
    <x v="3"/>
    <x v="8"/>
    <d v="1899-12-30T04:00:00"/>
    <d v="1899-12-30T05:33:00"/>
    <n v="0.77500000000000002"/>
    <x v="0"/>
    <x v="1"/>
    <s v="Falla operativa"/>
    <s v="Esterilización "/>
    <x v="4"/>
    <s v="Atraso esterilización"/>
  </r>
  <r>
    <x v="715"/>
    <x v="3"/>
    <x v="8"/>
    <d v="1899-12-30T12:04:00"/>
    <d v="1899-12-30T14:44:00"/>
    <n v="1.3333333333333333"/>
    <x v="0"/>
    <x v="5"/>
    <s v="Fluído eléctrico"/>
    <s v="Planta generación energía electrica"/>
    <x v="51"/>
    <s v="corte energia electrica"/>
  </r>
  <r>
    <x v="715"/>
    <x v="3"/>
    <x v="8"/>
    <d v="1899-12-30T06:00:00"/>
    <d v="1899-12-30T12:24:00"/>
    <n v="3.2"/>
    <x v="0"/>
    <x v="5"/>
    <s v="Fluído eléctrico"/>
    <s v="Planta generación energía electrica"/>
    <x v="51"/>
    <s v="corte energia electrica"/>
  </r>
  <r>
    <x v="715"/>
    <x v="3"/>
    <x v="8"/>
    <d v="1899-12-30T16:14:00"/>
    <d v="1899-12-30T17:34:00"/>
    <n v="0.66666666666666663"/>
    <x v="0"/>
    <x v="1"/>
    <s v="Falla operativa"/>
    <s v="Esterilización "/>
    <x v="4"/>
    <s v="Atraso esterilización"/>
  </r>
  <r>
    <x v="715"/>
    <x v="3"/>
    <x v="8"/>
    <d v="1899-12-30T19:46:00"/>
    <d v="1899-12-30T20:18:00"/>
    <n v="0.26666666666666666"/>
    <x v="0"/>
    <x v="1"/>
    <s v="Falla operativa"/>
    <s v="Esterilización "/>
    <x v="4"/>
    <s v="Atraso esterilización"/>
  </r>
  <r>
    <x v="715"/>
    <x v="3"/>
    <x v="8"/>
    <d v="1899-12-30T21:25:00"/>
    <d v="1899-12-30T22:26:00"/>
    <n v="0.5083333333333333"/>
    <x v="0"/>
    <x v="0"/>
    <s v="Falla mecánica"/>
    <s v="Planta generación de vapor"/>
    <x v="22"/>
    <s v="Bajo nivel de agua"/>
  </r>
  <r>
    <x v="715"/>
    <x v="3"/>
    <x v="8"/>
    <d v="1899-12-30T02:06:00"/>
    <d v="1899-12-30T03:00:00"/>
    <n v="0.45"/>
    <x v="0"/>
    <x v="1"/>
    <s v="Falla operativa"/>
    <s v="Esterilización "/>
    <x v="4"/>
    <s v="Atraso esterilización"/>
  </r>
  <r>
    <x v="715"/>
    <x v="3"/>
    <x v="8"/>
    <d v="1899-12-30T03:33:00"/>
    <d v="1899-12-30T06:00:00"/>
    <n v="1.2250000000000001"/>
    <x v="0"/>
    <x v="1"/>
    <s v="Falla operativa"/>
    <s v="Esterilización "/>
    <x v="4"/>
    <s v="Atraso esterilización"/>
  </r>
  <r>
    <x v="716"/>
    <x v="3"/>
    <x v="8"/>
    <d v="1899-12-30T06:42:00"/>
    <d v="1899-12-30T14:00:00"/>
    <n v="3.65"/>
    <x v="0"/>
    <x v="5"/>
    <s v="Fluído eléctrico"/>
    <s v="Planta generación energía electrica"/>
    <x v="51"/>
    <s v="corte energia electrica"/>
  </r>
  <r>
    <x v="716"/>
    <x v="3"/>
    <x v="8"/>
    <d v="1899-12-30T14:00:00"/>
    <d v="1899-12-30T17:34:00"/>
    <n v="3.5666666666666664"/>
    <x v="0"/>
    <x v="0"/>
    <s v="Falla mecánica"/>
    <s v="Desfrutado"/>
    <x v="2"/>
    <s v="Falla electrica"/>
  </r>
  <r>
    <x v="716"/>
    <x v="3"/>
    <x v="8"/>
    <d v="1899-12-30T09:14:00"/>
    <d v="1899-12-30T10:12:00"/>
    <n v="0.48333333333333334"/>
    <x v="0"/>
    <x v="5"/>
    <s v="Fluído eléctrico"/>
    <s v="Planta generación energía electrica"/>
    <x v="51"/>
    <s v="corte energia electrica"/>
  </r>
  <r>
    <x v="716"/>
    <x v="3"/>
    <x v="8"/>
    <d v="1899-12-30T20:00:00"/>
    <d v="1899-12-30T21:00:00"/>
    <n v="0.5"/>
    <x v="0"/>
    <x v="1"/>
    <s v="Falla operativa"/>
    <s v="Esterilización "/>
    <x v="4"/>
    <s v="Atraso esterilización"/>
  </r>
  <r>
    <x v="716"/>
    <x v="3"/>
    <x v="8"/>
    <d v="1899-12-30T22:08:00"/>
    <d v="1899-12-30T22:42:00"/>
    <n v="0.28333333333333333"/>
    <x v="0"/>
    <x v="1"/>
    <s v="Falla operativa"/>
    <s v="Esterilización "/>
    <x v="4"/>
    <s v="Atraso esterilización"/>
  </r>
  <r>
    <x v="716"/>
    <x v="3"/>
    <x v="8"/>
    <d v="1899-12-30T00:16:00"/>
    <d v="1899-12-30T01:18:00"/>
    <n v="0.51666666666666672"/>
    <x v="0"/>
    <x v="1"/>
    <s v="Falla operativa"/>
    <s v="Esterilización "/>
    <x v="4"/>
    <s v="Atraso esterilización"/>
  </r>
  <r>
    <x v="716"/>
    <x v="3"/>
    <x v="8"/>
    <d v="1899-12-30T03:22:00"/>
    <d v="1899-12-30T04:32:00"/>
    <n v="0.58333333333333337"/>
    <x v="0"/>
    <x v="1"/>
    <s v="Falla operativa"/>
    <s v="Esterilización "/>
    <x v="4"/>
    <s v="Atraso esterilización"/>
  </r>
  <r>
    <x v="717"/>
    <x v="3"/>
    <x v="8"/>
    <d v="1899-12-30T15:34:00"/>
    <d v="1899-12-30T23:59:00"/>
    <n v="8.4166666666666661"/>
    <x v="0"/>
    <x v="0"/>
    <s v="Falla mecánica"/>
    <s v="Desfrutado"/>
    <x v="2"/>
    <s v="Falla electrica / motor quemado"/>
  </r>
  <r>
    <x v="717"/>
    <x v="3"/>
    <x v="8"/>
    <d v="1899-12-30T00:00:00"/>
    <d v="1899-12-30T03:35:00"/>
    <n v="3.5833333333333335"/>
    <x v="0"/>
    <x v="0"/>
    <s v="Falla mecánica"/>
    <s v="Desfrutado"/>
    <x v="2"/>
    <s v="Falla electrica / motor quemado"/>
  </r>
  <r>
    <x v="717"/>
    <x v="3"/>
    <x v="8"/>
    <d v="1899-12-30T04:55:00"/>
    <d v="1899-12-30T05:48:00"/>
    <n v="0.8833333333333333"/>
    <x v="0"/>
    <x v="0"/>
    <s v="Falla mecánica"/>
    <s v="Desfrutado"/>
    <x v="2"/>
    <s v="Falla electrica / Cambio arrancador"/>
  </r>
  <r>
    <x v="718"/>
    <x v="3"/>
    <x v="8"/>
    <d v="1899-12-30T12:10:00"/>
    <d v="1899-12-30T13:14:00"/>
    <n v="1.0666666666666667"/>
    <x v="0"/>
    <x v="0"/>
    <s v="Falla mecánica"/>
    <s v="Desfibración"/>
    <x v="61"/>
    <s v="Atascamiento por roturad e tornillos acople intermedio"/>
  </r>
  <r>
    <x v="718"/>
    <x v="3"/>
    <x v="8"/>
    <d v="1899-12-30T15:35:00"/>
    <d v="1899-12-30T16:05:00"/>
    <n v="0.5"/>
    <x v="0"/>
    <x v="1"/>
    <s v="Falla operativa"/>
    <s v="Clarificación"/>
    <x v="39"/>
    <s v="Taponamiento"/>
  </r>
  <r>
    <x v="718"/>
    <x v="3"/>
    <x v="8"/>
    <d v="1899-12-30T18:35:00"/>
    <d v="1899-12-30T18:52:00"/>
    <n v="0.28333333333333333"/>
    <x v="0"/>
    <x v="0"/>
    <s v="Falla mecánica"/>
    <s v="Esterilización "/>
    <x v="23"/>
    <s v="Resolde oreja enganche linea 2"/>
  </r>
  <r>
    <x v="718"/>
    <x v="3"/>
    <x v="8"/>
    <d v="1899-12-30T06:00:00"/>
    <d v="1899-12-30T11:00:00"/>
    <n v="2.5"/>
    <x v="0"/>
    <x v="0"/>
    <s v="Falla mecánica"/>
    <s v="Esterilización "/>
    <x v="7"/>
    <s v="Descadenado"/>
  </r>
  <r>
    <x v="719"/>
    <x v="3"/>
    <x v="8"/>
    <d v="1899-12-30T06:00:00"/>
    <d v="1899-12-30T08:00:00"/>
    <n v="1"/>
    <x v="0"/>
    <x v="0"/>
    <s v="Falla mecánica"/>
    <s v="Digestión y prensado"/>
    <x v="13"/>
    <s v="Resolde canasta rota"/>
  </r>
  <r>
    <x v="720"/>
    <x v="3"/>
    <x v="8"/>
    <d v="1899-12-30T21:00:00"/>
    <d v="1899-12-30T23:59:00"/>
    <n v="2.9833333333333334"/>
    <x v="0"/>
    <x v="0"/>
    <s v="Falla mecánica"/>
    <s v="Desfrutado"/>
    <x v="8"/>
    <s v="Caida cadena"/>
  </r>
  <r>
    <x v="720"/>
    <x v="3"/>
    <x v="8"/>
    <d v="1899-12-30T00:00:00"/>
    <d v="1899-12-30T01:40:00"/>
    <n v="1.6666666666666665"/>
    <x v="0"/>
    <x v="0"/>
    <s v="Falla mecánica"/>
    <s v="Desfrutado"/>
    <x v="8"/>
    <s v="Caida cadena"/>
  </r>
  <r>
    <x v="720"/>
    <x v="3"/>
    <x v="8"/>
    <d v="1899-12-30T09:15:00"/>
    <d v="1899-12-30T10:56:00"/>
    <n v="0.84166666666666667"/>
    <x v="0"/>
    <x v="0"/>
    <s v="Falla mecánica"/>
    <s v="Esterilización "/>
    <x v="7"/>
    <s v="Descadenado"/>
  </r>
  <r>
    <x v="720"/>
    <x v="3"/>
    <x v="8"/>
    <d v="1899-12-30T15:40:00"/>
    <d v="1899-12-30T16:30:00"/>
    <n v="0.41666666666666669"/>
    <x v="0"/>
    <x v="0"/>
    <s v="Falla mecánica"/>
    <s v="Desfrutado"/>
    <x v="101"/>
    <s v="Descadenado"/>
  </r>
  <r>
    <x v="721"/>
    <x v="3"/>
    <x v="8"/>
    <d v="1899-12-30T06:00:00"/>
    <d v="1899-12-30T07:44:00"/>
    <n v="0.8666666666666667"/>
    <x v="0"/>
    <x v="1"/>
    <s v="Falla operativa"/>
    <s v="Esterilización "/>
    <x v="4"/>
    <s v="Atraso esterilización"/>
  </r>
  <r>
    <x v="721"/>
    <x v="3"/>
    <x v="8"/>
    <d v="1899-12-30T08:11:00"/>
    <d v="1899-12-30T09:47:00"/>
    <n v="0.8"/>
    <x v="0"/>
    <x v="1"/>
    <s v="Falla operativa"/>
    <s v="Esterilización "/>
    <x v="4"/>
    <s v="Atraso esterilización"/>
  </r>
  <r>
    <x v="721"/>
    <x v="3"/>
    <x v="8"/>
    <d v="1899-12-30T13:08:00"/>
    <d v="1899-12-30T14:44:00"/>
    <n v="0.8"/>
    <x v="0"/>
    <x v="0"/>
    <s v="Falla mecánica"/>
    <s v="Desfrutado"/>
    <x v="18"/>
    <s v="Descadenado"/>
  </r>
  <r>
    <x v="721"/>
    <x v="3"/>
    <x v="8"/>
    <d v="1899-12-30T16:28:00"/>
    <d v="1899-12-30T17:28:00"/>
    <n v="0.5"/>
    <x v="0"/>
    <x v="0"/>
    <s v="Falla mecánica"/>
    <s v="Desfrutado"/>
    <x v="18"/>
    <s v="Descadenado"/>
  </r>
  <r>
    <x v="721"/>
    <x v="3"/>
    <x v="8"/>
    <d v="1899-12-30T19:00:00"/>
    <d v="1899-12-30T21:28:00"/>
    <n v="1.2333333333333334"/>
    <x v="0"/>
    <x v="1"/>
    <s v="Falla operativa"/>
    <s v="Esterilización "/>
    <x v="4"/>
    <s v="Atraso esterilización"/>
  </r>
  <r>
    <x v="721"/>
    <x v="3"/>
    <x v="8"/>
    <d v="1899-12-30T21:50:00"/>
    <d v="1899-12-30T23:00:00"/>
    <n v="0.58333333333333337"/>
    <x v="0"/>
    <x v="1"/>
    <s v="Falla operativa"/>
    <s v="Esterilización "/>
    <x v="4"/>
    <s v="Atraso esterilización"/>
  </r>
  <r>
    <x v="721"/>
    <x v="3"/>
    <x v="8"/>
    <d v="1899-12-30T23:46:00"/>
    <d v="1899-12-30T23:59:00"/>
    <n v="0.10833333333333334"/>
    <x v="0"/>
    <x v="1"/>
    <s v="Falla operativa"/>
    <s v="Esterilización "/>
    <x v="4"/>
    <s v="Atraso esterilización"/>
  </r>
  <r>
    <x v="721"/>
    <x v="3"/>
    <x v="8"/>
    <d v="1899-12-30T00:00:00"/>
    <d v="1899-12-30T00:40:00"/>
    <n v="0.33333333333333331"/>
    <x v="0"/>
    <x v="1"/>
    <s v="Falla operativa"/>
    <s v="Esterilización "/>
    <x v="4"/>
    <s v="Atraso esterilización"/>
  </r>
  <r>
    <x v="721"/>
    <x v="3"/>
    <x v="8"/>
    <d v="1899-12-30T03:00:00"/>
    <d v="1899-12-30T03:45:00"/>
    <n v="0.375"/>
    <x v="0"/>
    <x v="1"/>
    <s v="Falla operativa"/>
    <s v="Esterilización "/>
    <x v="4"/>
    <s v="Atraso esterilización"/>
  </r>
  <r>
    <x v="722"/>
    <x v="3"/>
    <x v="8"/>
    <d v="1899-12-30T10:42:00"/>
    <d v="1899-12-30T12:20:00"/>
    <n v="1.6333333333333333"/>
    <x v="0"/>
    <x v="0"/>
    <s v="Falla mecánica"/>
    <s v="Esterilización "/>
    <x v="23"/>
    <s v="Se cambian las vagonetas linea 2"/>
  </r>
  <r>
    <x v="722"/>
    <x v="3"/>
    <x v="8"/>
    <d v="1899-12-30T13:30:00"/>
    <d v="1899-12-30T16:00:00"/>
    <n v="1.25"/>
    <x v="0"/>
    <x v="0"/>
    <s v="Falla mecánica"/>
    <s v="Esterilización "/>
    <x v="23"/>
    <s v="descarrilamiento dentro de tambor de volteo"/>
  </r>
  <r>
    <x v="722"/>
    <x v="3"/>
    <x v="8"/>
    <d v="1899-12-30T12:10:00"/>
    <d v="1899-12-30T12:50:00"/>
    <n v="0.33333333333333331"/>
    <x v="0"/>
    <x v="0"/>
    <s v="Falla mecánica"/>
    <s v="Esterilización "/>
    <x v="23"/>
    <s v="descarrilamiento dentro de tambor de volteo"/>
  </r>
  <r>
    <x v="722"/>
    <x v="3"/>
    <x v="8"/>
    <d v="1899-12-30T16:15:00"/>
    <d v="1899-12-30T23:59:00"/>
    <n v="3.8666666666666667"/>
    <x v="0"/>
    <x v="0"/>
    <s v="Falla mecánica"/>
    <s v="Digestión y prensado"/>
    <x v="86"/>
    <s v="Eje largo transmiion partido"/>
  </r>
  <r>
    <x v="722"/>
    <x v="3"/>
    <x v="8"/>
    <d v="1899-12-30T00:00:00"/>
    <d v="1899-12-30T06:00:00"/>
    <n v="3"/>
    <x v="0"/>
    <x v="0"/>
    <s v="Falla mecánica"/>
    <s v="Digestión y prensado"/>
    <x v="86"/>
    <s v="Eje largo transmiion partido"/>
  </r>
  <r>
    <x v="723"/>
    <x v="3"/>
    <x v="8"/>
    <d v="1899-12-30T00:00:00"/>
    <d v="1899-12-30T23:59:00"/>
    <n v="11.991666666666667"/>
    <x v="0"/>
    <x v="0"/>
    <s v="Falla mecánica"/>
    <s v="Digestión y prensado"/>
    <x v="86"/>
    <s v="Eje largo transmiion partido"/>
  </r>
  <r>
    <x v="723"/>
    <x v="3"/>
    <x v="8"/>
    <d v="1899-12-30T06:00:00"/>
    <d v="1899-12-30T08:15:00"/>
    <n v="1.125"/>
    <x v="0"/>
    <x v="1"/>
    <s v="Falla operativa"/>
    <s v="Esterilización "/>
    <x v="4"/>
    <s v="Atraso esterilización"/>
  </r>
  <r>
    <x v="723"/>
    <x v="3"/>
    <x v="8"/>
    <d v="1899-12-30T09:25:00"/>
    <d v="1899-12-30T10:47:00"/>
    <n v="0.68333333333333335"/>
    <x v="0"/>
    <x v="1"/>
    <s v="Falla operativa"/>
    <s v="Esterilización "/>
    <x v="4"/>
    <s v="Atraso esterilización"/>
  </r>
  <r>
    <x v="723"/>
    <x v="3"/>
    <x v="8"/>
    <d v="1899-12-30T12:24:00"/>
    <d v="1899-12-30T17:34:00"/>
    <n v="2.5833333333333335"/>
    <x v="0"/>
    <x v="1"/>
    <s v="Falla operativa"/>
    <s v="Esterilización "/>
    <x v="4"/>
    <s v="Atraso esterilización"/>
  </r>
  <r>
    <x v="724"/>
    <x v="3"/>
    <x v="9"/>
    <d v="1899-12-30T09:00:00"/>
    <d v="1899-12-30T10:00:00"/>
    <n v="0.5"/>
    <x v="0"/>
    <x v="1"/>
    <s v="Falla operativa"/>
    <s v="Digestión y prensado"/>
    <x v="57"/>
    <s v="Disparo  motor"/>
  </r>
  <r>
    <x v="724"/>
    <x v="3"/>
    <x v="9"/>
    <d v="1899-12-30T00:00:00"/>
    <d v="1899-12-30T23:59:00"/>
    <n v="11.991666666666667"/>
    <x v="0"/>
    <x v="0"/>
    <s v="Falla mecánica"/>
    <s v="Digestión y prensado"/>
    <x v="86"/>
    <s v="Eje largo transmiion partido"/>
  </r>
  <r>
    <x v="725"/>
    <x v="3"/>
    <x v="9"/>
    <d v="1899-12-30T06:00:00"/>
    <d v="1899-12-30T16:45:00"/>
    <n v="5.375"/>
    <x v="0"/>
    <x v="0"/>
    <s v="Falla mecánica"/>
    <s v="Digestión y prensado"/>
    <x v="86"/>
    <s v="Eje largo transmiion partido"/>
  </r>
  <r>
    <x v="725"/>
    <x v="3"/>
    <x v="9"/>
    <d v="1899-12-30T12:32:00"/>
    <d v="1899-12-30T12:50:00"/>
    <n v="0.3"/>
    <x v="0"/>
    <x v="0"/>
    <s v="Falla mecánica"/>
    <s v="Esterilización "/>
    <x v="23"/>
    <s v="Descarrilamiento dentro de tambor de volteo"/>
  </r>
  <r>
    <x v="726"/>
    <x v="3"/>
    <x v="9"/>
    <d v="1899-12-30T06:00:00"/>
    <d v="1899-12-30T14:20:00"/>
    <n v="4.166666666666667"/>
    <x v="0"/>
    <x v="0"/>
    <s v="Falla mecánica"/>
    <s v="Digestión y prensado"/>
    <x v="13"/>
    <s v="Cambio de tornillos"/>
  </r>
  <r>
    <x v="726"/>
    <x v="3"/>
    <x v="9"/>
    <d v="1899-12-30T06:00:00"/>
    <d v="1899-12-30T06:20:00"/>
    <n v="0.16666666666666666"/>
    <x v="0"/>
    <x v="1"/>
    <s v="Falla operativa"/>
    <s v="Esterilización "/>
    <x v="4"/>
    <s v="Atraso esterilización"/>
  </r>
  <r>
    <x v="726"/>
    <x v="3"/>
    <x v="9"/>
    <d v="1899-12-30T08:44:00"/>
    <d v="1899-12-30T10:37:00"/>
    <n v="0.94166666666666665"/>
    <x v="0"/>
    <x v="1"/>
    <s v="Falla operativa"/>
    <s v="Esterilización "/>
    <x v="4"/>
    <s v="Atraso esterilización"/>
  </r>
  <r>
    <x v="726"/>
    <x v="3"/>
    <x v="9"/>
    <d v="1899-12-30T11:23:00"/>
    <d v="1899-12-30T13:33:00"/>
    <n v="1.0833333333333333"/>
    <x v="0"/>
    <x v="1"/>
    <s v="Falla operativa"/>
    <s v="Esterilización "/>
    <x v="4"/>
    <s v="Atraso esterilización"/>
  </r>
  <r>
    <x v="726"/>
    <x v="3"/>
    <x v="9"/>
    <d v="1899-12-30T22:42:00"/>
    <d v="1899-12-30T23:00:00"/>
    <n v="0.15"/>
    <x v="0"/>
    <x v="1"/>
    <s v="Falla operativa"/>
    <s v="Esterilización "/>
    <x v="4"/>
    <s v="Atraso esterilización"/>
  </r>
  <r>
    <x v="726"/>
    <x v="3"/>
    <x v="9"/>
    <d v="1899-12-30T00:17:00"/>
    <d v="1899-12-30T00:30:00"/>
    <n v="0.10833333333333334"/>
    <x v="0"/>
    <x v="1"/>
    <s v="Falla operativa"/>
    <s v="Esterilización "/>
    <x v="4"/>
    <s v="Atraso esterilización"/>
  </r>
  <r>
    <x v="726"/>
    <x v="3"/>
    <x v="9"/>
    <d v="1899-12-30T05:30:00"/>
    <d v="1899-12-30T06:00:00"/>
    <n v="0.25"/>
    <x v="0"/>
    <x v="1"/>
    <s v="Falla operativa"/>
    <s v="Esterilización "/>
    <x v="4"/>
    <s v="Atraso esterilización"/>
  </r>
  <r>
    <x v="727"/>
    <x v="3"/>
    <x v="9"/>
    <d v="1899-12-30T06:00:00"/>
    <d v="1899-12-30T07:50:00"/>
    <n v="1.8333333333333335"/>
    <x v="0"/>
    <x v="0"/>
    <s v="Falla eléctrica"/>
    <s v="Palmistería"/>
    <x v="21"/>
    <s v="Corto acometida motor"/>
  </r>
  <r>
    <x v="727"/>
    <x v="3"/>
    <x v="9"/>
    <d v="1899-12-30T14:10:00"/>
    <d v="1899-12-30T14:40:00"/>
    <n v="0.5"/>
    <x v="0"/>
    <x v="0"/>
    <s v="Falla mecánica"/>
    <s v="Palmistería"/>
    <x v="72"/>
    <s v="Rotura cadena tambor"/>
  </r>
  <r>
    <x v="727"/>
    <x v="3"/>
    <x v="9"/>
    <d v="1899-12-30T15:00:00"/>
    <d v="1899-12-30T16:00:00"/>
    <n v="1"/>
    <x v="0"/>
    <x v="0"/>
    <s v="Falla mecánica"/>
    <s v="Desfibración"/>
    <x v="0"/>
    <s v="Atascamiento de fibra"/>
  </r>
  <r>
    <x v="727"/>
    <x v="3"/>
    <x v="9"/>
    <d v="1899-12-30T11:20:00"/>
    <d v="1899-12-30T12:32:00"/>
    <n v="0.6"/>
    <x v="0"/>
    <x v="0"/>
    <s v="Falla mecánica"/>
    <s v="Desfrutado"/>
    <x v="14"/>
    <s v="Descadenamiento"/>
  </r>
  <r>
    <x v="727"/>
    <x v="3"/>
    <x v="9"/>
    <d v="1899-12-30T13:42:00"/>
    <d v="1899-12-30T14:00:00"/>
    <n v="0.15"/>
    <x v="0"/>
    <x v="1"/>
    <s v="Falla operativa"/>
    <s v="Palmistería"/>
    <x v="6"/>
    <s v="Taponamiento"/>
  </r>
  <r>
    <x v="728"/>
    <x v="3"/>
    <x v="9"/>
    <d v="1899-12-30T06:00:00"/>
    <d v="1899-12-30T10:00:00"/>
    <n v="2"/>
    <x v="0"/>
    <x v="0"/>
    <s v="Falla mecánica"/>
    <s v="Digestión y prensado"/>
    <x v="13"/>
    <s v="Rotura 8 salida torta"/>
  </r>
  <r>
    <x v="728"/>
    <x v="3"/>
    <x v="9"/>
    <d v="1899-12-30T09:45:00"/>
    <d v="1899-12-30T20:15:00"/>
    <n v="10.5"/>
    <x v="0"/>
    <x v="0"/>
    <s v="Falla mecánica"/>
    <s v="Desfrutado"/>
    <x v="8"/>
    <s v="Rotura de cadena"/>
  </r>
  <r>
    <x v="728"/>
    <x v="3"/>
    <x v="9"/>
    <d v="1899-12-30T03:20:00"/>
    <d v="1899-12-30T03:55:00"/>
    <n v="0.29166666666666669"/>
    <x v="0"/>
    <x v="1"/>
    <s v="Falla operativa"/>
    <s v="Esterilización "/>
    <x v="4"/>
    <s v="Atraso esterilización"/>
  </r>
  <r>
    <x v="728"/>
    <x v="3"/>
    <x v="9"/>
    <d v="1899-12-30T10:25:00"/>
    <d v="1899-12-30T11:25:00"/>
    <n v="0.5"/>
    <x v="0"/>
    <x v="1"/>
    <s v="Falla operativa"/>
    <s v="Esterilización "/>
    <x v="4"/>
    <s v="Atraso esterilización"/>
  </r>
  <r>
    <x v="729"/>
    <x v="3"/>
    <x v="9"/>
    <d v="1899-12-30T11:08:00"/>
    <d v="1899-12-30T13:07:00"/>
    <n v="1.9833333333333334"/>
    <x v="0"/>
    <x v="0"/>
    <s v="Falla mecánica"/>
    <s v="Esterilización "/>
    <x v="96"/>
    <s v="Falla suministro aire comprimido"/>
  </r>
  <r>
    <x v="729"/>
    <x v="3"/>
    <x v="9"/>
    <d v="1899-12-30T06:00:00"/>
    <d v="1899-12-30T06:45:00"/>
    <n v="0.375"/>
    <x v="0"/>
    <x v="1"/>
    <s v="Falla operativa"/>
    <s v="Desfrutado"/>
    <x v="2"/>
    <s v="Tapado por fibras"/>
  </r>
  <r>
    <x v="729"/>
    <x v="3"/>
    <x v="9"/>
    <d v="1899-12-30T10:52:00"/>
    <d v="1899-12-30T12:10:00"/>
    <n v="0.65"/>
    <x v="0"/>
    <x v="0"/>
    <s v="Falla mecánica"/>
    <s v="Desfrutado"/>
    <x v="18"/>
    <s v="rotura cadena"/>
  </r>
  <r>
    <x v="729"/>
    <x v="3"/>
    <x v="9"/>
    <d v="1899-12-30T09:42:00"/>
    <d v="1899-12-30T13:48:00"/>
    <n v="2.0499999999999998"/>
    <x v="0"/>
    <x v="1"/>
    <s v="Falla operativa"/>
    <s v="Esterilización "/>
    <x v="4"/>
    <s v="Atraso esterilización"/>
  </r>
  <r>
    <x v="730"/>
    <x v="3"/>
    <x v="9"/>
    <d v="1899-12-30T00:30:00"/>
    <d v="1899-12-30T01:14:00"/>
    <n v="0.36666666666666664"/>
    <x v="0"/>
    <x v="1"/>
    <s v="Falla operativa"/>
    <s v="Palmistería"/>
    <x v="6"/>
    <s v="Taponamiento"/>
  </r>
  <r>
    <x v="730"/>
    <x v="3"/>
    <x v="9"/>
    <d v="1899-12-30T01:22:00"/>
    <d v="1899-12-30T01:50:00"/>
    <n v="0.23333333333333334"/>
    <x v="0"/>
    <x v="1"/>
    <s v="Falla operativa"/>
    <s v="Digestión y prensado"/>
    <x v="13"/>
    <s v="Disparo por sobrecarga"/>
  </r>
  <r>
    <x v="730"/>
    <x v="3"/>
    <x v="9"/>
    <d v="1899-12-30T11:45:00"/>
    <d v="1899-12-30T13:40:00"/>
    <n v="0.95833333333333326"/>
    <x v="0"/>
    <x v="0"/>
    <s v="Falla mecánica"/>
    <s v="Esterilización "/>
    <x v="73"/>
    <s v="Reparacion Indexer."/>
  </r>
  <r>
    <x v="730"/>
    <x v="3"/>
    <x v="9"/>
    <d v="1899-12-30T21:00:00"/>
    <d v="1899-12-30T21:54:00"/>
    <n v="0.45"/>
    <x v="0"/>
    <x v="1"/>
    <s v="Falla operativa"/>
    <s v="Esterilización "/>
    <x v="4"/>
    <s v="Atraso esterilización"/>
  </r>
  <r>
    <x v="730"/>
    <x v="3"/>
    <x v="9"/>
    <d v="1899-12-30T23:35:00"/>
    <d v="1899-12-30T23:59:00"/>
    <n v="0.2"/>
    <x v="0"/>
    <x v="1"/>
    <s v="Falla operativa"/>
    <s v="Digestión y prensado"/>
    <x v="82"/>
    <s v="Nivel bajo"/>
  </r>
  <r>
    <x v="730"/>
    <x v="3"/>
    <x v="9"/>
    <d v="1899-12-30T00:37:00"/>
    <d v="1899-12-30T01:12:00"/>
    <n v="0.29166666666666669"/>
    <x v="0"/>
    <x v="1"/>
    <s v="Falla operativa"/>
    <s v="Palmistería"/>
    <x v="6"/>
    <s v="Taponamiento"/>
  </r>
  <r>
    <x v="731"/>
    <x v="3"/>
    <x v="9"/>
    <d v="1899-12-30T06:00:00"/>
    <d v="1899-12-30T07:40:00"/>
    <n v="1.6666666666666665"/>
    <x v="0"/>
    <x v="0"/>
    <s v="Falla mecánica"/>
    <s v="Clarificación"/>
    <x v="55"/>
    <s v="Rotura abrazadera cuerpo"/>
  </r>
  <r>
    <x v="731"/>
    <x v="3"/>
    <x v="9"/>
    <d v="1899-12-30T08:28:00"/>
    <d v="1899-12-30T12:35:00"/>
    <n v="2.0583333333333331"/>
    <x v="0"/>
    <x v="1"/>
    <s v="Falla operativa"/>
    <s v="Planta generación de vapor"/>
    <x v="22"/>
    <s v="Bajo nivel de agua"/>
  </r>
  <r>
    <x v="731"/>
    <x v="3"/>
    <x v="9"/>
    <d v="1899-12-30T18:55:00"/>
    <d v="1899-12-30T19:25:00"/>
    <n v="0.25"/>
    <x v="0"/>
    <x v="1"/>
    <s v="Falla operativa"/>
    <s v="Digestión y prensado"/>
    <x v="82"/>
    <s v="Nivel bajo"/>
  </r>
  <r>
    <x v="731"/>
    <x v="3"/>
    <x v="9"/>
    <d v="1899-12-30T23:01:00"/>
    <d v="1899-12-30T23:50:00"/>
    <n v="0.40833333333333333"/>
    <x v="0"/>
    <x v="1"/>
    <s v="Falla operativa"/>
    <s v="Desfrutado"/>
    <x v="94"/>
    <s v="Taponamiento"/>
  </r>
  <r>
    <x v="731"/>
    <x v="3"/>
    <x v="9"/>
    <d v="1899-12-30T01:30:00"/>
    <d v="1899-12-30T02:37:00"/>
    <n v="0.55833333333333335"/>
    <x v="0"/>
    <x v="0"/>
    <s v="Falla mecánica"/>
    <s v="Esterilización "/>
    <x v="103"/>
    <s v="Falta de aceite hidraulico"/>
  </r>
  <r>
    <x v="731"/>
    <x v="3"/>
    <x v="9"/>
    <d v="1899-12-30T03:00:00"/>
    <d v="1899-12-30T04:50:00"/>
    <n v="0.91666666666666674"/>
    <x v="0"/>
    <x v="0"/>
    <s v="Falla mecánica"/>
    <s v="Esterilización "/>
    <x v="103"/>
    <s v="Falta de aceite hidraulico"/>
  </r>
  <r>
    <x v="732"/>
    <x v="3"/>
    <x v="9"/>
    <d v="1899-12-30T06:00:00"/>
    <d v="1899-12-30T06:50:00"/>
    <n v="0.83333333333333337"/>
    <x v="0"/>
    <x v="1"/>
    <s v="Falla operativa"/>
    <s v="Esterilización "/>
    <x v="4"/>
    <s v="Atraso esterilización"/>
  </r>
  <r>
    <x v="732"/>
    <x v="3"/>
    <x v="9"/>
    <d v="1899-12-30T14:00:00"/>
    <d v="1899-12-30T15:25:00"/>
    <n v="1.4166666666666667"/>
    <x v="0"/>
    <x v="1"/>
    <s v="Falla operativa"/>
    <s v="Desfrutado"/>
    <x v="2"/>
    <s v="Tambor tapado"/>
  </r>
  <r>
    <x v="732"/>
    <x v="3"/>
    <x v="9"/>
    <d v="1899-12-30T09:05:00"/>
    <d v="1899-12-30T12:37:00"/>
    <n v="1.7666666666666666"/>
    <x v="0"/>
    <x v="0"/>
    <s v="Falla mecánica"/>
    <s v="Desfrutado"/>
    <x v="101"/>
    <s v="Descadenado"/>
  </r>
  <r>
    <x v="732"/>
    <x v="3"/>
    <x v="9"/>
    <d v="1899-12-30T16:37:00"/>
    <d v="1899-12-30T17:14:00"/>
    <n v="0.30833333333333335"/>
    <x v="0"/>
    <x v="0"/>
    <s v="Falla mecánica"/>
    <s v="Desfrutado"/>
    <x v="14"/>
    <s v="Destensionado, se tensiona"/>
  </r>
  <r>
    <x v="733"/>
    <x v="3"/>
    <x v="9"/>
    <d v="1899-12-30T07:50:00"/>
    <d v="1899-12-30T08:15:00"/>
    <n v="0.20833333333333334"/>
    <x v="0"/>
    <x v="1"/>
    <s v="Falla operativa"/>
    <s v="Esterilización "/>
    <x v="4"/>
    <s v="Atraso esterilización"/>
  </r>
  <r>
    <x v="733"/>
    <x v="3"/>
    <x v="9"/>
    <d v="1899-12-30T09:30:00"/>
    <d v="1899-12-30T10:00:00"/>
    <n v="0.25"/>
    <x v="0"/>
    <x v="1"/>
    <s v="Falla operativa"/>
    <s v="Esterilización "/>
    <x v="4"/>
    <s v="Atraso esterilización"/>
  </r>
  <r>
    <x v="734"/>
    <x v="3"/>
    <x v="9"/>
    <d v="1899-12-30T15:00:00"/>
    <d v="1899-12-30T15:30:00"/>
    <n v="0.25"/>
    <x v="0"/>
    <x v="1"/>
    <s v="Falla operativa"/>
    <s v="Digestión y prensado"/>
    <x v="13"/>
    <s v="Disparo por sobrecarga"/>
  </r>
  <r>
    <x v="734"/>
    <x v="3"/>
    <x v="9"/>
    <d v="1899-12-30T18:35:00"/>
    <d v="1899-12-30T19:06:00"/>
    <n v="0.25833333333333336"/>
    <x v="0"/>
    <x v="1"/>
    <s v="Falla operativa"/>
    <s v="Esterilización "/>
    <x v="4"/>
    <s v="Atraso esterilización"/>
  </r>
  <r>
    <x v="734"/>
    <x v="3"/>
    <x v="9"/>
    <d v="1899-12-30T20:40:00"/>
    <d v="1899-12-30T20:55:00"/>
    <n v="0.125"/>
    <x v="0"/>
    <x v="1"/>
    <s v="Falla operativa"/>
    <s v="Desfrutado"/>
    <x v="2"/>
    <s v="Tambor tapado"/>
  </r>
  <r>
    <x v="734"/>
    <x v="3"/>
    <x v="9"/>
    <d v="1899-12-30T22:53:00"/>
    <d v="1899-12-30T23:28:00"/>
    <n v="0.29166666666666669"/>
    <x v="0"/>
    <x v="0"/>
    <s v="Falla mecánica"/>
    <s v="Desfrutado"/>
    <x v="101"/>
    <s v="Descadenado"/>
  </r>
  <r>
    <x v="734"/>
    <x v="3"/>
    <x v="9"/>
    <d v="1899-12-30T01:35:00"/>
    <d v="1899-12-30T02:00:00"/>
    <n v="0.20833333333333334"/>
    <x v="0"/>
    <x v="1"/>
    <s v="Falla operativa"/>
    <s v="Esterilización "/>
    <x v="4"/>
    <s v="Atraso esterilización"/>
  </r>
  <r>
    <x v="734"/>
    <x v="3"/>
    <x v="9"/>
    <d v="1899-12-30T03:10:00"/>
    <d v="1899-12-30T04:30:00"/>
    <n v="0.66666666666666663"/>
    <x v="0"/>
    <x v="1"/>
    <s v="Falla operativa"/>
    <s v="Esterilización "/>
    <x v="7"/>
    <s v="Sobre carga fruto"/>
  </r>
  <r>
    <x v="734"/>
    <x v="3"/>
    <x v="9"/>
    <d v="1899-12-30T05:50:00"/>
    <d v="1899-12-30T06:00:00"/>
    <n v="8.3333333333333329E-2"/>
    <x v="0"/>
    <x v="1"/>
    <s v="Falla operativa"/>
    <s v="Esterilización "/>
    <x v="4"/>
    <s v="Atraso esterilización"/>
  </r>
  <r>
    <x v="735"/>
    <x v="3"/>
    <x v="9"/>
    <d v="1899-12-30T11:45:00"/>
    <d v="1899-12-30T12:15:00"/>
    <n v="0.5"/>
    <x v="0"/>
    <x v="0"/>
    <s v="Falla mecánica"/>
    <s v="Desfibración"/>
    <x v="0"/>
    <s v="Paleta suelta"/>
  </r>
  <r>
    <x v="735"/>
    <x v="3"/>
    <x v="9"/>
    <d v="1899-12-30T23:30:00"/>
    <d v="1899-12-30T23:59:00"/>
    <n v="0.24166666666666667"/>
    <x v="0"/>
    <x v="1"/>
    <s v="Falla operativa"/>
    <s v="Esterilización "/>
    <x v="4"/>
    <s v="Atraso esterilización"/>
  </r>
  <r>
    <x v="735"/>
    <x v="3"/>
    <x v="9"/>
    <d v="1899-12-30T03:14:00"/>
    <d v="1899-12-30T04:35:00"/>
    <n v="0.67500000000000004"/>
    <x v="0"/>
    <x v="1"/>
    <s v="Falla operativa"/>
    <s v="Esterilización "/>
    <x v="44"/>
    <s v="Descarrilamiento linea 2"/>
  </r>
  <r>
    <x v="736"/>
    <x v="3"/>
    <x v="9"/>
    <d v="1899-12-30T11:30:00"/>
    <d v="1899-12-30T12:30:00"/>
    <n v="0.5"/>
    <x v="0"/>
    <x v="1"/>
    <s v="Falla operativa"/>
    <s v="Digestión y prensado"/>
    <x v="13"/>
    <s v="Disparo por sobrecarga"/>
  </r>
  <r>
    <x v="737"/>
    <x v="3"/>
    <x v="9"/>
    <d v="1899-12-30T10:15:00"/>
    <d v="1899-12-30T10:30:00"/>
    <n v="0.125"/>
    <x v="0"/>
    <x v="3"/>
    <s v="Fluído eléctrico"/>
    <s v="Planta general"/>
    <x v="5"/>
    <s v="Falla fluido electrico"/>
  </r>
  <r>
    <x v="737"/>
    <x v="3"/>
    <x v="9"/>
    <d v="1899-12-30T11:35:00"/>
    <d v="1899-12-30T12:30:00"/>
    <n v="0.45833333333333331"/>
    <x v="0"/>
    <x v="1"/>
    <s v="Falla operativa"/>
    <s v="Desfrutado"/>
    <x v="1"/>
    <s v="Taponamiento"/>
  </r>
  <r>
    <x v="737"/>
    <x v="3"/>
    <x v="9"/>
    <d v="1899-12-30T15:25:00"/>
    <d v="1899-12-30T15:30:00"/>
    <n v="4.1666666666666664E-2"/>
    <x v="0"/>
    <x v="3"/>
    <s v="Fluído eléctrico"/>
    <s v="Planta general"/>
    <x v="5"/>
    <s v="Falla fluido electrico"/>
  </r>
  <r>
    <x v="738"/>
    <x v="3"/>
    <x v="9"/>
    <d v="1899-12-30T06:00:00"/>
    <d v="1899-12-30T09:30:00"/>
    <n v="1.75"/>
    <x v="0"/>
    <x v="1"/>
    <s v="Falla operativa"/>
    <s v="Digestión y prensado"/>
    <x v="13"/>
    <s v="Atascamiento arranque"/>
  </r>
  <r>
    <x v="738"/>
    <x v="3"/>
    <x v="9"/>
    <d v="1899-12-30T10:40:00"/>
    <d v="1899-12-30T11:12:00"/>
    <n v="0.26666666666666666"/>
    <x v="0"/>
    <x v="1"/>
    <s v="Falla operativa"/>
    <s v="Desfrutado"/>
    <x v="2"/>
    <s v="Taponamiento"/>
  </r>
  <r>
    <x v="738"/>
    <x v="3"/>
    <x v="9"/>
    <d v="1899-12-30T13:15:00"/>
    <d v="1899-12-30T14:24:00"/>
    <n v="0.57499999999999996"/>
    <x v="0"/>
    <x v="1"/>
    <s v="Falla operativa"/>
    <s v="Desfrutado"/>
    <x v="2"/>
    <s v="Taponamiento"/>
  </r>
  <r>
    <x v="738"/>
    <x v="3"/>
    <x v="9"/>
    <d v="1899-12-30T16:20:00"/>
    <d v="1899-12-30T16:32:00"/>
    <n v="0.1"/>
    <x v="0"/>
    <x v="1"/>
    <s v="Falla operativa"/>
    <s v="Desfrutado"/>
    <x v="2"/>
    <s v="Taponamiento"/>
  </r>
  <r>
    <x v="738"/>
    <x v="3"/>
    <x v="9"/>
    <d v="1899-12-30T17:44:00"/>
    <d v="1899-12-30T19:04:00"/>
    <n v="1.3333333333333333"/>
    <x v="0"/>
    <x v="1"/>
    <s v="Falla operativa"/>
    <s v="Desfrutado"/>
    <x v="2"/>
    <s v="Taponamiento"/>
  </r>
  <r>
    <x v="738"/>
    <x v="3"/>
    <x v="9"/>
    <d v="1899-12-30T12:46:00"/>
    <d v="1899-12-30T14:28:00"/>
    <n v="0.85"/>
    <x v="0"/>
    <x v="1"/>
    <s v="Falla operativa"/>
    <s v="Desfrutado"/>
    <x v="2"/>
    <s v="Taponamiento"/>
  </r>
  <r>
    <x v="738"/>
    <x v="3"/>
    <x v="9"/>
    <d v="1899-12-30T15:50:00"/>
    <d v="1899-12-30T16:50:00"/>
    <n v="0.5"/>
    <x v="0"/>
    <x v="1"/>
    <s v="Falla operativa"/>
    <s v="Desfrutado"/>
    <x v="2"/>
    <s v="Taponamiento"/>
  </r>
  <r>
    <x v="738"/>
    <x v="3"/>
    <x v="9"/>
    <d v="1899-12-30T23:01:00"/>
    <d v="1899-12-30T23:59:00"/>
    <n v="0.48333333333333334"/>
    <x v="0"/>
    <x v="1"/>
    <s v="Falla operativa"/>
    <s v="Desfrutado"/>
    <x v="50"/>
    <s v="Taponamiento"/>
  </r>
  <r>
    <x v="738"/>
    <x v="3"/>
    <x v="9"/>
    <d v="1899-12-30T01:10:00"/>
    <d v="1899-12-30T02:10:00"/>
    <n v="0.5"/>
    <x v="0"/>
    <x v="3"/>
    <s v="Fluído eléctrico"/>
    <s v="Planta general"/>
    <x v="5"/>
    <s v="Falla fluido electrico"/>
  </r>
  <r>
    <x v="739"/>
    <x v="3"/>
    <x v="9"/>
    <d v="1899-12-30T13:25:00"/>
    <d v="1899-12-30T14:00:00"/>
    <n v="0.29166666666666669"/>
    <x v="0"/>
    <x v="1"/>
    <s v="Falla operativa"/>
    <s v="Desfrutado"/>
    <x v="2"/>
    <s v="Taponamiento"/>
  </r>
  <r>
    <x v="739"/>
    <x v="3"/>
    <x v="9"/>
    <d v="1899-12-30T12:05:00"/>
    <d v="1899-12-30T12:54:00"/>
    <n v="0.40833333333333333"/>
    <x v="0"/>
    <x v="1"/>
    <s v="Falla operativa"/>
    <s v="Esterilización "/>
    <x v="4"/>
    <s v="Atraso esterilización"/>
  </r>
  <r>
    <x v="739"/>
    <x v="3"/>
    <x v="9"/>
    <d v="1899-12-30T13:25:00"/>
    <d v="1899-12-30T14:02:00"/>
    <n v="0.30833333333333335"/>
    <x v="0"/>
    <x v="1"/>
    <s v="Falla operativa"/>
    <s v="Desfrutado"/>
    <x v="2"/>
    <s v="Taponamiento"/>
  </r>
  <r>
    <x v="739"/>
    <x v="3"/>
    <x v="9"/>
    <d v="1899-12-30T19:07:00"/>
    <d v="1899-12-30T20:14:00"/>
    <n v="0.55833333333333335"/>
    <x v="0"/>
    <x v="1"/>
    <s v="Falla operativa"/>
    <s v="Esterilización "/>
    <x v="4"/>
    <s v="Atraso esterilización"/>
  </r>
  <r>
    <x v="739"/>
    <x v="3"/>
    <x v="9"/>
    <d v="1899-12-30T21:17:00"/>
    <d v="1899-12-30T22:04:00"/>
    <n v="0.39166666666666666"/>
    <x v="0"/>
    <x v="1"/>
    <s v="Falla operativa"/>
    <s v="Esterilización "/>
    <x v="4"/>
    <s v="Atraso esterilización"/>
  </r>
  <r>
    <x v="739"/>
    <x v="3"/>
    <x v="9"/>
    <d v="1899-12-30T02:10:00"/>
    <d v="1899-12-30T03:05:00"/>
    <n v="0.45833333333333331"/>
    <x v="0"/>
    <x v="1"/>
    <s v="Falla operativa"/>
    <s v="Esterilización "/>
    <x v="4"/>
    <s v="Atraso esterilización"/>
  </r>
  <r>
    <x v="740"/>
    <x v="3"/>
    <x v="9"/>
    <d v="1899-12-30T09:10:00"/>
    <d v="1899-12-30T09:40:00"/>
    <n v="0.25"/>
    <x v="0"/>
    <x v="1"/>
    <s v="Falla operativa"/>
    <s v="Desfrutado"/>
    <x v="2"/>
    <s v="Taponamiento"/>
  </r>
  <r>
    <x v="740"/>
    <x v="3"/>
    <x v="9"/>
    <d v="1899-12-30T14:35:00"/>
    <d v="1899-12-30T15:00:00"/>
    <n v="0.20833333333333334"/>
    <x v="0"/>
    <x v="3"/>
    <s v="Fluído eléctrico"/>
    <s v="Planta general"/>
    <x v="5"/>
    <s v="Falla fluido electrico"/>
  </r>
  <r>
    <x v="740"/>
    <x v="3"/>
    <x v="9"/>
    <d v="1899-12-30T15:22:00"/>
    <d v="1899-12-30T16:00:00"/>
    <n v="0.31666666666666665"/>
    <x v="0"/>
    <x v="1"/>
    <s v="Falla operativa"/>
    <s v="Desfrutado"/>
    <x v="2"/>
    <s v="Taponamiento"/>
  </r>
  <r>
    <x v="740"/>
    <x v="3"/>
    <x v="9"/>
    <d v="1899-12-30T06:27:00"/>
    <d v="1899-12-30T07:06:00"/>
    <n v="0.32500000000000001"/>
    <x v="0"/>
    <x v="1"/>
    <s v="Falla operativa"/>
    <s v="Esterilización "/>
    <x v="4"/>
    <s v="Atraso esterilización"/>
  </r>
  <r>
    <x v="740"/>
    <x v="3"/>
    <x v="9"/>
    <d v="1899-12-30T08:54:00"/>
    <d v="1899-12-30T09:00:00"/>
    <n v="0.05"/>
    <x v="0"/>
    <x v="1"/>
    <s v="Falla operativa"/>
    <s v="Desfrutado"/>
    <x v="2"/>
    <s v="Taponamiento"/>
  </r>
  <r>
    <x v="740"/>
    <x v="3"/>
    <x v="9"/>
    <d v="1899-12-30T14:35:00"/>
    <d v="1899-12-30T15:03:00"/>
    <n v="0.23333333333333334"/>
    <x v="0"/>
    <x v="3"/>
    <s v="Fluído eléctrico"/>
    <s v="Planta general"/>
    <x v="5"/>
    <s v="Falla fluido electrico"/>
  </r>
  <r>
    <x v="740"/>
    <x v="3"/>
    <x v="9"/>
    <d v="1899-12-30T15:23:00"/>
    <d v="1899-12-30T16:03:00"/>
    <n v="0.33333333333333331"/>
    <x v="0"/>
    <x v="1"/>
    <s v="Falla operativa"/>
    <s v="Desfrutado"/>
    <x v="2"/>
    <s v="Taponamiento"/>
  </r>
  <r>
    <x v="740"/>
    <x v="3"/>
    <x v="9"/>
    <d v="1899-12-30T18:15:00"/>
    <d v="1899-12-30T18:40:00"/>
    <n v="0.20833333333333334"/>
    <x v="0"/>
    <x v="1"/>
    <s v="Falla operativa"/>
    <s v="Esterilización "/>
    <x v="4"/>
    <s v="Atraso esterilización"/>
  </r>
  <r>
    <x v="740"/>
    <x v="3"/>
    <x v="9"/>
    <d v="1899-12-30T19:19:00"/>
    <d v="1899-12-30T19:36:00"/>
    <n v="0.14166666666666666"/>
    <x v="0"/>
    <x v="1"/>
    <s v="Falla operativa"/>
    <s v="Esterilización "/>
    <x v="4"/>
    <s v="Atraso esterilización"/>
  </r>
  <r>
    <x v="740"/>
    <x v="3"/>
    <x v="9"/>
    <d v="1899-12-30T23:20:00"/>
    <d v="1899-12-30T23:35:00"/>
    <n v="0.125"/>
    <x v="0"/>
    <x v="1"/>
    <s v="Falla operativa"/>
    <s v="Esterilización "/>
    <x v="4"/>
    <s v="Atraso esterilización"/>
  </r>
  <r>
    <x v="740"/>
    <x v="3"/>
    <x v="9"/>
    <d v="1899-12-30T01:40:00"/>
    <d v="1899-12-30T02:12:00"/>
    <n v="0.26666666666666666"/>
    <x v="0"/>
    <x v="1"/>
    <s v="Falla operativa"/>
    <s v="Esterilización "/>
    <x v="4"/>
    <s v="Atraso esterilización"/>
  </r>
  <r>
    <x v="741"/>
    <x v="3"/>
    <x v="9"/>
    <d v="1899-12-30T14:45:00"/>
    <d v="1899-12-30T16:30:00"/>
    <n v="1.75"/>
    <x v="0"/>
    <x v="0"/>
    <s v="Falla mecánica"/>
    <s v="Desfibración"/>
    <x v="97"/>
    <s v="rotura tacos acoples"/>
  </r>
  <r>
    <x v="741"/>
    <x v="3"/>
    <x v="9"/>
    <d v="1899-12-30T21:10:00"/>
    <d v="1899-12-30T22:22:00"/>
    <n v="1.2"/>
    <x v="0"/>
    <x v="1"/>
    <s v="Falla operativa"/>
    <s v="Clarificación"/>
    <x v="20"/>
    <s v="taponamieno"/>
  </r>
  <r>
    <x v="741"/>
    <x v="3"/>
    <x v="9"/>
    <d v="1899-12-30T06:50:00"/>
    <d v="1899-12-30T07:42:00"/>
    <n v="0.43333333333333335"/>
    <x v="0"/>
    <x v="1"/>
    <s v="Falla operativa"/>
    <s v="Esterilización "/>
    <x v="4"/>
    <s v="Atraso esterilización"/>
  </r>
  <r>
    <x v="741"/>
    <x v="3"/>
    <x v="9"/>
    <d v="1899-12-30T08:38:00"/>
    <d v="1899-12-30T09:18:00"/>
    <n v="0.33333333333333331"/>
    <x v="0"/>
    <x v="1"/>
    <s v="Falla operativa"/>
    <s v="Desfrutado"/>
    <x v="2"/>
    <s v="Taponamiento"/>
  </r>
  <r>
    <x v="741"/>
    <x v="3"/>
    <x v="9"/>
    <d v="1899-12-30T03:42:00"/>
    <d v="1899-12-30T04:20:00"/>
    <n v="0.31666666666666665"/>
    <x v="0"/>
    <x v="1"/>
    <s v="Falla operativa"/>
    <s v="Esterilización "/>
    <x v="4"/>
    <s v="Atraso esterilización"/>
  </r>
  <r>
    <x v="742"/>
    <x v="3"/>
    <x v="9"/>
    <d v="1899-12-30T10:00:00"/>
    <d v="1899-12-30T11:45:00"/>
    <n v="1.75"/>
    <x v="0"/>
    <x v="0"/>
    <s v="Falla mecánica"/>
    <s v="Desfibración"/>
    <x v="0"/>
    <s v="taponamiento"/>
  </r>
  <r>
    <x v="742"/>
    <x v="3"/>
    <x v="9"/>
    <d v="1899-12-30T13:50:00"/>
    <d v="1899-12-30T14:15:00"/>
    <n v="0.41666666666666669"/>
    <x v="0"/>
    <x v="1"/>
    <s v="Falla operativa"/>
    <s v="Desfrutado"/>
    <x v="2"/>
    <s v="Taponamiento ducto"/>
  </r>
  <r>
    <x v="742"/>
    <x v="3"/>
    <x v="9"/>
    <d v="1899-12-30T15:32:00"/>
    <d v="1899-12-30T16:12:00"/>
    <n v="0.33333333333333331"/>
    <x v="0"/>
    <x v="1"/>
    <s v="Falla operativa"/>
    <s v="Desfrutado"/>
    <x v="2"/>
    <s v="Taponamiento"/>
  </r>
  <r>
    <x v="742"/>
    <x v="3"/>
    <x v="9"/>
    <d v="1899-12-30T10:50:00"/>
    <d v="1899-12-30T11:34:00"/>
    <n v="0.36666666666666664"/>
    <x v="0"/>
    <x v="1"/>
    <s v="Falla operativa"/>
    <s v="Esterilización "/>
    <x v="4"/>
    <s v="Atraso esterilización"/>
  </r>
  <r>
    <x v="743"/>
    <x v="3"/>
    <x v="9"/>
    <d v="1899-12-30T04:00:00"/>
    <d v="1899-12-30T05:00:00"/>
    <n v="0.5"/>
    <x v="0"/>
    <x v="3"/>
    <s v="Fluído eléctrico"/>
    <s v="Planta general"/>
    <x v="5"/>
    <s v="Falla fluido electrico"/>
  </r>
  <r>
    <x v="743"/>
    <x v="3"/>
    <x v="9"/>
    <d v="1899-12-30T10:40:00"/>
    <d v="1899-12-30T11:00:00"/>
    <n v="0.16666666666666666"/>
    <x v="0"/>
    <x v="1"/>
    <s v="Falla operativa"/>
    <s v="Esterilización "/>
    <x v="4"/>
    <s v="Atraso esterilización"/>
  </r>
  <r>
    <x v="744"/>
    <x v="3"/>
    <x v="9"/>
    <d v="1899-12-30T10:54:00"/>
    <d v="1899-12-30T11:20:00"/>
    <n v="0.21666666666666667"/>
    <x v="0"/>
    <x v="1"/>
    <s v="Falla operativa"/>
    <s v="Esterilización "/>
    <x v="4"/>
    <s v="Atraso esterilización"/>
  </r>
  <r>
    <x v="744"/>
    <x v="3"/>
    <x v="9"/>
    <d v="1899-12-30T12:39:00"/>
    <d v="1899-12-30T13:52:00"/>
    <n v="0.60833333333333339"/>
    <x v="0"/>
    <x v="1"/>
    <s v="Falla operativa"/>
    <s v="Esterilización "/>
    <x v="4"/>
    <s v="Atraso esterilización"/>
  </r>
  <r>
    <x v="744"/>
    <x v="3"/>
    <x v="9"/>
    <d v="1899-12-30T23:05:00"/>
    <d v="1899-12-30T23:20:00"/>
    <n v="0.125"/>
    <x v="0"/>
    <x v="1"/>
    <s v="Falla operativa"/>
    <s v="Desfrutado"/>
    <x v="2"/>
    <s v="Taponamiento"/>
  </r>
  <r>
    <x v="745"/>
    <x v="3"/>
    <x v="9"/>
    <d v="1899-12-30T12:00:00"/>
    <d v="1899-12-30T12:30:00"/>
    <n v="0.5"/>
    <x v="0"/>
    <x v="1"/>
    <s v="Falla operativa"/>
    <s v="Clarificación"/>
    <x v="88"/>
    <s v="Taponamiento"/>
  </r>
  <r>
    <x v="745"/>
    <x v="3"/>
    <x v="9"/>
    <d v="1899-12-30T06:50:00"/>
    <d v="1899-12-30T07:50:00"/>
    <n v="0.5"/>
    <x v="0"/>
    <x v="1"/>
    <s v="Falla operativa"/>
    <s v="Esterilización "/>
    <x v="4"/>
    <s v="Atraso esterilización"/>
  </r>
  <r>
    <x v="745"/>
    <x v="3"/>
    <x v="9"/>
    <d v="1899-12-30T09:00:00"/>
    <d v="1899-12-30T10:20:00"/>
    <n v="0.66666666666666663"/>
    <x v="0"/>
    <x v="0"/>
    <s v="Falla mecánica"/>
    <s v="Esterilización "/>
    <x v="44"/>
    <s v="DESCARRILAMIENTO EN TAMBOR"/>
  </r>
  <r>
    <x v="745"/>
    <x v="3"/>
    <x v="9"/>
    <d v="1899-12-30T22:37:00"/>
    <d v="1899-12-30T23:45:00"/>
    <n v="0.56666666666666665"/>
    <x v="0"/>
    <x v="1"/>
    <s v="Falla operativa"/>
    <s v="Esterilización "/>
    <x v="4"/>
    <s v="Atraso esterilización"/>
  </r>
  <r>
    <x v="746"/>
    <x v="3"/>
    <x v="9"/>
    <d v="1899-12-30T11:17:00"/>
    <d v="1899-12-30T12:48:00"/>
    <n v="0.7583333333333333"/>
    <x v="0"/>
    <x v="1"/>
    <s v="Falla operativa"/>
    <s v="Clarificación"/>
    <x v="16"/>
    <s v="TAPONAMIENTO"/>
  </r>
  <r>
    <x v="746"/>
    <x v="3"/>
    <x v="9"/>
    <d v="1899-12-30T18:00:00"/>
    <d v="1899-12-30T23:59:00"/>
    <n v="5.9833333333333334"/>
    <x v="0"/>
    <x v="0"/>
    <s v="Falla mecánica"/>
    <s v="Esterilización "/>
    <x v="12"/>
    <s v="rotura reductor"/>
  </r>
  <r>
    <x v="746"/>
    <x v="3"/>
    <x v="9"/>
    <d v="1899-12-30T00:00:00"/>
    <d v="1899-12-30T06:00:00"/>
    <n v="6"/>
    <x v="0"/>
    <x v="0"/>
    <s v="Falla mecánica"/>
    <s v="Esterilización "/>
    <x v="12"/>
    <s v="rotura reductor"/>
  </r>
  <r>
    <x v="747"/>
    <x v="3"/>
    <x v="9"/>
    <d v="1899-12-30T06:00:00"/>
    <d v="1899-12-30T08:45:00"/>
    <n v="1.375"/>
    <x v="0"/>
    <x v="1"/>
    <s v="Falla operativa"/>
    <s v="Digestión y prensado"/>
    <x v="13"/>
    <s v="TAPONAMIENTO"/>
  </r>
  <r>
    <x v="748"/>
    <x v="3"/>
    <x v="9"/>
    <d v="1899-12-30T10:00:00"/>
    <d v="1899-12-30T20:30:00"/>
    <n v="5.25"/>
    <x v="0"/>
    <x v="0"/>
    <s v="Falla mecánica"/>
    <s v="Digestión y prensado"/>
    <x v="13"/>
    <s v="Cambio de tornillos"/>
  </r>
  <r>
    <x v="748"/>
    <x v="3"/>
    <x v="9"/>
    <d v="1899-12-30T08:15:00"/>
    <d v="1899-12-30T08:21:00"/>
    <n v="0.05"/>
    <x v="0"/>
    <x v="1"/>
    <s v="Falla operativa"/>
    <s v="Esterilización "/>
    <x v="4"/>
    <s v="Atraso esterilización"/>
  </r>
  <r>
    <x v="748"/>
    <x v="3"/>
    <x v="9"/>
    <d v="1899-12-30T12:57:00"/>
    <d v="1899-12-30T13:26:00"/>
    <n v="0.24166666666666667"/>
    <x v="0"/>
    <x v="1"/>
    <s v="Falla operativa"/>
    <s v="Esterilización "/>
    <x v="4"/>
    <s v="Atraso esterilización"/>
  </r>
  <r>
    <x v="748"/>
    <x v="3"/>
    <x v="9"/>
    <d v="1899-12-30T05:46:00"/>
    <d v="1899-12-30T06:00:00"/>
    <n v="0.11666666666666667"/>
    <x v="0"/>
    <x v="1"/>
    <s v="Falla operativa"/>
    <s v="Esterilización "/>
    <x v="4"/>
    <s v="Atraso esterilización"/>
  </r>
  <r>
    <x v="749"/>
    <x v="3"/>
    <x v="9"/>
    <d v="1899-12-30T06:00:00"/>
    <d v="1899-12-30T07:20:00"/>
    <n v="0.66666666666666663"/>
    <x v="0"/>
    <x v="1"/>
    <s v="Falla operativa"/>
    <s v="Esterilización "/>
    <x v="4"/>
    <s v="Atraso esterilización"/>
  </r>
  <r>
    <x v="749"/>
    <x v="3"/>
    <x v="9"/>
    <d v="1899-12-30T03:00:00"/>
    <d v="1899-12-30T03:30:00"/>
    <n v="0.25"/>
    <x v="0"/>
    <x v="1"/>
    <s v="Falla operativa"/>
    <s v="Esterilización "/>
    <x v="4"/>
    <s v="Atraso esterilización"/>
  </r>
  <r>
    <x v="749"/>
    <x v="3"/>
    <x v="9"/>
    <d v="1899-12-30T02:38:00"/>
    <d v="1899-12-30T03:05:00"/>
    <n v="0.22500000000000001"/>
    <x v="0"/>
    <x v="1"/>
    <s v="Falla operativa"/>
    <s v="Esterilización "/>
    <x v="4"/>
    <s v="Atraso esterilización"/>
  </r>
  <r>
    <x v="750"/>
    <x v="3"/>
    <x v="10"/>
    <d v="1899-12-30T11:00:00"/>
    <d v="1899-12-30T13:13:00"/>
    <n v="2.2166666666666668"/>
    <x v="0"/>
    <x v="0"/>
    <s v="Falla mecánica"/>
    <s v="Desfrutado"/>
    <x v="8"/>
    <s v="Descadenado piñon inferior, cadena partida"/>
  </r>
  <r>
    <x v="750"/>
    <x v="3"/>
    <x v="10"/>
    <d v="1899-12-30T03:10:00"/>
    <d v="1899-12-30T03:45:00"/>
    <n v="0.29166666666666669"/>
    <x v="0"/>
    <x v="1"/>
    <s v="Falla operativa"/>
    <s v="Esterilización "/>
    <x v="4"/>
    <s v="Atraso esterilización"/>
  </r>
  <r>
    <x v="750"/>
    <x v="3"/>
    <x v="10"/>
    <d v="1899-12-30T06:35:00"/>
    <d v="1899-12-30T07:00:00"/>
    <n v="0.20833333333333334"/>
    <x v="0"/>
    <x v="1"/>
    <s v="Falla operativa"/>
    <s v="Clarificación"/>
    <x v="65"/>
    <s v="Bajo nivel de agua"/>
  </r>
  <r>
    <x v="751"/>
    <x v="3"/>
    <x v="10"/>
    <d v="1899-12-30T16:00:00"/>
    <d v="1899-12-30T18:00:00"/>
    <n v="2"/>
    <x v="0"/>
    <x v="1"/>
    <s v="Falla operativa"/>
    <s v="Clarificación"/>
    <x v="45"/>
    <s v="Boquilas tapadas"/>
  </r>
  <r>
    <x v="751"/>
    <x v="3"/>
    <x v="10"/>
    <d v="1899-12-30T06:00:00"/>
    <d v="1899-12-30T07:35:00"/>
    <n v="0.79166666666666674"/>
    <x v="0"/>
    <x v="1"/>
    <s v="Falla operativa"/>
    <s v="Esterilización "/>
    <x v="4"/>
    <s v="Atraso esterilización"/>
  </r>
  <r>
    <x v="751"/>
    <x v="3"/>
    <x v="10"/>
    <d v="1899-12-30T15:15:00"/>
    <d v="1899-12-30T15:35:00"/>
    <n v="0.33333333333333331"/>
    <x v="0"/>
    <x v="1"/>
    <s v="Falla operativa"/>
    <s v="Desfrutado"/>
    <x v="2"/>
    <s v="Taponamiento"/>
  </r>
  <r>
    <x v="751"/>
    <x v="3"/>
    <x v="10"/>
    <d v="1899-12-30T05:40:00"/>
    <d v="1899-12-30T06:00:00"/>
    <n v="0.16666666666666666"/>
    <x v="0"/>
    <x v="0"/>
    <s v="Falla eléctrica"/>
    <s v="Planta generación energía electrica"/>
    <x v="51"/>
    <s v="Falla en generacion de energia"/>
  </r>
  <r>
    <x v="752"/>
    <x v="3"/>
    <x v="10"/>
    <d v="1899-12-30T13:20:00"/>
    <d v="1899-12-30T15:10:00"/>
    <n v="1.8333333333333335"/>
    <x v="0"/>
    <x v="1"/>
    <s v="Falla operativa"/>
    <s v="Desfrutado"/>
    <x v="2"/>
    <s v="Cambio patin "/>
  </r>
  <r>
    <x v="752"/>
    <x v="3"/>
    <x v="10"/>
    <d v="1899-12-30T01:40:00"/>
    <d v="1899-12-30T02:03:00"/>
    <n v="0.38333333333333336"/>
    <x v="0"/>
    <x v="1"/>
    <s v="Falla operativa"/>
    <s v="Clarificación"/>
    <x v="55"/>
    <s v="Cambio abrazadera"/>
  </r>
  <r>
    <x v="752"/>
    <x v="3"/>
    <x v="10"/>
    <d v="1899-12-30T18:11:00"/>
    <d v="1899-12-30T18:55:00"/>
    <n v="0.36666666666666664"/>
    <x v="0"/>
    <x v="1"/>
    <s v="Falla operativa"/>
    <s v="Esterilización "/>
    <x v="4"/>
    <s v="Atraso esterilización"/>
  </r>
  <r>
    <x v="752"/>
    <x v="3"/>
    <x v="10"/>
    <d v="1899-12-30T22:07:00"/>
    <d v="1899-12-30T22:45:00"/>
    <n v="0.31666666666666665"/>
    <x v="0"/>
    <x v="1"/>
    <s v="Falla operativa"/>
    <s v="Desfrutado"/>
    <x v="2"/>
    <s v="Taponamiento"/>
  </r>
  <r>
    <x v="753"/>
    <x v="3"/>
    <x v="10"/>
    <d v="1899-12-30T08:30:00"/>
    <d v="1899-12-30T17:00:00"/>
    <n v="8.5"/>
    <x v="1"/>
    <x v="2"/>
    <s v="Mantenimiento programado"/>
    <s v="Planta general"/>
    <x v="5"/>
    <s v="Mantenimiento general de planta "/>
  </r>
  <r>
    <x v="753"/>
    <x v="3"/>
    <x v="10"/>
    <d v="1899-12-30T21:00:00"/>
    <d v="1899-12-30T23:22:00"/>
    <n v="2.3666666666666667"/>
    <x v="0"/>
    <x v="0"/>
    <s v="Falla mecánica"/>
    <s v="Palmistería"/>
    <x v="21"/>
    <s v="Eje partido"/>
  </r>
  <r>
    <x v="753"/>
    <x v="3"/>
    <x v="10"/>
    <d v="1899-12-30T03:35:00"/>
    <d v="1899-12-30T04:10:00"/>
    <n v="0.29166666666666669"/>
    <x v="0"/>
    <x v="1"/>
    <s v="Falla operativa"/>
    <s v="Esterilización "/>
    <x v="4"/>
    <s v="Atraso esterilización"/>
  </r>
  <r>
    <x v="753"/>
    <x v="3"/>
    <x v="10"/>
    <d v="1899-12-30T05:36:00"/>
    <d v="1899-12-30T06:03:00"/>
    <n v="0.22500000000000001"/>
    <x v="0"/>
    <x v="1"/>
    <s v="Falla operativa"/>
    <s v="Esterilización "/>
    <x v="4"/>
    <s v="Atraso esterilización"/>
  </r>
  <r>
    <x v="754"/>
    <x v="3"/>
    <x v="10"/>
    <d v="1899-12-30T06:00:00"/>
    <d v="1899-12-30T16:50:00"/>
    <n v="10.833333333333334"/>
    <x v="1"/>
    <x v="2"/>
    <s v="Mantenimiento programado"/>
    <s v="Planta general"/>
    <x v="5"/>
    <s v="Mantenimiento general de planta "/>
  </r>
  <r>
    <x v="754"/>
    <x v="3"/>
    <x v="10"/>
    <d v="1899-12-30T01:30:00"/>
    <d v="1899-12-30T02:00:00"/>
    <n v="0.25"/>
    <x v="0"/>
    <x v="1"/>
    <s v="Falla operativa"/>
    <s v="Desfibración"/>
    <x v="9"/>
    <s v="Taponamiento"/>
  </r>
  <r>
    <x v="754"/>
    <x v="3"/>
    <x v="10"/>
    <d v="1899-12-30T03:43:00"/>
    <d v="1899-12-30T04:27:00"/>
    <n v="0.36666666666666664"/>
    <x v="0"/>
    <x v="0"/>
    <s v="Falla eléctrica"/>
    <s v="Planta generación energía electrica"/>
    <x v="51"/>
    <s v="Falla en generacion de energia"/>
  </r>
  <r>
    <x v="754"/>
    <x v="3"/>
    <x v="10"/>
    <d v="1899-12-30T17:45:00"/>
    <d v="1899-12-30T17:57:00"/>
    <n v="0.1"/>
    <x v="0"/>
    <x v="1"/>
    <s v="Falla operativa"/>
    <s v="Clarificación"/>
    <x v="49"/>
    <s v="Insuficiencia en capacidad"/>
  </r>
  <r>
    <x v="754"/>
    <x v="3"/>
    <x v="10"/>
    <d v="1899-12-30T22:35:00"/>
    <d v="1899-12-30T23:12:00"/>
    <n v="0.30833333333333335"/>
    <x v="0"/>
    <x v="0"/>
    <s v="Falla mecánica"/>
    <s v="Desfrutado"/>
    <x v="14"/>
    <s v="Descadenado"/>
  </r>
  <r>
    <x v="754"/>
    <x v="3"/>
    <x v="10"/>
    <d v="1899-12-30T00:34:00"/>
    <d v="1899-12-30T02:43:00"/>
    <n v="1.075"/>
    <x v="0"/>
    <x v="0"/>
    <s v="Falla mecánica"/>
    <s v="Desfrutado"/>
    <x v="18"/>
    <s v="Descadenado"/>
  </r>
  <r>
    <x v="754"/>
    <x v="3"/>
    <x v="10"/>
    <d v="1899-12-30T03:15:00"/>
    <d v="1899-12-30T04:30:00"/>
    <n v="0.625"/>
    <x v="0"/>
    <x v="0"/>
    <s v="Falla eléctrica"/>
    <s v="Planta generación energía electrica"/>
    <x v="51"/>
    <s v="Falla en generacion de energia"/>
  </r>
  <r>
    <x v="755"/>
    <x v="3"/>
    <x v="10"/>
    <d v="1899-12-30T11:50:00"/>
    <d v="1899-12-30T14:05:00"/>
    <n v="2.25"/>
    <x v="0"/>
    <x v="0"/>
    <s v="Falla eléctrica"/>
    <s v="Desfrutado"/>
    <x v="2"/>
    <s v="Revision Motor"/>
  </r>
  <r>
    <x v="755"/>
    <x v="3"/>
    <x v="10"/>
    <d v="1899-12-30T15:20:00"/>
    <d v="1899-12-30T16:23:00"/>
    <n v="1.05"/>
    <x v="0"/>
    <x v="1"/>
    <s v="Falla operativa"/>
    <s v="Clarificación"/>
    <x v="55"/>
    <s v="Giro tamiz"/>
  </r>
  <r>
    <x v="755"/>
    <x v="3"/>
    <x v="10"/>
    <d v="1899-12-30T03:40:00"/>
    <d v="1899-12-30T04:31:00"/>
    <n v="0.85"/>
    <x v="0"/>
    <x v="0"/>
    <s v="Falla eléctrica"/>
    <s v="Planta generación energía electrica"/>
    <x v="51"/>
    <s v="Falla en generacion de energia"/>
  </r>
  <r>
    <x v="755"/>
    <x v="3"/>
    <x v="10"/>
    <d v="1899-12-30T12:45:00"/>
    <d v="1899-12-30T13:18:00"/>
    <n v="0.27500000000000002"/>
    <x v="0"/>
    <x v="1"/>
    <s v="Falla operativa"/>
    <s v="Esterilización "/>
    <x v="4"/>
    <s v="Atraso esterilización"/>
  </r>
  <r>
    <x v="756"/>
    <x v="3"/>
    <x v="10"/>
    <d v="1899-12-30T14:48:00"/>
    <d v="1899-12-30T15:25:00"/>
    <n v="0.30833333333333335"/>
    <x v="0"/>
    <x v="1"/>
    <s v="Falla operativa"/>
    <s v="Esterilización "/>
    <x v="4"/>
    <s v="Atraso esterilización"/>
  </r>
  <r>
    <x v="756"/>
    <x v="3"/>
    <x v="10"/>
    <d v="1899-12-30T15:41:00"/>
    <d v="1899-12-30T15:59:00"/>
    <n v="0.15"/>
    <x v="0"/>
    <x v="0"/>
    <s v="Falla eléctrica"/>
    <s v="Planta generación energía electrica"/>
    <x v="51"/>
    <s v="Prueba Generacion planta"/>
  </r>
  <r>
    <x v="756"/>
    <x v="3"/>
    <x v="10"/>
    <d v="1899-12-30T13:47:00"/>
    <d v="1899-12-30T14:30:00"/>
    <n v="0.35833333333333334"/>
    <x v="0"/>
    <x v="3"/>
    <s v="Falta de fruta fresca"/>
    <s v="Planta general"/>
    <x v="5"/>
    <s v="falta de fruta fresca"/>
  </r>
  <r>
    <x v="756"/>
    <x v="3"/>
    <x v="10"/>
    <d v="1899-12-30T15:25:00"/>
    <d v="1899-12-30T15:59:00"/>
    <n v="0.28333333333333333"/>
    <x v="0"/>
    <x v="1"/>
    <s v="Falla operativa"/>
    <s v="Digestión y prensado"/>
    <x v="13"/>
    <s v="taponamiento"/>
  </r>
  <r>
    <x v="757"/>
    <x v="3"/>
    <x v="10"/>
    <d v="1899-12-30T14:40:00"/>
    <d v="1899-12-30T17:44:00"/>
    <n v="1.5333333333333334"/>
    <x v="1"/>
    <x v="2"/>
    <s v="Mantenimiento programado"/>
    <s v="Planta general"/>
    <x v="5"/>
    <s v="Atascamiento fruto redler 2 x pruebas"/>
  </r>
  <r>
    <x v="757"/>
    <x v="3"/>
    <x v="10"/>
    <d v="1899-12-30T08:10:00"/>
    <d v="1899-12-30T08:37:00"/>
    <n v="0.22500000000000001"/>
    <x v="0"/>
    <x v="1"/>
    <s v="Falla operativa"/>
    <s v="Esterilización "/>
    <x v="4"/>
    <s v="Atraso esterilización"/>
  </r>
  <r>
    <x v="757"/>
    <x v="3"/>
    <x v="10"/>
    <d v="1899-12-30T11:08:00"/>
    <d v="1899-12-30T11:40:00"/>
    <n v="0.26666666666666666"/>
    <x v="0"/>
    <x v="1"/>
    <s v="Falla operativa"/>
    <s v="Esterilización "/>
    <x v="4"/>
    <s v="Atraso esterilización"/>
  </r>
  <r>
    <x v="757"/>
    <x v="3"/>
    <x v="10"/>
    <d v="1899-12-30T14:41:00"/>
    <d v="1899-12-30T18:35:00"/>
    <n v="1.95"/>
    <x v="1"/>
    <x v="2"/>
    <s v="Mantenimiento programado"/>
    <s v="Planta general"/>
    <x v="5"/>
    <s v="Atraso esterilización"/>
  </r>
  <r>
    <x v="758"/>
    <x v="3"/>
    <x v="10"/>
    <d v="1899-12-30T08:00:00"/>
    <d v="1899-12-30T15:36:00"/>
    <n v="3.8"/>
    <x v="0"/>
    <x v="0"/>
    <s v="Falla mecánica"/>
    <s v="Planta generación de vapor"/>
    <x v="104"/>
    <s v="Cambio bomba / falla en bombeo"/>
  </r>
  <r>
    <x v="759"/>
    <x v="3"/>
    <x v="10"/>
    <d v="1899-12-30T06:00:00"/>
    <d v="1899-12-30T15:50:00"/>
    <n v="4.916666666666667"/>
    <x v="0"/>
    <x v="0"/>
    <s v="Falla mecánica"/>
    <s v="Esterilización "/>
    <x v="18"/>
    <s v="Descadenado"/>
  </r>
  <r>
    <x v="759"/>
    <x v="3"/>
    <x v="10"/>
    <d v="1899-12-30T06:00:00"/>
    <d v="1899-12-30T09:10:00"/>
    <n v="1.5833333333333333"/>
    <x v="0"/>
    <x v="0"/>
    <s v="Falla mecánica"/>
    <s v="Esterilización "/>
    <x v="18"/>
    <s v="Descadenado"/>
  </r>
  <r>
    <x v="759"/>
    <x v="3"/>
    <x v="10"/>
    <d v="1899-12-30T10:20:00"/>
    <d v="1899-12-30T12:10:00"/>
    <n v="0.91666666666666674"/>
    <x v="0"/>
    <x v="0"/>
    <s v="Falla mecánica"/>
    <s v="Esterilización "/>
    <x v="7"/>
    <s v="Descadenado"/>
  </r>
  <r>
    <x v="759"/>
    <x v="3"/>
    <x v="10"/>
    <d v="1899-12-30T14:34:00"/>
    <d v="1899-12-30T15:52:00"/>
    <n v="0.65"/>
    <x v="0"/>
    <x v="0"/>
    <s v="Falla mecánica"/>
    <s v="Clarificación"/>
    <x v="55"/>
    <s v="Abrazadera floja"/>
  </r>
  <r>
    <x v="759"/>
    <x v="3"/>
    <x v="10"/>
    <d v="1899-12-30T16:55:00"/>
    <d v="1899-12-30T18:21:00"/>
    <n v="0.71666666666666667"/>
    <x v="0"/>
    <x v="0"/>
    <s v="Falla mecánica"/>
    <s v="Esterilización "/>
    <x v="44"/>
    <s v="Descarrilada"/>
  </r>
  <r>
    <x v="759"/>
    <x v="3"/>
    <x v="10"/>
    <d v="1899-12-30T18:47:00"/>
    <d v="1899-12-30T23:23:00"/>
    <n v="2.2999999999999998"/>
    <x v="0"/>
    <x v="1"/>
    <s v="Falla operativa"/>
    <s v="Esterilización "/>
    <x v="4"/>
    <s v="Atraso esterilización"/>
  </r>
  <r>
    <x v="760"/>
    <x v="3"/>
    <x v="10"/>
    <d v="1899-12-30T08:10:00"/>
    <d v="1899-12-30T11:25:00"/>
    <n v="1.625"/>
    <x v="0"/>
    <x v="1"/>
    <s v="Falla operativa"/>
    <s v="Esterilización "/>
    <x v="4"/>
    <s v="Atraso esterilización"/>
  </r>
  <r>
    <x v="760"/>
    <x v="3"/>
    <x v="10"/>
    <d v="1899-12-30T15:30:00"/>
    <d v="1899-12-30T15:52:00"/>
    <n v="0.18333333333333332"/>
    <x v="0"/>
    <x v="0"/>
    <s v="Falla mecánica"/>
    <s v="Desfrutado"/>
    <x v="50"/>
    <s v="Se le puso parche"/>
  </r>
  <r>
    <x v="760"/>
    <x v="3"/>
    <x v="10"/>
    <d v="1899-12-30T17:15:00"/>
    <d v="1899-12-30T17:45:00"/>
    <n v="0.25"/>
    <x v="0"/>
    <x v="0"/>
    <s v="Falla mecánica"/>
    <s v="Digestión y prensado"/>
    <x v="13"/>
    <s v="Partio vidrio"/>
  </r>
  <r>
    <x v="760"/>
    <x v="3"/>
    <x v="10"/>
    <d v="1899-12-30T20:06:00"/>
    <d v="1899-12-30T21:31:00"/>
    <n v="0.70833333333333337"/>
    <x v="0"/>
    <x v="0"/>
    <s v="Falla mecánica"/>
    <s v="Desfrutado"/>
    <x v="50"/>
    <s v="Se le puso parche"/>
  </r>
  <r>
    <x v="760"/>
    <x v="3"/>
    <x v="10"/>
    <d v="1899-12-30T06:15:00"/>
    <d v="1899-12-30T06:45:00"/>
    <n v="0.25"/>
    <x v="0"/>
    <x v="1"/>
    <s v="Falla operativa"/>
    <s v="Esterilización "/>
    <x v="4"/>
    <s v="Atraso esterilización"/>
  </r>
  <r>
    <x v="760"/>
    <x v="3"/>
    <x v="10"/>
    <d v="1899-12-30T08:13:00"/>
    <d v="1899-12-30T09:47:00"/>
    <n v="0.78333333333333333"/>
    <x v="1"/>
    <x v="2"/>
    <s v="Mantenimiento programado"/>
    <s v="Planta general"/>
    <x v="5"/>
    <s v="Limpieza"/>
  </r>
  <r>
    <x v="760"/>
    <x v="3"/>
    <x v="10"/>
    <d v="1899-12-30T02:50:00"/>
    <d v="1899-12-30T03:25:00"/>
    <n v="0.29166666666666669"/>
    <x v="0"/>
    <x v="1"/>
    <s v="Falla operativa"/>
    <s v="Esterilización "/>
    <x v="4"/>
    <s v="Atraso esterilización"/>
  </r>
  <r>
    <x v="761"/>
    <x v="3"/>
    <x v="10"/>
    <d v="1899-12-30T14:00:00"/>
    <d v="1899-12-30T16:15:00"/>
    <n v="1.125"/>
    <x v="1"/>
    <x v="2"/>
    <s v="Mantenimiento programado"/>
    <s v="Planta general"/>
    <x v="5"/>
    <s v="Mantenimiento"/>
  </r>
  <r>
    <x v="761"/>
    <x v="3"/>
    <x v="10"/>
    <d v="1899-12-30T14:00:00"/>
    <d v="1899-12-30T16:15:00"/>
    <n v="1.125"/>
    <x v="1"/>
    <x v="2"/>
    <s v="Mantenimiento programado"/>
    <s v="Planta general"/>
    <x v="5"/>
    <s v="Mantenimiento"/>
  </r>
  <r>
    <x v="762"/>
    <x v="3"/>
    <x v="10"/>
    <d v="1899-12-30T14:15:00"/>
    <d v="1899-12-30T14:56:00"/>
    <n v="0.34166666666666667"/>
    <x v="0"/>
    <x v="0"/>
    <s v="Falla mecánica"/>
    <s v="Esterilización "/>
    <x v="18"/>
    <s v="Descadenado"/>
  </r>
  <r>
    <x v="762"/>
    <x v="3"/>
    <x v="10"/>
    <d v="1899-12-30T17:54:00"/>
    <d v="1899-12-30T19:20:00"/>
    <n v="0.71666666666666667"/>
    <x v="0"/>
    <x v="0"/>
    <s v="Falla mecánica"/>
    <s v="Esterilización "/>
    <x v="18"/>
    <s v="Descadenado"/>
  </r>
  <r>
    <x v="762"/>
    <x v="3"/>
    <x v="10"/>
    <d v="1899-12-30T20:40:00"/>
    <d v="1899-12-30T22:20:00"/>
    <n v="0.83333333333333326"/>
    <x v="0"/>
    <x v="0"/>
    <s v="Falla mecánica"/>
    <s v="Esterilización "/>
    <x v="18"/>
    <s v="Descadenado"/>
  </r>
  <r>
    <x v="763"/>
    <x v="3"/>
    <x v="10"/>
    <d v="1899-12-30T17:40:00"/>
    <d v="1899-12-30T18:26:00"/>
    <n v="0.38333333333333336"/>
    <x v="0"/>
    <x v="0"/>
    <s v="Falla mecánica"/>
    <s v="Esterilización "/>
    <x v="7"/>
    <s v="Descadenado"/>
  </r>
  <r>
    <x v="763"/>
    <x v="3"/>
    <x v="10"/>
    <d v="1899-12-30T08:36:00"/>
    <d v="1899-12-30T10:06:00"/>
    <n v="0.75"/>
    <x v="0"/>
    <x v="1"/>
    <s v="Falla operativa"/>
    <s v="Esterilización "/>
    <x v="4"/>
    <s v="Atraso esterilización"/>
  </r>
  <r>
    <x v="763"/>
    <x v="3"/>
    <x v="10"/>
    <d v="1899-12-30T11:26:00"/>
    <d v="1899-12-30T11:54:00"/>
    <n v="0.23333333333333334"/>
    <x v="0"/>
    <x v="1"/>
    <s v="Falla operativa"/>
    <s v="Esterilización "/>
    <x v="4"/>
    <s v="Atraso esterilización"/>
  </r>
  <r>
    <x v="763"/>
    <x v="3"/>
    <x v="10"/>
    <d v="1899-12-30T14:00:00"/>
    <d v="1899-12-30T18:25:00"/>
    <n v="2.2083333333333335"/>
    <x v="0"/>
    <x v="0"/>
    <s v="Falla mecánica"/>
    <s v="Esterilización "/>
    <x v="7"/>
    <s v="Descadenado"/>
  </r>
  <r>
    <x v="764"/>
    <x v="3"/>
    <x v="10"/>
    <d v="1899-12-30T13:55:00"/>
    <d v="1899-12-30T16:58:00"/>
    <n v="1.5249999999999999"/>
    <x v="0"/>
    <x v="1"/>
    <s v="Falla operativa"/>
    <s v="Esterilización "/>
    <x v="4"/>
    <s v="Atraso esterilización"/>
  </r>
  <r>
    <x v="764"/>
    <x v="3"/>
    <x v="10"/>
    <d v="1899-12-30T11:00:00"/>
    <d v="1899-12-30T14:27:00"/>
    <n v="1.7250000000000001"/>
    <x v="0"/>
    <x v="1"/>
    <s v="Falla operativa"/>
    <s v="Esterilización "/>
    <x v="4"/>
    <s v="Atraso esterilización"/>
  </r>
  <r>
    <x v="764"/>
    <x v="3"/>
    <x v="10"/>
    <d v="1899-12-30T16:15:00"/>
    <d v="1899-12-30T16:55:00"/>
    <n v="0.33333333333333331"/>
    <x v="0"/>
    <x v="1"/>
    <s v="Falla operativa"/>
    <s v="Esterilización "/>
    <x v="4"/>
    <s v="Atraso esterilización"/>
  </r>
  <r>
    <x v="764"/>
    <x v="3"/>
    <x v="10"/>
    <d v="1899-12-30T18:00:00"/>
    <d v="1899-12-30T18:40:00"/>
    <n v="0.33333333333333331"/>
    <x v="0"/>
    <x v="0"/>
    <s v="Falla mecánica"/>
    <s v="Esterilización "/>
    <x v="18"/>
    <s v="Descadenado"/>
  </r>
  <r>
    <x v="764"/>
    <x v="3"/>
    <x v="10"/>
    <d v="1899-12-30T20:16:00"/>
    <d v="1899-12-30T21:10:00"/>
    <n v="0.45"/>
    <x v="0"/>
    <x v="1"/>
    <s v="Falla operativa"/>
    <s v="Esterilización "/>
    <x v="4"/>
    <s v="Atraso esterilización"/>
  </r>
  <r>
    <x v="764"/>
    <x v="3"/>
    <x v="10"/>
    <d v="1899-12-30T02:10:00"/>
    <d v="1899-12-30T03:15:00"/>
    <n v="0.54166666666666663"/>
    <x v="0"/>
    <x v="1"/>
    <s v="Falla operativa"/>
    <s v="Esterilización "/>
    <x v="4"/>
    <s v="Atraso esterilización"/>
  </r>
  <r>
    <x v="764"/>
    <x v="3"/>
    <x v="10"/>
    <d v="1899-12-30T04:33:00"/>
    <d v="1899-12-30T05:18:00"/>
    <n v="0.375"/>
    <x v="0"/>
    <x v="1"/>
    <s v="Falla operativa"/>
    <s v="Esterilización "/>
    <x v="4"/>
    <s v="Atraso esterilización"/>
  </r>
  <r>
    <x v="765"/>
    <x v="3"/>
    <x v="10"/>
    <d v="1899-12-30T14:33:00"/>
    <d v="1899-12-30T15:23:00"/>
    <n v="0.41666666666666669"/>
    <x v="0"/>
    <x v="0"/>
    <s v="Falla mecánica"/>
    <s v="Digestión y prensado"/>
    <x v="0"/>
    <s v="Se tapo"/>
  </r>
  <r>
    <x v="765"/>
    <x v="3"/>
    <x v="10"/>
    <d v="1899-12-30T17:40:00"/>
    <d v="1899-12-30T17:58:00"/>
    <n v="0.15"/>
    <x v="0"/>
    <x v="0"/>
    <s v="Falla mecánica"/>
    <s v="Desfrutado"/>
    <x v="50"/>
    <s v="Reparacion "/>
  </r>
  <r>
    <x v="765"/>
    <x v="3"/>
    <x v="10"/>
    <d v="1899-12-30T18:00:00"/>
    <d v="1899-12-30T18:35:00"/>
    <n v="0.29166666666666669"/>
    <x v="0"/>
    <x v="0"/>
    <s v="Falla mecánica"/>
    <s v="Desfrutado"/>
    <x v="50"/>
    <s v="Mantenimiento"/>
  </r>
  <r>
    <x v="765"/>
    <x v="3"/>
    <x v="10"/>
    <d v="1899-12-30T12:55:00"/>
    <d v="1899-12-30T13:34:00"/>
    <n v="0.32500000000000001"/>
    <x v="0"/>
    <x v="1"/>
    <s v="Falla operativa"/>
    <s v="Esterilización "/>
    <x v="4"/>
    <s v="Atraso esterilización"/>
  </r>
  <r>
    <x v="765"/>
    <x v="3"/>
    <x v="10"/>
    <d v="1899-12-30T14:33:00"/>
    <d v="1899-12-30T15:23:00"/>
    <n v="0.41666666666666669"/>
    <x v="0"/>
    <x v="0"/>
    <s v="Falla mecánica"/>
    <s v="Desfrutado"/>
    <x v="50"/>
    <s v="Mantenimiento"/>
  </r>
  <r>
    <x v="765"/>
    <x v="3"/>
    <x v="10"/>
    <d v="1899-12-30T17:23:00"/>
    <d v="1899-12-30T17:54:00"/>
    <n v="0.25833333333333336"/>
    <x v="0"/>
    <x v="1"/>
    <s v="Falla operativa"/>
    <s v="Esterilización "/>
    <x v="4"/>
    <s v="Atraso esterilización"/>
  </r>
  <r>
    <x v="765"/>
    <x v="3"/>
    <x v="10"/>
    <d v="1899-12-30T18:00:00"/>
    <d v="1899-12-30T19:00:00"/>
    <n v="0.5"/>
    <x v="0"/>
    <x v="0"/>
    <s v="Falla mecánica"/>
    <s v="Desfrutado"/>
    <x v="50"/>
    <s v="Se corrio rodillo"/>
  </r>
  <r>
    <x v="765"/>
    <x v="3"/>
    <x v="10"/>
    <d v="1899-12-30T19:45:00"/>
    <d v="1899-12-30T20:30:00"/>
    <n v="0.375"/>
    <x v="0"/>
    <x v="0"/>
    <s v="Falla mecánica"/>
    <s v="Desfrutado"/>
    <x v="50"/>
    <s v="En mal estado"/>
  </r>
  <r>
    <x v="765"/>
    <x v="3"/>
    <x v="10"/>
    <d v="1899-12-30T22:35:00"/>
    <d v="1899-12-30T23:30:00"/>
    <n v="0.45833333333333331"/>
    <x v="0"/>
    <x v="0"/>
    <s v="Falla mecánica"/>
    <s v="Desfrutado"/>
    <x v="50"/>
    <s v="Se corrio rodillo"/>
  </r>
  <r>
    <x v="765"/>
    <x v="3"/>
    <x v="10"/>
    <d v="1899-12-30T03:30:00"/>
    <d v="1899-12-30T04:10:00"/>
    <n v="0.33333333333333331"/>
    <x v="0"/>
    <x v="0"/>
    <s v="Falla mecánica"/>
    <s v="Desfrutado"/>
    <x v="19"/>
    <s v="Se tapo"/>
  </r>
  <r>
    <x v="766"/>
    <x v="3"/>
    <x v="10"/>
    <d v="1899-12-30T10:23:00"/>
    <d v="1899-12-30T11:50:00"/>
    <n v="0.72499999999999998"/>
    <x v="0"/>
    <x v="0"/>
    <s v="Falla mecánica"/>
    <s v="Desfrutado"/>
    <x v="19"/>
    <s v="Se tapo"/>
  </r>
  <r>
    <x v="766"/>
    <x v="3"/>
    <x v="10"/>
    <d v="1899-12-30T18:35:00"/>
    <d v="1899-12-30T18:58:00"/>
    <n v="0.19166666666666668"/>
    <x v="0"/>
    <x v="0"/>
    <s v="Falla mecánica"/>
    <s v="Desfrutado"/>
    <x v="50"/>
    <s v="Se tapo"/>
  </r>
  <r>
    <x v="766"/>
    <x v="3"/>
    <x v="10"/>
    <d v="1899-12-30T05:20:00"/>
    <d v="1899-12-30T05:57:00"/>
    <n v="0.30833333333333335"/>
    <x v="0"/>
    <x v="0"/>
    <s v="Falla mecánica"/>
    <s v="Desfibración"/>
    <x v="0"/>
    <s v="Se tapo"/>
  </r>
  <r>
    <x v="766"/>
    <x v="3"/>
    <x v="10"/>
    <d v="1899-12-30T08:45:00"/>
    <d v="1899-12-30T09:54:00"/>
    <n v="0.57499999999999996"/>
    <x v="0"/>
    <x v="0"/>
    <s v="Falla mecánica"/>
    <s v="Esterilización "/>
    <x v="18"/>
    <s v="Descadenado"/>
  </r>
  <r>
    <x v="766"/>
    <x v="3"/>
    <x v="10"/>
    <d v="1899-12-30T10:20:00"/>
    <d v="1899-12-30T11:13:00"/>
    <n v="0.44166666666666665"/>
    <x v="0"/>
    <x v="0"/>
    <s v="Falla mecánica"/>
    <s v="Desfrutado"/>
    <x v="2"/>
    <s v="Anillos tapados"/>
  </r>
  <r>
    <x v="766"/>
    <x v="3"/>
    <x v="10"/>
    <d v="1899-12-30T14:00:00"/>
    <d v="1899-12-30T14:50:00"/>
    <n v="0.41666666666666669"/>
    <x v="0"/>
    <x v="1"/>
    <s v="Falla operativa"/>
    <s v="Esterilización "/>
    <x v="4"/>
    <s v="Atraso esterilización"/>
  </r>
  <r>
    <x v="766"/>
    <x v="3"/>
    <x v="10"/>
    <d v="1899-12-30T17:20:00"/>
    <d v="1899-12-30T17:55:00"/>
    <n v="0.29166666666666669"/>
    <x v="0"/>
    <x v="0"/>
    <s v="Falla mecánica"/>
    <s v="Desfibración"/>
    <x v="0"/>
    <s v="Se tapo"/>
  </r>
  <r>
    <x v="767"/>
    <x v="3"/>
    <x v="10"/>
    <d v="1899-12-30T02:00:00"/>
    <d v="1899-12-30T02:35:00"/>
    <n v="0.29166666666666669"/>
    <x v="0"/>
    <x v="1"/>
    <s v="Falla operativa"/>
    <s v="Esterilización "/>
    <x v="4"/>
    <s v="Atraso esterilización"/>
  </r>
  <r>
    <x v="767"/>
    <x v="3"/>
    <x v="10"/>
    <d v="1899-12-30T03:56:00"/>
    <d v="1899-12-30T04:25:00"/>
    <n v="0.24166666666666667"/>
    <x v="0"/>
    <x v="1"/>
    <s v="Falla operativa"/>
    <s v="Esterilización "/>
    <x v="4"/>
    <s v="Atraso esterilización"/>
  </r>
  <r>
    <x v="768"/>
    <x v="3"/>
    <x v="10"/>
    <d v="1899-12-30T06:00:00"/>
    <d v="1899-12-30T07:00:00"/>
    <n v="0.5"/>
    <x v="0"/>
    <x v="0"/>
    <s v="Falla mecánica"/>
    <s v="Desfrutado"/>
    <x v="2"/>
    <s v="Anillos tapados"/>
  </r>
  <r>
    <x v="768"/>
    <x v="3"/>
    <x v="10"/>
    <d v="1899-12-30T07:46:00"/>
    <d v="1899-12-30T08:49:00"/>
    <n v="0.52500000000000002"/>
    <x v="0"/>
    <x v="0"/>
    <s v="Falla mecánica"/>
    <s v="Digestión y prensado"/>
    <x v="57"/>
    <s v="Cambio de empaque en la tuberia de vapor por fuga"/>
  </r>
  <r>
    <x v="768"/>
    <x v="3"/>
    <x v="10"/>
    <d v="1899-12-30T12:00:00"/>
    <d v="1899-12-30T13:00:00"/>
    <n v="0.5"/>
    <x v="0"/>
    <x v="0"/>
    <s v="Falla mecánica"/>
    <s v="Desfibración"/>
    <x v="46"/>
    <s v="Se tapo y corte de cadena"/>
  </r>
  <r>
    <x v="768"/>
    <x v="3"/>
    <x v="10"/>
    <d v="1899-12-30T21:10:00"/>
    <d v="1899-12-30T21:40:00"/>
    <n v="0.25"/>
    <x v="0"/>
    <x v="1"/>
    <s v="Falla operativa"/>
    <s v="Esterilización "/>
    <x v="4"/>
    <s v="Atraso esterilización"/>
  </r>
  <r>
    <x v="768"/>
    <x v="3"/>
    <x v="10"/>
    <d v="1899-12-30T02:40:00"/>
    <d v="1899-12-30T04:50:00"/>
    <n v="1.0833333333333333"/>
    <x v="0"/>
    <x v="1"/>
    <s v="Falla operativa"/>
    <s v="Esterilización "/>
    <x v="4"/>
    <s v="Atraso esterilización"/>
  </r>
  <r>
    <x v="769"/>
    <x v="3"/>
    <x v="10"/>
    <d v="1899-12-30T06:53:00"/>
    <d v="1899-12-30T14:20:00"/>
    <n v="3.7250000000000001"/>
    <x v="0"/>
    <x v="0"/>
    <s v="Falla mecánica"/>
    <s v="Esterilización "/>
    <x v="18"/>
    <s v="Descadenado"/>
  </r>
  <r>
    <x v="769"/>
    <x v="3"/>
    <x v="10"/>
    <d v="1899-12-30T07:56:00"/>
    <d v="1899-12-30T13:27:00"/>
    <n v="2.7583333333333333"/>
    <x v="0"/>
    <x v="0"/>
    <s v="Falla mecánica"/>
    <s v="Desfrutado"/>
    <x v="8"/>
    <s v="Se endereso una oreja"/>
  </r>
  <r>
    <x v="769"/>
    <x v="3"/>
    <x v="10"/>
    <d v="1899-12-30T15:12:00"/>
    <d v="1899-12-30T18:38:00"/>
    <n v="1.7166666666666668"/>
    <x v="0"/>
    <x v="0"/>
    <s v="Falla mecánica"/>
    <s v="Esterilización "/>
    <x v="4"/>
    <s v="Atraso esterilización"/>
  </r>
  <r>
    <x v="769"/>
    <x v="3"/>
    <x v="10"/>
    <d v="1899-12-30T16:35:00"/>
    <d v="1899-12-30T18:38:00"/>
    <n v="1.0249999999999999"/>
    <x v="0"/>
    <x v="0"/>
    <s v="Falla mecánica"/>
    <s v="Desfrutado"/>
    <x v="8"/>
    <s v="Descadendo"/>
  </r>
  <r>
    <x v="769"/>
    <x v="3"/>
    <x v="10"/>
    <d v="1899-12-30T01:20:00"/>
    <d v="1899-12-30T01:42:00"/>
    <n v="0.18333333333333332"/>
    <x v="0"/>
    <x v="0"/>
    <s v="Falla mecánica"/>
    <s v="Clarificación"/>
    <x v="88"/>
    <s v="Taponamiento "/>
  </r>
  <r>
    <x v="770"/>
    <x v="3"/>
    <x v="10"/>
    <d v="1899-12-30T06:00:00"/>
    <d v="1899-12-30T08:55:00"/>
    <n v="1.4583333333333333"/>
    <x v="0"/>
    <x v="0"/>
    <s v="Falla mecánica"/>
    <s v="Planta generación de vapor"/>
    <x v="22"/>
    <s v="Limpieza"/>
  </r>
  <r>
    <x v="770"/>
    <x v="3"/>
    <x v="10"/>
    <d v="1899-12-30T11:30:00"/>
    <d v="1899-12-30T12:00:00"/>
    <n v="0.25"/>
    <x v="0"/>
    <x v="1"/>
    <s v="Falla operativa"/>
    <s v="Esterilización "/>
    <x v="4"/>
    <s v="Atraso esterilización"/>
  </r>
  <r>
    <x v="770"/>
    <x v="3"/>
    <x v="10"/>
    <d v="1899-12-30T14:02:00"/>
    <d v="1899-12-30T15:15:00"/>
    <n v="0.60833333333333339"/>
    <x v="0"/>
    <x v="0"/>
    <s v="Falla mecánica"/>
    <s v="Desfrutado"/>
    <x v="2"/>
    <s v="Anillos tapados"/>
  </r>
  <r>
    <x v="770"/>
    <x v="3"/>
    <x v="10"/>
    <d v="1899-12-30T00:05:00"/>
    <d v="1899-12-30T00:15:00"/>
    <n v="8.3333333333333329E-2"/>
    <x v="0"/>
    <x v="0"/>
    <s v="Falla mecánica"/>
    <s v="Clarificación"/>
    <x v="55"/>
    <s v="Corrido"/>
  </r>
  <r>
    <x v="771"/>
    <x v="3"/>
    <x v="10"/>
    <d v="1899-12-30T06:12:00"/>
    <d v="1899-12-30T13:00:00"/>
    <n v="3.4"/>
    <x v="0"/>
    <x v="0"/>
    <s v="Falla mecánica"/>
    <s v="Esterilización "/>
    <x v="7"/>
    <s v="Descadenado"/>
  </r>
  <r>
    <x v="771"/>
    <x v="3"/>
    <x v="10"/>
    <d v="1899-12-30T14:53:00"/>
    <d v="1899-12-30T15:58:00"/>
    <n v="0.54166666666666663"/>
    <x v="0"/>
    <x v="0"/>
    <s v="Falla mecánica"/>
    <s v="Esterilización "/>
    <x v="18"/>
    <s v="Descadenado"/>
  </r>
  <r>
    <x v="771"/>
    <x v="3"/>
    <x v="10"/>
    <d v="1899-12-30T18:33:00"/>
    <d v="1899-12-30T19:48:00"/>
    <n v="0.625"/>
    <x v="0"/>
    <x v="1"/>
    <s v="Falla operativa"/>
    <s v="Esterilización "/>
    <x v="4"/>
    <s v="Atraso esterilización"/>
  </r>
  <r>
    <x v="772"/>
    <x v="3"/>
    <x v="10"/>
    <d v="1899-12-30T06:00:00"/>
    <d v="1899-12-30T16:15:00"/>
    <n v="5.125"/>
    <x v="0"/>
    <x v="0"/>
    <s v="Falla mecánica"/>
    <s v="Desfrutado"/>
    <x v="8"/>
    <s v="Partio cadena"/>
  </r>
  <r>
    <x v="772"/>
    <x v="3"/>
    <x v="10"/>
    <d v="1899-12-30T23:17:00"/>
    <d v="1899-12-30T23:55:00"/>
    <n v="0.31666666666666665"/>
    <x v="0"/>
    <x v="1"/>
    <s v="Falla operativa"/>
    <s v="Esterilización "/>
    <x v="4"/>
    <s v="Atraso esterilización"/>
  </r>
  <r>
    <x v="772"/>
    <x v="3"/>
    <x v="10"/>
    <d v="1899-12-30T03:50:00"/>
    <d v="1899-12-30T04:10:00"/>
    <n v="0.16666666666666666"/>
    <x v="0"/>
    <x v="0"/>
    <s v="Falla mecánica"/>
    <s v="Clarificación"/>
    <x v="55"/>
    <s v="Se corrio abrazadera"/>
  </r>
  <r>
    <x v="773"/>
    <x v="3"/>
    <x v="10"/>
    <d v="1899-12-30T12:35:00"/>
    <d v="1899-12-30T12:52:00"/>
    <n v="0.14166666666666666"/>
    <x v="0"/>
    <x v="0"/>
    <s v="Falla mecánica"/>
    <s v="Palmistería"/>
    <x v="72"/>
    <s v="Se quemo motor"/>
  </r>
  <r>
    <x v="774"/>
    <x v="3"/>
    <x v="10"/>
    <d v="1899-12-30T13:50:00"/>
    <d v="1899-12-30T14:15:00"/>
    <n v="0.20833333333333334"/>
    <x v="0"/>
    <x v="0"/>
    <s v="Falla mecánica"/>
    <s v="Desfrutado"/>
    <x v="8"/>
    <s v="Revision "/>
  </r>
  <r>
    <x v="774"/>
    <x v="3"/>
    <x v="10"/>
    <d v="1899-12-30T14:50:00"/>
    <d v="1899-12-30T15:15:00"/>
    <n v="0.20833333333333334"/>
    <x v="0"/>
    <x v="0"/>
    <s v="Falla mecánica"/>
    <s v="Desfrutado"/>
    <x v="8"/>
    <s v="Revision "/>
  </r>
  <r>
    <x v="774"/>
    <x v="3"/>
    <x v="10"/>
    <d v="1899-12-30T15:37:00"/>
    <d v="1899-12-30T16:32:00"/>
    <n v="0.45833333333333331"/>
    <x v="0"/>
    <x v="0"/>
    <s v="Falla mecánica"/>
    <s v="Desfibración"/>
    <x v="9"/>
    <s v="Desacoplado"/>
  </r>
  <r>
    <x v="774"/>
    <x v="3"/>
    <x v="10"/>
    <d v="1899-12-30T18:53:00"/>
    <d v="1899-12-30T19:33:00"/>
    <n v="0.33333333333333331"/>
    <x v="0"/>
    <x v="0"/>
    <s v="Falla mecánica"/>
    <s v="Esterilización "/>
    <x v="18"/>
    <s v="Descadenado"/>
  </r>
  <r>
    <x v="774"/>
    <x v="3"/>
    <x v="10"/>
    <d v="1899-12-30T20:52:00"/>
    <d v="1899-12-30T23:34:00"/>
    <n v="1.35"/>
    <x v="0"/>
    <x v="0"/>
    <s v="Falla mecánica"/>
    <s v="Esterilización "/>
    <x v="96"/>
    <s v="Quemado"/>
  </r>
  <r>
    <x v="774"/>
    <x v="3"/>
    <x v="10"/>
    <d v="1899-12-30T21:11:00"/>
    <d v="1899-12-30T21:34:00"/>
    <n v="0.19166666666666668"/>
    <x v="0"/>
    <x v="1"/>
    <s v="Falla operativa"/>
    <s v="Planta general"/>
    <x v="4"/>
    <s v="Atraso esterilización"/>
  </r>
  <r>
    <x v="774"/>
    <x v="3"/>
    <x v="10"/>
    <d v="1899-12-30T00:40:00"/>
    <d v="1899-12-30T01:50:00"/>
    <n v="0.58333333333333337"/>
    <x v="0"/>
    <x v="1"/>
    <s v="Falla operativa"/>
    <s v="Planta general"/>
    <x v="4"/>
    <s v="Atraso esterilización"/>
  </r>
  <r>
    <x v="774"/>
    <x v="3"/>
    <x v="10"/>
    <d v="1899-12-30T02:40:00"/>
    <d v="1899-12-30T03:20:00"/>
    <n v="0.33333333333333331"/>
    <x v="0"/>
    <x v="1"/>
    <s v="Falla operativa"/>
    <s v="Planta general"/>
    <x v="4"/>
    <s v="Atraso esterilización"/>
  </r>
  <r>
    <x v="775"/>
    <x v="3"/>
    <x v="10"/>
    <d v="1899-12-30T17:09:00"/>
    <d v="1899-12-30T17:22:00"/>
    <n v="0.10833333333333334"/>
    <x v="0"/>
    <x v="0"/>
    <s v="Falla mecánica"/>
    <s v="Desfrutado"/>
    <x v="8"/>
    <s v="Cadena de transmision se revento"/>
  </r>
  <r>
    <x v="775"/>
    <x v="3"/>
    <x v="10"/>
    <d v="1899-12-30T18:10:00"/>
    <d v="1899-12-30T19:35:00"/>
    <n v="0.70833333333333337"/>
    <x v="0"/>
    <x v="1"/>
    <s v="Falla operativa"/>
    <s v="Planta general"/>
    <x v="4"/>
    <s v="Atraso esterilización"/>
  </r>
  <r>
    <x v="775"/>
    <x v="3"/>
    <x v="10"/>
    <d v="1899-12-30T21:13:00"/>
    <d v="1899-12-30T21:38:00"/>
    <n v="0.20833333333333334"/>
    <x v="0"/>
    <x v="1"/>
    <s v="Falla operativa"/>
    <s v="Planta general"/>
    <x v="4"/>
    <s v="Atraso esterilización"/>
  </r>
  <r>
    <x v="775"/>
    <x v="3"/>
    <x v="10"/>
    <d v="1899-12-30T22:43:00"/>
    <d v="1899-12-30T23:41:00"/>
    <n v="0.48333333333333334"/>
    <x v="0"/>
    <x v="1"/>
    <s v="Falla operativa"/>
    <s v="Planta general"/>
    <x v="4"/>
    <s v="Atraso esterilización"/>
  </r>
  <r>
    <x v="775"/>
    <x v="3"/>
    <x v="10"/>
    <d v="1899-12-30T00:45:00"/>
    <d v="1899-12-30T01:32:00"/>
    <n v="0.39166666666666666"/>
    <x v="0"/>
    <x v="1"/>
    <s v="Falla operativa"/>
    <s v="Planta general"/>
    <x v="4"/>
    <s v="Atraso esterilización"/>
  </r>
  <r>
    <x v="775"/>
    <x v="3"/>
    <x v="10"/>
    <d v="1899-12-30T02:30:00"/>
    <d v="1899-12-30T03:53:00"/>
    <n v="0.69166666666666665"/>
    <x v="0"/>
    <x v="1"/>
    <s v="Falla operativa"/>
    <s v="Planta general"/>
    <x v="4"/>
    <s v="Atraso esterilización"/>
  </r>
  <r>
    <x v="775"/>
    <x v="3"/>
    <x v="10"/>
    <d v="1899-12-30T04:40:00"/>
    <d v="1899-12-30T05:45:00"/>
    <n v="0.54166666666666663"/>
    <x v="0"/>
    <x v="0"/>
    <s v="Falla mecánica"/>
    <s v="Desfrutado"/>
    <x v="2"/>
    <s v="Anillos tapados"/>
  </r>
  <r>
    <x v="776"/>
    <x v="3"/>
    <x v="11"/>
    <d v="1899-12-30T14:00:00"/>
    <d v="1899-12-30T16:24:00"/>
    <n v="1.2"/>
    <x v="0"/>
    <x v="1"/>
    <s v="Falla operativa"/>
    <s v="Planta general"/>
    <x v="4"/>
    <s v="Atraso esterilización"/>
  </r>
  <r>
    <x v="776"/>
    <x v="3"/>
    <x v="11"/>
    <d v="1899-12-30T17:00:00"/>
    <d v="1899-12-30T19:20:00"/>
    <n v="1.1666666666666667"/>
    <x v="0"/>
    <x v="1"/>
    <s v="Falla operativa"/>
    <s v="Planta general"/>
    <x v="4"/>
    <s v="Atraso esterilización"/>
  </r>
  <r>
    <x v="776"/>
    <x v="3"/>
    <x v="11"/>
    <d v="1899-12-30T20:50:00"/>
    <d v="1899-12-30T22:00:00"/>
    <n v="1.1666666666666667"/>
    <x v="0"/>
    <x v="0"/>
    <s v="Falla mecánica"/>
    <s v="Desfibración"/>
    <x v="97"/>
    <s v="Motor electrico quemado"/>
  </r>
  <r>
    <x v="777"/>
    <x v="3"/>
    <x v="11"/>
    <d v="1899-12-30T07:16:00"/>
    <d v="1899-12-30T07:42:00"/>
    <n v="0.43333333333333335"/>
    <x v="0"/>
    <x v="0"/>
    <s v="Falla eléctrica"/>
    <s v="Clarificación"/>
    <x v="55"/>
    <s v="Corto en acometida motor"/>
  </r>
  <r>
    <x v="777"/>
    <x v="3"/>
    <x v="11"/>
    <d v="1899-12-30T11:20:00"/>
    <d v="1899-12-30T12:00:00"/>
    <n v="0.33333333333333331"/>
    <x v="0"/>
    <x v="1"/>
    <s v="Falla operativa"/>
    <s v="Clarificación"/>
    <x v="88"/>
    <s v="Taponamiento "/>
  </r>
  <r>
    <x v="777"/>
    <x v="3"/>
    <x v="11"/>
    <d v="1899-12-30T06:35:00"/>
    <d v="1899-12-30T07:42:00"/>
    <n v="0.55833333333333335"/>
    <x v="0"/>
    <x v="1"/>
    <s v="Falla operativa"/>
    <s v="Planta general"/>
    <x v="4"/>
    <s v="Atraso esterilización"/>
  </r>
  <r>
    <x v="777"/>
    <x v="3"/>
    <x v="11"/>
    <d v="1899-12-30T08:20:00"/>
    <d v="1899-12-30T09:35:00"/>
    <n v="0.625"/>
    <x v="0"/>
    <x v="1"/>
    <s v="Falla operativa"/>
    <s v="Planta general"/>
    <x v="4"/>
    <s v="Atraso esterilización"/>
  </r>
  <r>
    <x v="777"/>
    <x v="3"/>
    <x v="11"/>
    <d v="1899-12-30T11:26:00"/>
    <d v="1899-12-30T12:04:00"/>
    <n v="0.31666666666666665"/>
    <x v="0"/>
    <x v="1"/>
    <s v="Falla operativa"/>
    <s v="Planta general"/>
    <x v="4"/>
    <s v="Atraso esterilización"/>
  </r>
  <r>
    <x v="777"/>
    <x v="3"/>
    <x v="11"/>
    <d v="1899-12-30T14:33:00"/>
    <d v="1899-12-30T15:10:00"/>
    <n v="0.30833333333333335"/>
    <x v="0"/>
    <x v="1"/>
    <s v="Falla operativa"/>
    <s v="Planta general"/>
    <x v="4"/>
    <s v="Atraso esterilización"/>
  </r>
  <r>
    <x v="777"/>
    <x v="3"/>
    <x v="11"/>
    <d v="1899-12-30T16:15:00"/>
    <d v="1899-12-30T17:40:00"/>
    <n v="0.70833333333333337"/>
    <x v="0"/>
    <x v="1"/>
    <s v="Falla operativa"/>
    <s v="Planta general"/>
    <x v="4"/>
    <s v="Atraso esterilización"/>
  </r>
  <r>
    <x v="778"/>
    <x v="3"/>
    <x v="11"/>
    <d v="1899-12-30T04:43:00"/>
    <d v="1899-12-30T05:00:00"/>
    <n v="0.28333333333333333"/>
    <x v="0"/>
    <x v="3"/>
    <s v="Fluído eléctrico"/>
    <s v="Planta general"/>
    <x v="5"/>
    <s v="Falla suministro energia"/>
  </r>
  <r>
    <x v="778"/>
    <x v="3"/>
    <x v="11"/>
    <d v="1899-12-30T12:10:00"/>
    <d v="1899-12-30T12:20:00"/>
    <n v="8.3333333333333329E-2"/>
    <x v="0"/>
    <x v="1"/>
    <s v="Falla operativa"/>
    <s v="Planta general"/>
    <x v="4"/>
    <s v="Atraso esterilización"/>
  </r>
  <r>
    <x v="778"/>
    <x v="3"/>
    <x v="11"/>
    <d v="1899-12-30T14:28:00"/>
    <d v="1899-12-30T14:40:00"/>
    <n v="0.1"/>
    <x v="0"/>
    <x v="1"/>
    <s v="Falla operativa"/>
    <s v="Desfrutado"/>
    <x v="2"/>
    <s v="Taponamiento "/>
  </r>
  <r>
    <x v="778"/>
    <x v="3"/>
    <x v="11"/>
    <d v="1899-12-30T18:00:00"/>
    <d v="1899-12-30T18:42:00"/>
    <n v="0.35"/>
    <x v="0"/>
    <x v="1"/>
    <s v="Falla operativa"/>
    <s v="Planta general"/>
    <x v="4"/>
    <s v="Atraso esterilización"/>
  </r>
  <r>
    <x v="778"/>
    <x v="3"/>
    <x v="11"/>
    <d v="1899-12-30T19:46:00"/>
    <d v="1899-12-30T20:40:00"/>
    <n v="0.45"/>
    <x v="0"/>
    <x v="1"/>
    <s v="Falla operativa"/>
    <s v="Desfrutado"/>
    <x v="2"/>
    <s v="Taponamiento "/>
  </r>
  <r>
    <x v="778"/>
    <x v="3"/>
    <x v="11"/>
    <d v="1899-12-30T21:40:00"/>
    <d v="1899-12-30T22:30:00"/>
    <n v="0.41666666666666669"/>
    <x v="0"/>
    <x v="1"/>
    <s v="Falla operativa"/>
    <s v="Desfrutado"/>
    <x v="2"/>
    <s v="Taponamiento "/>
  </r>
  <r>
    <x v="778"/>
    <x v="3"/>
    <x v="11"/>
    <d v="1899-12-30T23:15:00"/>
    <d v="1899-12-31T00:17:00"/>
    <n v="0.51666666666666672"/>
    <x v="0"/>
    <x v="1"/>
    <s v="Falla operativa"/>
    <s v="Planta general"/>
    <x v="4"/>
    <s v="Atraso esterilización"/>
  </r>
  <r>
    <x v="778"/>
    <x v="3"/>
    <x v="11"/>
    <d v="1899-12-30T01:40:00"/>
    <d v="1899-12-30T03:00:00"/>
    <n v="0.66666666666666663"/>
    <x v="0"/>
    <x v="1"/>
    <s v="Falla operativa"/>
    <s v="Planta general"/>
    <x v="4"/>
    <s v="Atraso esterilización"/>
  </r>
  <r>
    <x v="779"/>
    <x v="3"/>
    <x v="11"/>
    <d v="1899-12-30T01:00:00"/>
    <d v="1899-12-30T02:10:00"/>
    <n v="0.58333333333333337"/>
    <x v="0"/>
    <x v="1"/>
    <s v="Falla operativa"/>
    <s v="Planta general"/>
    <x v="4"/>
    <s v="Atraso esterilización"/>
  </r>
  <r>
    <x v="779"/>
    <x v="3"/>
    <x v="11"/>
    <d v="1899-12-30T03:25:00"/>
    <d v="1899-12-30T03:50:00"/>
    <n v="0.20833333333333334"/>
    <x v="0"/>
    <x v="1"/>
    <s v="Falla operativa"/>
    <s v="Planta general"/>
    <x v="4"/>
    <s v="Atraso esterilización"/>
  </r>
  <r>
    <x v="780"/>
    <x v="3"/>
    <x v="11"/>
    <d v="1899-12-30T22:25:00"/>
    <d v="1899-12-30T22:50:00"/>
    <n v="0.20833333333333334"/>
    <x v="0"/>
    <x v="1"/>
    <s v="Falla operativa"/>
    <s v="Planta general"/>
    <x v="4"/>
    <s v="Atraso esterilización"/>
  </r>
  <r>
    <x v="780"/>
    <x v="3"/>
    <x v="11"/>
    <d v="1899-12-30T23:20:00"/>
    <d v="1899-12-31T00:04:00"/>
    <n v="0.36666666666666664"/>
    <x v="0"/>
    <x v="1"/>
    <s v="Falla operativa"/>
    <s v="Planta general"/>
    <x v="4"/>
    <s v="Atraso esterilización"/>
  </r>
  <r>
    <x v="781"/>
    <x v="3"/>
    <x v="11"/>
    <d v="1899-12-30T06:00:00"/>
    <d v="1899-12-30T06:25:00"/>
    <n v="0.20833333333333334"/>
    <x v="0"/>
    <x v="0"/>
    <s v="Falla mecánica"/>
    <s v="Desfrutado"/>
    <x v="2"/>
    <s v="Anillos tapados"/>
  </r>
  <r>
    <x v="781"/>
    <x v="3"/>
    <x v="11"/>
    <d v="1899-12-30T09:20:00"/>
    <d v="1899-12-30T14:18:00"/>
    <n v="2.4833333333333334"/>
    <x v="0"/>
    <x v="1"/>
    <s v="Falla operativa"/>
    <s v="Planta general"/>
    <x v="4"/>
    <s v="Atraso esterilización"/>
  </r>
  <r>
    <x v="781"/>
    <x v="3"/>
    <x v="11"/>
    <d v="1899-12-30T09:58:00"/>
    <d v="1899-12-30T13:10:00"/>
    <n v="1.6"/>
    <x v="0"/>
    <x v="1"/>
    <s v="Falla operativa"/>
    <s v="Planta generación de vapor"/>
    <x v="22"/>
    <s v="Limpieza"/>
  </r>
  <r>
    <x v="781"/>
    <x v="3"/>
    <x v="11"/>
    <d v="1899-12-30T15:10:00"/>
    <d v="1899-12-30T15:35:00"/>
    <n v="0.20833333333333334"/>
    <x v="0"/>
    <x v="1"/>
    <s v="Falla operativa"/>
    <s v="Planta general"/>
    <x v="4"/>
    <s v="Atraso esterilización"/>
  </r>
  <r>
    <x v="781"/>
    <x v="3"/>
    <x v="11"/>
    <d v="1899-12-30T04:56:00"/>
    <d v="1899-12-30T05:20:00"/>
    <n v="0.2"/>
    <x v="0"/>
    <x v="0"/>
    <s v="Falla mecánica"/>
    <s v="Digestión y prensado"/>
    <x v="13"/>
    <s v="Partio eje"/>
  </r>
  <r>
    <x v="782"/>
    <x v="3"/>
    <x v="11"/>
    <d v="1899-12-30T12:35:00"/>
    <d v="1899-12-30T12:53:00"/>
    <n v="0.15"/>
    <x v="0"/>
    <x v="1"/>
    <s v="Falla operativa"/>
    <s v="Planta general"/>
    <x v="4"/>
    <s v="Atraso esterilización"/>
  </r>
  <r>
    <x v="782"/>
    <x v="3"/>
    <x v="11"/>
    <d v="1899-12-30T10:00:00"/>
    <d v="1899-12-30T21:00:00"/>
    <n v="5.5"/>
    <x v="0"/>
    <x v="0"/>
    <s v="Falla mecánica"/>
    <s v="Digestión y prensado"/>
    <x v="13"/>
    <s v="Partio eje"/>
  </r>
  <r>
    <x v="782"/>
    <x v="3"/>
    <x v="11"/>
    <d v="1899-12-30T16:27:00"/>
    <d v="1899-12-30T16:45:00"/>
    <n v="0.15"/>
    <x v="0"/>
    <x v="1"/>
    <s v="Falla operativa"/>
    <s v="Planta general"/>
    <x v="4"/>
    <s v="Atraso esterilización"/>
  </r>
  <r>
    <x v="783"/>
    <x v="3"/>
    <x v="11"/>
    <d v="1899-12-30T10:00:00"/>
    <d v="1899-12-30T13:50:00"/>
    <n v="1.9166666666666667"/>
    <x v="1"/>
    <x v="2"/>
    <s v="Arranque planta"/>
    <s v="Planta general"/>
    <x v="5"/>
    <s v="Arranque"/>
  </r>
  <r>
    <x v="782"/>
    <x v="3"/>
    <x v="11"/>
    <d v="1899-12-30T10:00:00"/>
    <d v="1899-12-30T21:00:00"/>
    <n v="5.5"/>
    <x v="0"/>
    <x v="0"/>
    <s v="Falla mecánica"/>
    <s v="Digestión y prensado"/>
    <x v="13"/>
    <s v="Partio eje"/>
  </r>
  <r>
    <x v="784"/>
    <x v="3"/>
    <x v="11"/>
    <d v="1899-12-30T16:15:00"/>
    <d v="1899-12-30T18:37:00"/>
    <n v="2.3666666666666667"/>
    <x v="0"/>
    <x v="0"/>
    <s v="Falla mecánica"/>
    <s v="Clarificación"/>
    <x v="55"/>
    <s v="SOLTURA DE CUERPO"/>
  </r>
  <r>
    <x v="784"/>
    <x v="3"/>
    <x v="11"/>
    <d v="1899-12-30T10:00:00"/>
    <d v="1899-12-30T21:00:00"/>
    <n v="5.5"/>
    <x v="0"/>
    <x v="0"/>
    <s v="Falla mecánica"/>
    <s v="Digestión y prensado"/>
    <x v="13"/>
    <s v="Partio eje"/>
  </r>
  <r>
    <x v="784"/>
    <x v="3"/>
    <x v="11"/>
    <d v="1899-12-30T10:45:00"/>
    <d v="1899-12-30T12:10:00"/>
    <n v="0.70833333333333337"/>
    <x v="0"/>
    <x v="0"/>
    <s v="Falla mecánica"/>
    <s v="Esterilización "/>
    <x v="17"/>
    <s v="Descarrilamiento de cadena"/>
  </r>
  <r>
    <x v="785"/>
    <x v="3"/>
    <x v="11"/>
    <d v="1899-12-30T10:15:00"/>
    <d v="1899-12-30T23:59:00"/>
    <n v="6.8666666666666663"/>
    <x v="0"/>
    <x v="0"/>
    <s v="Falla mecánica"/>
    <s v="Digestión y prensado"/>
    <x v="13"/>
    <s v="Partio eje"/>
  </r>
  <r>
    <x v="785"/>
    <x v="3"/>
    <x v="11"/>
    <d v="1899-12-30T00:00:00"/>
    <d v="1899-12-30T06:00:00"/>
    <n v="3"/>
    <x v="0"/>
    <x v="0"/>
    <s v="Falla mecánica"/>
    <s v="Digestión y prensado"/>
    <x v="13"/>
    <s v="Partio eje"/>
  </r>
  <r>
    <x v="785"/>
    <x v="3"/>
    <x v="11"/>
    <d v="1899-12-30T13:10:00"/>
    <d v="1899-12-30T15:43:00"/>
    <n v="1.2749999999999999"/>
    <x v="0"/>
    <x v="0"/>
    <s v="Falla eléctrica"/>
    <s v="Desfrutado"/>
    <x v="2"/>
    <s v="Motor electrico quemado"/>
  </r>
  <r>
    <x v="785"/>
    <x v="3"/>
    <x v="11"/>
    <d v="1899-12-30T16:53:00"/>
    <d v="1899-12-30T17:23:00"/>
    <n v="0.25"/>
    <x v="0"/>
    <x v="0"/>
    <s v="Falla mecánica"/>
    <s v="Digestión y prensado"/>
    <x v="100"/>
    <s v="taponamiento"/>
  </r>
  <r>
    <x v="785"/>
    <x v="3"/>
    <x v="11"/>
    <d v="1899-12-30T23:00:00"/>
    <d v="1899-12-30T23:59:00"/>
    <n v="0.49166666666666664"/>
    <x v="0"/>
    <x v="0"/>
    <s v="Falla eléctrica"/>
    <s v="Desfrutado"/>
    <x v="19"/>
    <s v="Motor electrico quemado"/>
  </r>
  <r>
    <x v="785"/>
    <x v="3"/>
    <x v="11"/>
    <d v="1899-12-30T00:00:00"/>
    <d v="1899-12-30T02:20:00"/>
    <n v="1.1666666666666667"/>
    <x v="0"/>
    <x v="0"/>
    <s v="Falla eléctrica"/>
    <s v="Desfrutado"/>
    <x v="19"/>
    <s v="Motor electrico quemado"/>
  </r>
  <r>
    <x v="786"/>
    <x v="3"/>
    <x v="11"/>
    <d v="1899-12-30T10:15:00"/>
    <d v="1899-12-30T23:59:00"/>
    <n v="6.8666666666666663"/>
    <x v="0"/>
    <x v="0"/>
    <s v="Falla mecánica"/>
    <s v="Digestión y prensado"/>
    <x v="13"/>
    <s v="Partio eje"/>
  </r>
  <r>
    <x v="786"/>
    <x v="3"/>
    <x v="11"/>
    <d v="1899-12-30T17:40:00"/>
    <d v="1899-12-30T18:26:00"/>
    <n v="0.38333333333333336"/>
    <x v="0"/>
    <x v="0"/>
    <s v="Falla mecánica"/>
    <s v="Desfibración"/>
    <x v="0"/>
    <s v="Partio cadena acople"/>
  </r>
  <r>
    <x v="786"/>
    <x v="3"/>
    <x v="11"/>
    <d v="1899-12-30T19:30:00"/>
    <d v="1899-12-30T20:40:00"/>
    <n v="0.58333333333333337"/>
    <x v="0"/>
    <x v="0"/>
    <s v="Falla mecánica"/>
    <s v="Desfibración"/>
    <x v="0"/>
    <s v="Taponamiento"/>
  </r>
  <r>
    <x v="786"/>
    <x v="3"/>
    <x v="11"/>
    <d v="1899-12-30T21:48:00"/>
    <d v="1899-12-30T22:42:00"/>
    <n v="0.45"/>
    <x v="0"/>
    <x v="0"/>
    <s v="Falla mecánica"/>
    <s v="Clarificación"/>
    <x v="55"/>
    <s v="Giro tamiz"/>
  </r>
  <r>
    <x v="787"/>
    <x v="3"/>
    <x v="11"/>
    <d v="1899-12-30T10:15:00"/>
    <d v="1899-12-30T23:59:00"/>
    <n v="6.8666666666666663"/>
    <x v="0"/>
    <x v="0"/>
    <s v="Falla mecánica"/>
    <s v="Digestión y prensado"/>
    <x v="13"/>
    <s v="Partio eje"/>
  </r>
  <r>
    <x v="787"/>
    <x v="3"/>
    <x v="11"/>
    <d v="1899-12-30T09:35:00"/>
    <d v="1899-12-30T10:15:00"/>
    <n v="0.33333333333333331"/>
    <x v="0"/>
    <x v="0"/>
    <s v="Falla mecánica"/>
    <s v="Clarificación"/>
    <x v="55"/>
    <s v="Giro tamiz"/>
  </r>
  <r>
    <x v="787"/>
    <x v="3"/>
    <x v="11"/>
    <d v="1899-12-30T13:17:00"/>
    <d v="1899-12-30T16:00:00"/>
    <n v="1.3583333333333334"/>
    <x v="0"/>
    <x v="0"/>
    <s v="Falla mecánica"/>
    <s v="Esterilización "/>
    <x v="7"/>
    <s v="descarrilamiento"/>
  </r>
  <r>
    <x v="787"/>
    <x v="3"/>
    <x v="11"/>
    <d v="1899-12-30T18:00:00"/>
    <d v="1899-12-30T20:20:00"/>
    <n v="1.1666666666666667"/>
    <x v="0"/>
    <x v="0"/>
    <s v="Falla mecánica"/>
    <s v="Esterilización "/>
    <x v="7"/>
    <s v="descarrilamiento"/>
  </r>
  <r>
    <x v="787"/>
    <x v="3"/>
    <x v="11"/>
    <d v="1899-12-30T23:00:00"/>
    <d v="1899-12-30T23:20:00"/>
    <n v="0.16666666666666666"/>
    <x v="0"/>
    <x v="0"/>
    <s v="Falla mecánica"/>
    <s v="Clarificación"/>
    <x v="55"/>
    <s v="Giro tamiz"/>
  </r>
  <r>
    <x v="788"/>
    <x v="3"/>
    <x v="11"/>
    <d v="1899-12-30T10:15:00"/>
    <d v="1899-12-30T23:59:00"/>
    <n v="6.8666666666666663"/>
    <x v="0"/>
    <x v="0"/>
    <s v="Falla mecánica"/>
    <s v="Digestión y prensado"/>
    <x v="13"/>
    <s v="Partio eje"/>
  </r>
  <r>
    <x v="788"/>
    <x v="3"/>
    <x v="11"/>
    <d v="1899-12-30T09:25:00"/>
    <d v="1899-12-30T10:10:00"/>
    <n v="0.375"/>
    <x v="0"/>
    <x v="0"/>
    <s v="Falla eléctrica"/>
    <s v="Digestión y prensado"/>
    <x v="86"/>
    <s v="corto en contactor"/>
  </r>
  <r>
    <x v="788"/>
    <x v="3"/>
    <x v="11"/>
    <d v="1899-12-30T10:20:00"/>
    <d v="1899-12-30T12:56:00"/>
    <n v="1.3"/>
    <x v="0"/>
    <x v="0"/>
    <s v="Falla mecánica"/>
    <s v="Desfibración"/>
    <x v="0"/>
    <s v="Partio cadena acople"/>
  </r>
  <r>
    <x v="788"/>
    <x v="3"/>
    <x v="11"/>
    <d v="1899-12-30T18:00:00"/>
    <d v="1899-12-30T19:25:00"/>
    <n v="0.70833333333333337"/>
    <x v="0"/>
    <x v="0"/>
    <s v="Falla mecánica"/>
    <s v="Desfrutado"/>
    <x v="2"/>
    <s v="Rodillo patin frenado"/>
  </r>
  <r>
    <x v="788"/>
    <x v="3"/>
    <x v="11"/>
    <d v="1899-12-30T02:00:00"/>
    <d v="1899-12-30T02:30:00"/>
    <n v="0.25"/>
    <x v="0"/>
    <x v="1"/>
    <s v="Falla operativa"/>
    <s v="Desfrutado"/>
    <x v="2"/>
    <s v="taponamiento"/>
  </r>
  <r>
    <x v="788"/>
    <x v="3"/>
    <x v="11"/>
    <d v="1899-12-30T04:34:00"/>
    <d v="1899-12-30T05:30:00"/>
    <n v="0.46666666666666667"/>
    <x v="0"/>
    <x v="1"/>
    <s v="Falla operativa"/>
    <s v="Planta general"/>
    <x v="4"/>
    <s v="Atraso esterilización"/>
  </r>
  <r>
    <x v="789"/>
    <x v="3"/>
    <x v="11"/>
    <d v="1899-12-30T09:00:00"/>
    <d v="1899-12-30T09:25:00"/>
    <n v="0.41666666666666669"/>
    <x v="0"/>
    <x v="1"/>
    <s v="Falla operativa"/>
    <s v="Desfrutado"/>
    <x v="2"/>
    <s v="taponamiento"/>
  </r>
  <r>
    <x v="789"/>
    <x v="3"/>
    <x v="11"/>
    <d v="1899-12-30T10:59:00"/>
    <d v="1899-12-30T11:20:00"/>
    <n v="0.35"/>
    <x v="0"/>
    <x v="1"/>
    <s v="Falla operativa"/>
    <s v="Desfrutado"/>
    <x v="2"/>
    <s v="taponamiento"/>
  </r>
  <r>
    <x v="789"/>
    <x v="3"/>
    <x v="11"/>
    <d v="1899-12-30T12:38:00"/>
    <d v="1899-12-30T13:02:00"/>
    <n v="0.4"/>
    <x v="0"/>
    <x v="1"/>
    <s v="Falla operativa"/>
    <s v="Clarificación"/>
    <x v="39"/>
    <s v="taponamiento"/>
  </r>
  <r>
    <x v="789"/>
    <x v="3"/>
    <x v="11"/>
    <d v="1899-12-30T00:42:00"/>
    <d v="1899-12-30T02:30:00"/>
    <n v="0.9"/>
    <x v="0"/>
    <x v="0"/>
    <s v="Falla mecánica"/>
    <s v="Desfrutado"/>
    <x v="14"/>
    <s v="descarrilamiento"/>
  </r>
  <r>
    <x v="789"/>
    <x v="3"/>
    <x v="11"/>
    <d v="1899-12-30T05:50:00"/>
    <d v="1899-12-30T06:03:00"/>
    <n v="0.10833333333333334"/>
    <x v="0"/>
    <x v="1"/>
    <s v="Falla operativa"/>
    <s v="Planta general"/>
    <x v="4"/>
    <s v="Atraso esterilización"/>
  </r>
  <r>
    <x v="789"/>
    <x v="3"/>
    <x v="11"/>
    <d v="1899-12-30T06:30:00"/>
    <d v="1899-12-30T08:07:00"/>
    <n v="0.80833333333333335"/>
    <x v="0"/>
    <x v="1"/>
    <s v="Falla operativa"/>
    <s v="Planta general"/>
    <x v="4"/>
    <s v="Atraso esterilización"/>
  </r>
  <r>
    <x v="789"/>
    <x v="3"/>
    <x v="11"/>
    <d v="1899-12-30T09:18:00"/>
    <d v="1899-12-30T10:50:00"/>
    <n v="0.76666666666666661"/>
    <x v="0"/>
    <x v="1"/>
    <s v="Falla operativa"/>
    <s v="Planta general"/>
    <x v="4"/>
    <s v="Atraso esterilización"/>
  </r>
  <r>
    <x v="790"/>
    <x v="3"/>
    <x v="11"/>
    <d v="1899-12-30T06:00:00"/>
    <d v="1899-12-30T08:28:00"/>
    <n v="1.2333333333333334"/>
    <x v="1"/>
    <x v="1"/>
    <s v="Falla operativa"/>
    <s v="Planta generación de vapor"/>
    <x v="22"/>
    <s v="Subiendo presión "/>
  </r>
  <r>
    <x v="790"/>
    <x v="3"/>
    <x v="11"/>
    <d v="1899-12-30T06:00:00"/>
    <d v="1899-12-30T10:25:00"/>
    <n v="2.2083333333333335"/>
    <x v="0"/>
    <x v="1"/>
    <s v="Falla operativa"/>
    <s v="Planta general"/>
    <x v="4"/>
    <s v="Atraso esterilización"/>
  </r>
  <r>
    <x v="790"/>
    <x v="3"/>
    <x v="11"/>
    <d v="1899-12-30T09:00:00"/>
    <d v="1899-12-30T09:35:00"/>
    <n v="0.29166666666666669"/>
    <x v="0"/>
    <x v="0"/>
    <s v="Falla mecánica"/>
    <s v="Desfibración"/>
    <x v="0"/>
    <s v="Paletas muy largas"/>
  </r>
  <r>
    <x v="790"/>
    <x v="3"/>
    <x v="11"/>
    <d v="1899-12-30T11:00:00"/>
    <d v="1899-12-30T12:30:00"/>
    <n v="0.75"/>
    <x v="0"/>
    <x v="1"/>
    <s v="Falla operativa"/>
    <s v="Desfrutado"/>
    <x v="2"/>
    <s v="taponamiento en ducto"/>
  </r>
  <r>
    <x v="790"/>
    <x v="3"/>
    <x v="11"/>
    <d v="1899-12-30T13:50:00"/>
    <d v="1899-12-30T15:03:00"/>
    <n v="0.60833333333333339"/>
    <x v="0"/>
    <x v="1"/>
    <s v="Falla operativa"/>
    <s v="Planta general"/>
    <x v="4"/>
    <s v="Atraso esterilización"/>
  </r>
  <r>
    <x v="790"/>
    <x v="3"/>
    <x v="11"/>
    <d v="1899-12-30T16:11:00"/>
    <d v="1899-12-30T17:50:00"/>
    <n v="0.82499999999999996"/>
    <x v="0"/>
    <x v="1"/>
    <s v="Falla operativa"/>
    <s v="Planta general"/>
    <x v="4"/>
    <s v="Atraso esterilización"/>
  </r>
  <r>
    <x v="790"/>
    <x v="3"/>
    <x v="11"/>
    <d v="1899-12-30T16:32:00"/>
    <d v="1899-12-30T17:16:00"/>
    <n v="0.36666666666666664"/>
    <x v="0"/>
    <x v="0"/>
    <s v="Falla mecánica"/>
    <s v="Esterilización "/>
    <x v="102"/>
    <s v="Descarrilada"/>
  </r>
  <r>
    <x v="790"/>
    <x v="3"/>
    <x v="11"/>
    <d v="1899-12-30T18:50:00"/>
    <d v="1899-12-30T19:15:00"/>
    <n v="0.20833333333333334"/>
    <x v="0"/>
    <x v="1"/>
    <s v="Falla operativa"/>
    <s v="Planta general"/>
    <x v="4"/>
    <s v="Atraso esterilización"/>
  </r>
  <r>
    <x v="790"/>
    <x v="3"/>
    <x v="11"/>
    <d v="1899-12-30T19:10:00"/>
    <d v="1899-12-30T19:40:00"/>
    <n v="0.25"/>
    <x v="0"/>
    <x v="1"/>
    <s v="Falla operativa"/>
    <s v="Planta generación de vapor"/>
    <x v="22"/>
    <s v="Falta de presión"/>
  </r>
  <r>
    <x v="790"/>
    <x v="3"/>
    <x v="11"/>
    <d v="1899-12-30T20:20:00"/>
    <d v="1899-12-30T20:42:00"/>
    <n v="0.18333333333333332"/>
    <x v="0"/>
    <x v="0"/>
    <s v="Falla mecánica"/>
    <s v="Desfibración"/>
    <x v="9"/>
    <s v="Partio tornillo"/>
  </r>
  <r>
    <x v="791"/>
    <x v="3"/>
    <x v="11"/>
    <d v="1899-12-30T08:50:00"/>
    <d v="1899-12-30T10:37:00"/>
    <n v="0.89166666666666661"/>
    <x v="0"/>
    <x v="1"/>
    <s v="Falla operativa"/>
    <s v="Planta general"/>
    <x v="5"/>
    <s v="Solo 1 esterilizada por arranque"/>
  </r>
  <r>
    <x v="791"/>
    <x v="3"/>
    <x v="11"/>
    <d v="1899-12-30T11:22:00"/>
    <d v="1899-12-30T11:55:00"/>
    <n v="0.27500000000000002"/>
    <x v="0"/>
    <x v="1"/>
    <s v="Falla operativa"/>
    <s v="Planta general"/>
    <x v="4"/>
    <s v="Atraso esterilización"/>
  </r>
  <r>
    <x v="791"/>
    <x v="3"/>
    <x v="11"/>
    <d v="1899-12-30T13:15:00"/>
    <d v="1899-12-30T14:00:00"/>
    <n v="0.375"/>
    <x v="0"/>
    <x v="1"/>
    <s v="Falla operativa"/>
    <s v="Desfrutado"/>
    <x v="2"/>
    <s v="taponamiento tambor"/>
  </r>
  <r>
    <x v="791"/>
    <x v="3"/>
    <x v="11"/>
    <d v="1899-12-30T15:10:00"/>
    <d v="1899-12-30T15:56:00"/>
    <n v="0.38333333333333336"/>
    <x v="0"/>
    <x v="1"/>
    <s v="Falla operativa"/>
    <s v="Clarificación"/>
    <x v="48"/>
    <s v="Taponamiento"/>
  </r>
  <r>
    <x v="792"/>
    <x v="3"/>
    <x v="11"/>
    <d v="1899-12-30T07:56:00"/>
    <d v="1899-12-30T08:35:00"/>
    <n v="0.32500000000000001"/>
    <x v="0"/>
    <x v="1"/>
    <s v="Falla operativa"/>
    <s v="Desfibración"/>
    <x v="46"/>
    <s v="Taponamiento"/>
  </r>
  <r>
    <x v="792"/>
    <x v="3"/>
    <x v="11"/>
    <d v="1899-12-30T15:00:00"/>
    <d v="1899-12-30T17:12:00"/>
    <n v="2.2000000000000002"/>
    <x v="0"/>
    <x v="1"/>
    <s v="Falla operativa"/>
    <s v="Digestión y prensado"/>
    <x v="100"/>
    <s v="Taponamiento"/>
  </r>
  <r>
    <x v="792"/>
    <x v="3"/>
    <x v="11"/>
    <d v="1899-12-30T18:40:00"/>
    <d v="1899-12-30T19:36:00"/>
    <n v="0.93333333333333335"/>
    <x v="0"/>
    <x v="1"/>
    <s v="Falla operativa"/>
    <s v="Planta general"/>
    <x v="4"/>
    <s v="Atraso esterilización"/>
  </r>
  <r>
    <x v="792"/>
    <x v="3"/>
    <x v="11"/>
    <d v="1899-12-30T22:20:00"/>
    <d v="1899-12-30T23:10:00"/>
    <n v="0.83333333333333337"/>
    <x v="0"/>
    <x v="1"/>
    <s v="Falla operativa"/>
    <s v="Clarificación"/>
    <x v="35"/>
    <s v="Taponamiento malla"/>
  </r>
  <r>
    <x v="792"/>
    <x v="3"/>
    <x v="11"/>
    <d v="1899-12-30T02:00:00"/>
    <d v="1899-12-30T02:41:00"/>
    <n v="0.68333333333333335"/>
    <x v="0"/>
    <x v="1"/>
    <s v="Falla operativa"/>
    <s v="Clarificación"/>
    <x v="45"/>
    <s v="Taponamiento de boquillas"/>
  </r>
  <r>
    <x v="792"/>
    <x v="3"/>
    <x v="11"/>
    <d v="1899-12-30T03:40:00"/>
    <d v="1899-12-30T04:27:00"/>
    <n v="0.78333333333333333"/>
    <x v="0"/>
    <x v="1"/>
    <s v="Falla operativa"/>
    <s v="Desfrutado"/>
    <x v="2"/>
    <s v="taponamiento tambor"/>
  </r>
  <r>
    <x v="792"/>
    <x v="3"/>
    <x v="11"/>
    <d v="1899-12-30T04:37:00"/>
    <d v="1899-12-30T06:00:00"/>
    <n v="0.69166666666666665"/>
    <x v="0"/>
    <x v="0"/>
    <s v="Falla mecánica"/>
    <s v="Digestión y prensado"/>
    <x v="86"/>
    <s v="Rotura eje transmision"/>
  </r>
  <r>
    <x v="793"/>
    <x v="3"/>
    <x v="11"/>
    <d v="1899-12-30T14:00:00"/>
    <d v="1899-12-30T14:32:00"/>
    <n v="0.26666666666666666"/>
    <x v="1"/>
    <x v="2"/>
    <s v="Arranque planta"/>
    <s v="Planta general"/>
    <x v="5"/>
    <s v="Prensas"/>
  </r>
  <r>
    <x v="794"/>
    <x v="3"/>
    <x v="11"/>
    <d v="1899-12-30T14:00:00"/>
    <d v="1899-12-30T14:32:00"/>
    <n v="0.26666666666666666"/>
    <x v="1"/>
    <x v="2"/>
    <s v="Arranque planta"/>
    <s v="Planta general"/>
    <x v="5"/>
    <s v="X aseo visita"/>
  </r>
  <r>
    <x v="795"/>
    <x v="3"/>
    <x v="11"/>
    <d v="1899-12-30T06:00:00"/>
    <d v="1899-12-30T09:15:00"/>
    <n v="1.625"/>
    <x v="1"/>
    <x v="2"/>
    <s v="Arranque planta"/>
    <s v="Planta general"/>
    <x v="5"/>
    <s v="Limpieza caldera "/>
  </r>
  <r>
    <x v="796"/>
    <x v="3"/>
    <x v="11"/>
    <d v="1899-12-30T17:27:00"/>
    <d v="1899-12-30T17:50:00"/>
    <n v="0.19166666666666668"/>
    <x v="0"/>
    <x v="0"/>
    <s v="Falla mecánica"/>
    <s v="Desfrutado"/>
    <x v="2"/>
    <s v="Rotura cadena transmision"/>
  </r>
  <r>
    <x v="797"/>
    <x v="3"/>
    <x v="0"/>
    <d v="1899-12-30T08:00:00"/>
    <d v="1899-12-30T10:20:00"/>
    <n v="1.1666666666666667"/>
    <x v="0"/>
    <x v="1"/>
    <s v="Falla operativa"/>
    <s v="Planta generación de vapor"/>
    <x v="22"/>
    <s v="Limpieza "/>
  </r>
  <r>
    <x v="797"/>
    <x v="3"/>
    <x v="0"/>
    <d v="1899-12-30T10:15:00"/>
    <d v="1899-12-30T14:00:00"/>
    <n v="1.875"/>
    <x v="0"/>
    <x v="0"/>
    <s v="Falla mecánica"/>
    <s v="Recepción"/>
    <x v="7"/>
    <s v="Caido"/>
  </r>
  <r>
    <x v="797"/>
    <x v="3"/>
    <x v="0"/>
    <d v="1899-12-30T06:00:00"/>
    <d v="1899-12-30T15:00:00"/>
    <n v="4.5"/>
    <x v="0"/>
    <x v="0"/>
    <s v="Falla mecánica"/>
    <s v="Digestión y prensado"/>
    <x v="86"/>
    <s v="Cambio de ejes"/>
  </r>
  <r>
    <x v="797"/>
    <x v="3"/>
    <x v="0"/>
    <d v="1899-12-30T16:00:00"/>
    <d v="1899-12-30T17:00:00"/>
    <n v="0.5"/>
    <x v="0"/>
    <x v="1"/>
    <s v="Falla operativa"/>
    <s v="Planta general"/>
    <x v="4"/>
    <s v="Atraso esterilización"/>
  </r>
  <r>
    <x v="798"/>
    <x v="3"/>
    <x v="0"/>
    <d v="1899-12-30T06:50:00"/>
    <d v="1899-12-30T07:07:00"/>
    <n v="0.14166666666666666"/>
    <x v="0"/>
    <x v="1"/>
    <s v="Falla operativa"/>
    <s v="Planta general"/>
    <x v="4"/>
    <s v="Atraso esterilización"/>
  </r>
  <r>
    <x v="798"/>
    <x v="3"/>
    <x v="0"/>
    <d v="1899-12-30T10:40:00"/>
    <d v="1899-12-30T10:57:00"/>
    <n v="0.14166666666666666"/>
    <x v="0"/>
    <x v="0"/>
    <s v="Falla mecánica"/>
    <s v="Clarificación"/>
    <x v="16"/>
    <s v="tapada"/>
  </r>
  <r>
    <x v="798"/>
    <x v="3"/>
    <x v="0"/>
    <d v="1899-12-30T12:00:00"/>
    <d v="1899-12-30T12:16:00"/>
    <n v="0.13333333333333333"/>
    <x v="0"/>
    <x v="0"/>
    <s v="Falla mecánica"/>
    <s v="Clarificación"/>
    <x v="16"/>
    <s v="tapada"/>
  </r>
  <r>
    <x v="799"/>
    <x v="3"/>
    <x v="0"/>
    <d v="1899-12-30T06:00:00"/>
    <d v="1899-12-30T10:50:00"/>
    <n v="2.4166666666666665"/>
    <x v="1"/>
    <x v="0"/>
    <s v="Falla mecánica"/>
    <s v="Planta generación de vapor"/>
    <x v="22"/>
    <s v="Mantenimiento"/>
  </r>
  <r>
    <x v="799"/>
    <x v="3"/>
    <x v="0"/>
    <d v="1899-12-30T12:48:00"/>
    <d v="1899-12-30T13:42:00"/>
    <n v="0.45"/>
    <x v="0"/>
    <x v="1"/>
    <s v="Falla operativa"/>
    <s v="Planta general"/>
    <x v="4"/>
    <s v="Atraso esterilización"/>
  </r>
  <r>
    <x v="799"/>
    <x v="3"/>
    <x v="0"/>
    <d v="1899-12-30T14:36:00"/>
    <d v="1899-12-30T14:50:00"/>
    <n v="0.11666666666666667"/>
    <x v="0"/>
    <x v="1"/>
    <s v="Falla operativa"/>
    <s v="Planta general"/>
    <x v="4"/>
    <s v="Atraso esterilización"/>
  </r>
  <r>
    <x v="799"/>
    <x v="3"/>
    <x v="0"/>
    <d v="1899-12-30T19:28:00"/>
    <d v="1899-12-30T19:40:00"/>
    <n v="0.1"/>
    <x v="0"/>
    <x v="0"/>
    <s v="Falla mecánica"/>
    <s v="Clarificación"/>
    <x v="16"/>
    <s v="tapada"/>
  </r>
  <r>
    <x v="800"/>
    <x v="3"/>
    <x v="0"/>
    <d v="1899-12-30T06:00:00"/>
    <d v="1899-12-30T07:50:00"/>
    <n v="0.91666666666666674"/>
    <x v="0"/>
    <x v="1"/>
    <s v="Falla operativa"/>
    <s v="Planta generación de vapor"/>
    <x v="22"/>
    <s v="Subiendo presión "/>
  </r>
  <r>
    <x v="800"/>
    <x v="3"/>
    <x v="0"/>
    <d v="1899-12-30T09:55:00"/>
    <d v="1899-12-30T10:55:00"/>
    <n v="0.5"/>
    <x v="0"/>
    <x v="1"/>
    <s v="Falla operativa"/>
    <s v="Planta general"/>
    <x v="4"/>
    <s v="Atraso esterilización"/>
  </r>
  <r>
    <x v="800"/>
    <x v="3"/>
    <x v="0"/>
    <d v="1899-12-30T11:40:00"/>
    <d v="1899-12-30T13:32:00"/>
    <n v="0.93333333333333335"/>
    <x v="0"/>
    <x v="1"/>
    <s v="Falla operativa"/>
    <s v="Clarificación"/>
    <x v="60"/>
    <s v="aceite acumulado"/>
  </r>
  <r>
    <x v="800"/>
    <x v="3"/>
    <x v="0"/>
    <d v="1899-12-30T14:55:00"/>
    <d v="1899-12-30T15:40:00"/>
    <n v="0.375"/>
    <x v="0"/>
    <x v="1"/>
    <s v="Falla operativa"/>
    <s v="Planta general"/>
    <x v="4"/>
    <s v="Atraso esterilización"/>
  </r>
  <r>
    <x v="800"/>
    <x v="3"/>
    <x v="0"/>
    <d v="1899-12-30T18:50:00"/>
    <d v="1899-12-30T19:40:00"/>
    <n v="0.41666666666666669"/>
    <x v="0"/>
    <x v="1"/>
    <s v="Falla operativa"/>
    <s v="Planta general"/>
    <x v="4"/>
    <s v="Atraso esterilización"/>
  </r>
  <r>
    <x v="800"/>
    <x v="3"/>
    <x v="0"/>
    <d v="1899-12-30T20:00:00"/>
    <d v="1899-12-30T21:00:00"/>
    <n v="0.5"/>
    <x v="0"/>
    <x v="0"/>
    <s v="Falla mecánica"/>
    <s v="Desfibración"/>
    <x v="0"/>
    <s v="Atascado, paleta suelta"/>
  </r>
  <r>
    <x v="801"/>
    <x v="3"/>
    <x v="0"/>
    <d v="1899-12-30T14:37:00"/>
    <d v="1899-12-30T16:30:00"/>
    <n v="1.8833333333333333"/>
    <x v="0"/>
    <x v="0"/>
    <s v="Falla mecánica"/>
    <s v="Desfibración"/>
    <x v="0"/>
    <s v="Atascado, paleta suelta"/>
  </r>
  <r>
    <x v="801"/>
    <x v="3"/>
    <x v="0"/>
    <d v="1899-12-30T16:50:00"/>
    <d v="1899-12-30T17:17:00"/>
    <n v="0.22500000000000001"/>
    <x v="0"/>
    <x v="1"/>
    <s v="Falla operativa"/>
    <s v="Planta general"/>
    <x v="4"/>
    <s v="Atraso esterilización"/>
  </r>
  <r>
    <x v="801"/>
    <x v="3"/>
    <x v="0"/>
    <d v="1899-12-30T17:57:00"/>
    <d v="1899-12-30T19:00:00"/>
    <n v="0.52500000000000002"/>
    <x v="0"/>
    <x v="1"/>
    <s v="Falla operativa"/>
    <s v="Planta general"/>
    <x v="4"/>
    <s v="Atraso esterilización"/>
  </r>
  <r>
    <x v="802"/>
    <x v="3"/>
    <x v="0"/>
    <d v="1899-12-30T15:25:00"/>
    <d v="1899-12-30T15:50:00"/>
    <n v="0.20833333333333334"/>
    <x v="0"/>
    <x v="1"/>
    <s v="Falla operativa"/>
    <s v="Planta general"/>
    <x v="4"/>
    <s v="Atraso esterilización"/>
  </r>
  <r>
    <x v="802"/>
    <x v="3"/>
    <x v="0"/>
    <d v="1899-12-30T18:44:00"/>
    <d v="1899-12-30T19:50:00"/>
    <n v="0.55000000000000004"/>
    <x v="0"/>
    <x v="0"/>
    <s v="Falla mecánica"/>
    <s v="Desfrutado"/>
    <x v="8"/>
    <s v="Salida cadena piñon inferior"/>
  </r>
  <r>
    <x v="802"/>
    <x v="3"/>
    <x v="0"/>
    <d v="1899-12-30T22:23:00"/>
    <d v="1899-12-30T23:59:00"/>
    <n v="1.6"/>
    <x v="0"/>
    <x v="0"/>
    <s v="Falla mecánica"/>
    <s v="Esterilización "/>
    <x v="102"/>
    <s v="descarrilamiento vagoneta tambor de volteo"/>
  </r>
  <r>
    <x v="802"/>
    <x v="3"/>
    <x v="0"/>
    <d v="1899-12-30T10:24:00"/>
    <d v="1899-12-30T11:28:00"/>
    <n v="0.53333333333333333"/>
    <x v="0"/>
    <x v="1"/>
    <s v="Falla operativa"/>
    <s v="Planta general"/>
    <x v="4"/>
    <s v="Atraso esterilización"/>
  </r>
  <r>
    <x v="802"/>
    <x v="3"/>
    <x v="0"/>
    <d v="1899-12-30T12:07:00"/>
    <d v="1899-12-30T13:49:00"/>
    <n v="0.85"/>
    <x v="0"/>
    <x v="1"/>
    <s v="Falla operativa"/>
    <s v="Planta general"/>
    <x v="4"/>
    <s v="Atraso esterilización"/>
  </r>
  <r>
    <x v="802"/>
    <x v="3"/>
    <x v="0"/>
    <d v="1899-12-30T14:20:00"/>
    <d v="1899-12-30T19:59:00"/>
    <n v="2.8250000000000002"/>
    <x v="0"/>
    <x v="1"/>
    <s v="Falla operativa"/>
    <s v="Planta general"/>
    <x v="4"/>
    <s v="Atraso esterilización"/>
  </r>
  <r>
    <x v="802"/>
    <x v="3"/>
    <x v="0"/>
    <d v="1899-12-30T20:24:00"/>
    <d v="1899-12-30T21:30:00"/>
    <n v="0.55000000000000004"/>
    <x v="0"/>
    <x v="1"/>
    <s v="Falla operativa"/>
    <s v="Planta general"/>
    <x v="4"/>
    <s v="Atraso esterilización"/>
  </r>
  <r>
    <x v="802"/>
    <x v="3"/>
    <x v="0"/>
    <d v="1899-12-30T00:00:00"/>
    <d v="1899-12-30T01:44:00"/>
    <n v="0.8666666666666667"/>
    <x v="0"/>
    <x v="1"/>
    <s v="Falla operativa"/>
    <s v="Planta general"/>
    <x v="4"/>
    <s v="Atraso esterilización"/>
  </r>
  <r>
    <x v="803"/>
    <x v="3"/>
    <x v="0"/>
    <d v="1899-12-30T09:48:00"/>
    <d v="1899-12-30T14:00:00"/>
    <n v="2.1"/>
    <x v="1"/>
    <x v="2"/>
    <s v="Arranque planta"/>
    <s v="Planta general"/>
    <x v="5"/>
    <s v="Inicio de prensado"/>
  </r>
  <r>
    <x v="803"/>
    <x v="3"/>
    <x v="0"/>
    <d v="1899-12-30T13:10:00"/>
    <d v="1899-12-30T13:37:00"/>
    <n v="0.22500000000000001"/>
    <x v="0"/>
    <x v="2"/>
    <s v="Falla operativa"/>
    <s v="Planta general"/>
    <x v="5"/>
    <s v="Atraso esterilización"/>
  </r>
  <r>
    <x v="803"/>
    <x v="3"/>
    <x v="0"/>
    <d v="1899-12-30T15:10:00"/>
    <d v="1899-12-30T17:29:00"/>
    <n v="1.1583333333333332"/>
    <x v="0"/>
    <x v="0"/>
    <s v="Falla mecánica"/>
    <s v="Esterilización"/>
    <x v="67"/>
    <s v="Se descarrilo saliendo de la autoclave"/>
  </r>
  <r>
    <x v="803"/>
    <x v="3"/>
    <x v="0"/>
    <d v="1899-12-30T18:50:00"/>
    <d v="1899-12-30T19:20:00"/>
    <n v="0.25"/>
    <x v="0"/>
    <x v="0"/>
    <s v="Falla mecánica"/>
    <s v="Desfibración"/>
    <x v="46"/>
    <s v="Taponamiento"/>
  </r>
  <r>
    <x v="803"/>
    <x v="3"/>
    <x v="0"/>
    <d v="1899-12-30T18:13:00"/>
    <d v="1899-12-30T20:00:00"/>
    <n v="0.89166666666666661"/>
    <x v="0"/>
    <x v="1"/>
    <s v="Falla operativa"/>
    <s v="Planta general"/>
    <x v="4"/>
    <s v="Atraso esterilización"/>
  </r>
  <r>
    <x v="803"/>
    <x v="3"/>
    <x v="0"/>
    <d v="1899-12-30T21:14:00"/>
    <d v="1899-12-30T22:00:00"/>
    <n v="0.38333333333333336"/>
    <x v="0"/>
    <x v="0"/>
    <s v="Falla mecánica"/>
    <s v="Desfrutado"/>
    <x v="2"/>
    <s v="Motor se le dañaron los piñones"/>
  </r>
  <r>
    <x v="804"/>
    <x v="3"/>
    <x v="0"/>
    <d v="1899-12-30T16:47:00"/>
    <d v="1899-12-30T16:52:00"/>
    <n v="4.1666666666666664E-2"/>
    <x v="0"/>
    <x v="1"/>
    <s v="Falla operativa"/>
    <s v="Desfrutado"/>
    <x v="2"/>
    <s v="Acumulacion de fibra"/>
  </r>
  <r>
    <x v="804"/>
    <x v="3"/>
    <x v="0"/>
    <d v="1899-12-30T18:17:00"/>
    <d v="1899-12-30T18:40:00"/>
    <n v="0.19166666666666668"/>
    <x v="0"/>
    <x v="1"/>
    <s v="Falla operativa"/>
    <s v="Desfrutado"/>
    <x v="2"/>
    <s v="Taponamiento"/>
  </r>
  <r>
    <x v="804"/>
    <x v="3"/>
    <x v="0"/>
    <d v="1899-12-30T18:56:00"/>
    <d v="1899-12-30T19:52:00"/>
    <n v="0.46666666666666667"/>
    <x v="0"/>
    <x v="1"/>
    <s v="Falla operativa"/>
    <s v="Planta general"/>
    <x v="4"/>
    <s v="Atraso esterilización"/>
  </r>
  <r>
    <x v="804"/>
    <x v="3"/>
    <x v="0"/>
    <d v="1899-12-30T20:25:00"/>
    <d v="1899-12-30T20:49:00"/>
    <n v="0.2"/>
    <x v="0"/>
    <x v="1"/>
    <s v="Falla operativa"/>
    <s v="Desfrutado"/>
    <x v="2"/>
    <s v="Taponamiento"/>
  </r>
  <r>
    <x v="804"/>
    <x v="3"/>
    <x v="0"/>
    <d v="1899-12-30T21:35:00"/>
    <d v="1899-12-30T22:01:00"/>
    <n v="0.21666666666666667"/>
    <x v="0"/>
    <x v="1"/>
    <s v="Falla operativa"/>
    <s v="Planta general"/>
    <x v="4"/>
    <s v="Atraso esterilización"/>
  </r>
  <r>
    <x v="805"/>
    <x v="3"/>
    <x v="0"/>
    <d v="1899-12-30T09:55:00"/>
    <d v="1899-12-30T10:28:00"/>
    <n v="0.27500000000000002"/>
    <x v="0"/>
    <x v="0"/>
    <s v="Falla mecánica"/>
    <s v="Esterilización"/>
    <x v="67"/>
    <s v="Se descarrilo"/>
  </r>
  <r>
    <x v="805"/>
    <x v="3"/>
    <x v="0"/>
    <d v="1899-12-30T11:30:00"/>
    <d v="1899-12-30T15:05:00"/>
    <n v="1.7916666666666667"/>
    <x v="0"/>
    <x v="0"/>
    <s v="Falla mecánica"/>
    <s v="Desfibración"/>
    <x v="46"/>
    <s v="Motor se quemo"/>
  </r>
  <r>
    <x v="805"/>
    <x v="3"/>
    <x v="0"/>
    <d v="1899-12-30T16:10:00"/>
    <d v="1899-12-30T17:14:00"/>
    <n v="0.53333333333333333"/>
    <x v="0"/>
    <x v="0"/>
    <s v="Falla mecánica"/>
    <s v="Desfrutado"/>
    <x v="8"/>
    <s v="Se corrio el eje"/>
  </r>
  <r>
    <x v="805"/>
    <x v="3"/>
    <x v="0"/>
    <d v="1899-12-30T16:00:00"/>
    <d v="1899-12-30T16:40:00"/>
    <n v="0.33333333333333331"/>
    <x v="0"/>
    <x v="0"/>
    <s v="Falla mecánica"/>
    <s v="Desfrutado"/>
    <x v="8"/>
    <s v="Se cayo la cuña del piñon"/>
  </r>
  <r>
    <x v="805"/>
    <x v="3"/>
    <x v="0"/>
    <d v="1899-12-30T18:47:00"/>
    <d v="1899-12-30T22:00:00"/>
    <n v="1.6083333333333334"/>
    <x v="0"/>
    <x v="0"/>
    <s v="Falla mecánica"/>
    <s v="Desfrutado"/>
    <x v="2"/>
    <s v="Motor se le daño piñon"/>
  </r>
  <r>
    <x v="806"/>
    <x v="3"/>
    <x v="0"/>
    <d v="1899-12-30T06:00:00"/>
    <d v="1899-12-30T22:00:00"/>
    <n v="8"/>
    <x v="0"/>
    <x v="0"/>
    <s v="Falla mecánica"/>
    <s v="Desfrutado"/>
    <x v="2"/>
    <s v="Motor se le daño piñon"/>
  </r>
  <r>
    <x v="807"/>
    <x v="3"/>
    <x v="0"/>
    <d v="1899-12-30T06:00:00"/>
    <d v="1899-12-30T14:00:00"/>
    <n v="4"/>
    <x v="1"/>
    <x v="2"/>
    <s v="Mantenimiento programado"/>
    <s v="Planta general"/>
    <x v="5"/>
    <m/>
  </r>
  <r>
    <x v="807"/>
    <x v="3"/>
    <x v="0"/>
    <d v="1899-12-30T14:00:00"/>
    <d v="1899-12-30T18:30:00"/>
    <n v="2.25"/>
    <x v="1"/>
    <x v="2"/>
    <s v="Arranque planta"/>
    <s v="Planta general"/>
    <x v="5"/>
    <s v="Inicio de prensado"/>
  </r>
  <r>
    <x v="807"/>
    <x v="3"/>
    <x v="0"/>
    <d v="1899-12-30T19:15:00"/>
    <d v="1899-12-30T19:30:00"/>
    <n v="0.125"/>
    <x v="0"/>
    <x v="1"/>
    <s v="Falla operativa"/>
    <s v="Planta general"/>
    <x v="4"/>
    <s v="Atraso esterilización"/>
  </r>
  <r>
    <x v="807"/>
    <x v="3"/>
    <x v="0"/>
    <d v="1899-12-30T20:50:00"/>
    <d v="1899-12-30T21:00:00"/>
    <n v="8.3333333333333329E-2"/>
    <x v="0"/>
    <x v="1"/>
    <s v="Falla operativa"/>
    <s v="Planta general"/>
    <x v="4"/>
    <s v="Atraso esterilización"/>
  </r>
  <r>
    <x v="807"/>
    <x v="3"/>
    <x v="0"/>
    <d v="1899-12-30T00:09:00"/>
    <d v="1899-12-30T00:30:00"/>
    <n v="0.17499999999999999"/>
    <x v="0"/>
    <x v="1"/>
    <s v="Falla operativa"/>
    <s v="Planta general"/>
    <x v="4"/>
    <s v="Atraso esterilización"/>
  </r>
  <r>
    <x v="808"/>
    <x v="3"/>
    <x v="0"/>
    <d v="1899-12-30T06:00:00"/>
    <d v="1899-12-30T07:10:00"/>
    <n v="0.58333333333333337"/>
    <x v="0"/>
    <x v="1"/>
    <s v="Falla operativa"/>
    <s v="Generación de vapor"/>
    <x v="22"/>
    <s v="subiendo presion "/>
  </r>
  <r>
    <x v="808"/>
    <x v="3"/>
    <x v="0"/>
    <d v="1899-12-30T06:00:00"/>
    <d v="1899-12-30T11:13:00"/>
    <n v="2.6083333333333334"/>
    <x v="0"/>
    <x v="0"/>
    <s v="Falla mecánica"/>
    <s v="Esterilización"/>
    <x v="85"/>
    <s v="Mantenimiento en el puente"/>
  </r>
  <r>
    <x v="808"/>
    <x v="3"/>
    <x v="0"/>
    <d v="1899-12-30T11:52:00"/>
    <d v="1899-12-30T12:50:00"/>
    <n v="0.48333333333333334"/>
    <x v="0"/>
    <x v="1"/>
    <s v="Falla operativa"/>
    <s v="Planta general"/>
    <x v="4"/>
    <s v="Atraso esterilización"/>
  </r>
  <r>
    <x v="808"/>
    <x v="3"/>
    <x v="0"/>
    <d v="1899-12-30T14:38:00"/>
    <d v="1899-12-30T15:20:00"/>
    <n v="0.35"/>
    <x v="0"/>
    <x v="1"/>
    <s v="Falla operativa"/>
    <s v="Planta general"/>
    <x v="4"/>
    <s v="Atraso esterilización"/>
  </r>
  <r>
    <x v="808"/>
    <x v="3"/>
    <x v="0"/>
    <d v="1899-12-30T20:47:00"/>
    <d v="1899-12-30T21:15:00"/>
    <n v="0.23333333333333334"/>
    <x v="0"/>
    <x v="1"/>
    <s v="Falla operativa"/>
    <s v="Planta general"/>
    <x v="5"/>
    <s v="Se fue la luz"/>
  </r>
  <r>
    <x v="809"/>
    <x v="3"/>
    <x v="0"/>
    <d v="1899-12-30T06:00:00"/>
    <d v="1899-12-30T09:15:00"/>
    <n v="1.625"/>
    <x v="0"/>
    <x v="0"/>
    <s v="Falla mecánica"/>
    <s v="Clarificación"/>
    <x v="37"/>
    <s v="Rosca mala"/>
  </r>
  <r>
    <x v="810"/>
    <x v="3"/>
    <x v="0"/>
    <d v="1899-12-30T06:00:00"/>
    <d v="1899-12-30T10:47:00"/>
    <n v="2.3916666666666666"/>
    <x v="1"/>
    <x v="2"/>
    <s v="Arranque planta"/>
    <s v="Planta general"/>
    <x v="5"/>
    <m/>
  </r>
  <r>
    <x v="810"/>
    <x v="3"/>
    <x v="0"/>
    <d v="1899-12-30T13:25:00"/>
    <d v="1899-12-30T13:45:00"/>
    <n v="0.16666666666666666"/>
    <x v="0"/>
    <x v="1"/>
    <s v="Falla operativa"/>
    <s v="Planta general"/>
    <x v="4"/>
    <s v="Atraso esterilización"/>
  </r>
  <r>
    <x v="810"/>
    <x v="3"/>
    <x v="0"/>
    <d v="1899-12-30T14:19:00"/>
    <d v="1899-12-30T16:17:00"/>
    <n v="0.98333333333333339"/>
    <x v="0"/>
    <x v="1"/>
    <s v="Falla operativa"/>
    <s v="Planta general"/>
    <x v="4"/>
    <s v="Atraso esterilización"/>
  </r>
  <r>
    <x v="810"/>
    <x v="3"/>
    <x v="0"/>
    <d v="1899-12-30T17:20:00"/>
    <d v="1899-12-30T19:05:00"/>
    <n v="0.875"/>
    <x v="0"/>
    <x v="1"/>
    <s v="Falla operativa"/>
    <s v="Planta general"/>
    <x v="4"/>
    <s v="Atraso esterilización"/>
  </r>
  <r>
    <x v="811"/>
    <x v="3"/>
    <x v="0"/>
    <d v="1899-12-30T06:00:00"/>
    <d v="1899-12-30T08:00:00"/>
    <n v="1"/>
    <x v="1"/>
    <x v="2"/>
    <s v="Arranque planta"/>
    <s v="Planta general"/>
    <x v="5"/>
    <m/>
  </r>
  <r>
    <x v="811"/>
    <x v="3"/>
    <x v="0"/>
    <d v="1899-12-30T16:30:00"/>
    <d v="1899-12-30T17:30:00"/>
    <n v="0.5"/>
    <x v="0"/>
    <x v="1"/>
    <s v="Falla operativa"/>
    <s v="Planta general"/>
    <x v="4"/>
    <s v="Atraso esterilización"/>
  </r>
  <r>
    <x v="811"/>
    <x v="3"/>
    <x v="0"/>
    <d v="1899-12-30T21:20:00"/>
    <d v="1899-12-30T23:59:00"/>
    <n v="1.325"/>
    <x v="0"/>
    <x v="0"/>
    <s v="Falla mecánica"/>
    <s v="Esterilización"/>
    <x v="7"/>
    <s v="Rotura cadena transmision"/>
  </r>
  <r>
    <x v="812"/>
    <x v="3"/>
    <x v="0"/>
    <d v="1899-12-30T06:00:00"/>
    <d v="1899-12-30T06:40:00"/>
    <n v="0.33333333333333331"/>
    <x v="1"/>
    <x v="2"/>
    <s v="Arranque planta"/>
    <s v="Planta general"/>
    <x v="5"/>
    <m/>
  </r>
  <r>
    <x v="812"/>
    <x v="3"/>
    <x v="0"/>
    <d v="1899-12-30T15:00:00"/>
    <d v="1899-12-30T18:14:00"/>
    <n v="1.6166666666666667"/>
    <x v="0"/>
    <x v="0"/>
    <s v="Falla mecánica"/>
    <s v="Esterilización"/>
    <x v="7"/>
    <s v="Caido"/>
  </r>
  <r>
    <x v="812"/>
    <x v="3"/>
    <x v="0"/>
    <d v="1899-12-30T07:25:00"/>
    <d v="1899-12-30T08:20:00"/>
    <n v="0.45833333333333331"/>
    <x v="0"/>
    <x v="1"/>
    <s v="Falla operativa"/>
    <s v="Planta general"/>
    <x v="5"/>
    <s v="Se atrasa proceso porque estamos con una sola linea"/>
  </r>
  <r>
    <x v="812"/>
    <x v="3"/>
    <x v="0"/>
    <d v="1899-12-30T12:18:00"/>
    <d v="1899-12-30T13:50:00"/>
    <n v="0.76666666666666661"/>
    <x v="0"/>
    <x v="1"/>
    <s v="Falla operativa"/>
    <s v="Planta general"/>
    <x v="5"/>
    <s v="La compuerta de tolvas de recepcion no cerraban y se atraso la esterilizacion"/>
  </r>
  <r>
    <x v="813"/>
    <x v="3"/>
    <x v="0"/>
    <d v="1899-12-30T06:00:00"/>
    <d v="1899-12-30T10:12:00"/>
    <n v="2.1"/>
    <x v="0"/>
    <x v="0"/>
    <s v="Falla mecánica"/>
    <s v="Esterilización"/>
    <x v="7"/>
    <s v="Descadenado"/>
  </r>
  <r>
    <x v="813"/>
    <x v="3"/>
    <x v="0"/>
    <d v="1899-12-30T10:41:00"/>
    <d v="1899-12-30T11:15:00"/>
    <n v="0.28333333333333333"/>
    <x v="0"/>
    <x v="1"/>
    <s v="Falla operativa"/>
    <s v="Digestión y prensado"/>
    <x v="13"/>
    <s v="Poleas dañadas "/>
  </r>
  <r>
    <x v="813"/>
    <x v="3"/>
    <x v="0"/>
    <d v="1899-12-30T11:35:00"/>
    <d v="1899-12-30T14:40:00"/>
    <n v="1.5416666666666667"/>
    <x v="0"/>
    <x v="0"/>
    <s v="Falla mecánica"/>
    <s v="Generación de vapor"/>
    <x v="59"/>
    <s v="Valvula modulante dañada"/>
  </r>
  <r>
    <x v="813"/>
    <x v="3"/>
    <x v="0"/>
    <d v="1899-12-30T22:15:00"/>
    <d v="1899-12-30T22:40:00"/>
    <n v="0.20833333333333334"/>
    <x v="0"/>
    <x v="0"/>
    <s v="Falla mecánica"/>
    <s v="Palmistería"/>
    <x v="54"/>
    <s v="Taponamiento y tambor pulidor se le soldo una platina "/>
  </r>
  <r>
    <x v="814"/>
    <x v="3"/>
    <x v="0"/>
    <d v="1899-12-30T06:00:00"/>
    <d v="1899-12-30T07:00:00"/>
    <n v="0.5"/>
    <x v="1"/>
    <x v="2"/>
    <s v="Arranque planta"/>
    <s v="Planta general"/>
    <x v="5"/>
    <m/>
  </r>
  <r>
    <x v="814"/>
    <x v="3"/>
    <x v="0"/>
    <d v="1899-12-30T08:20:00"/>
    <d v="1899-12-30T13:14:00"/>
    <n v="2.4500000000000002"/>
    <x v="0"/>
    <x v="1"/>
    <s v="Falla mecánica"/>
    <s v="Esterilización"/>
    <x v="14"/>
    <s v="Se cayo y se revento una parte de la cadena"/>
  </r>
  <r>
    <x v="814"/>
    <x v="3"/>
    <x v="0"/>
    <d v="1899-12-30T15:10:00"/>
    <d v="1899-12-30T16:00:00"/>
    <n v="0.41666666666666669"/>
    <x v="0"/>
    <x v="0"/>
    <s v="Falla mecánica"/>
    <s v="Esterilización"/>
    <x v="18"/>
    <s v="Se descadeno"/>
  </r>
  <r>
    <x v="814"/>
    <x v="3"/>
    <x v="0"/>
    <d v="1899-12-30T16:48:00"/>
    <d v="1899-12-30T20:00:00"/>
    <n v="1.6"/>
    <x v="0"/>
    <x v="0"/>
    <s v="Falla mecánica"/>
    <s v="Esterilización"/>
    <x v="14"/>
    <s v="Se cayo y Redler #2 se descadeno"/>
  </r>
  <r>
    <x v="814"/>
    <x v="3"/>
    <x v="0"/>
    <d v="1899-12-30T21:00:00"/>
    <d v="1899-12-30T22:05:00"/>
    <n v="0.54166666666666663"/>
    <x v="0"/>
    <x v="0"/>
    <s v="Falla mecánica"/>
    <s v="Clarificación"/>
    <x v="48"/>
    <s v="Se tapo"/>
  </r>
  <r>
    <x v="814"/>
    <x v="3"/>
    <x v="0"/>
    <d v="1899-12-30T23:00:00"/>
    <d v="1899-12-30T23:34:00"/>
    <n v="0.28333333333333333"/>
    <x v="0"/>
    <x v="0"/>
    <s v="Falla mecánica"/>
    <s v="Esterilización"/>
    <x v="44"/>
    <s v="Descarrelada en el tambor"/>
  </r>
  <r>
    <x v="814"/>
    <x v="3"/>
    <x v="0"/>
    <d v="1899-12-30T01:50:00"/>
    <d v="1899-12-30T02:15:00"/>
    <n v="0.20833333333333334"/>
    <x v="0"/>
    <x v="1"/>
    <s v="Falla operativa"/>
    <s v="Planta general"/>
    <x v="4"/>
    <s v="Atraso esterilización"/>
  </r>
  <r>
    <x v="815"/>
    <x v="3"/>
    <x v="0"/>
    <d v="1899-12-30T06:00:00"/>
    <d v="1899-12-30T07:22:00"/>
    <n v="0.68333333333333335"/>
    <x v="1"/>
    <x v="2"/>
    <s v="Arranque planta"/>
    <s v="Planta general"/>
    <x v="5"/>
    <m/>
  </r>
  <r>
    <x v="815"/>
    <x v="3"/>
    <x v="0"/>
    <d v="1899-12-30T07:25:00"/>
    <d v="1899-12-30T08:17:00"/>
    <n v="0.43333333333333335"/>
    <x v="0"/>
    <x v="1"/>
    <s v="Falla operativa"/>
    <s v="Planta general"/>
    <x v="4"/>
    <s v="Atraso esterilización"/>
  </r>
  <r>
    <x v="815"/>
    <x v="3"/>
    <x v="0"/>
    <d v="1899-12-30T10:17:00"/>
    <d v="1899-12-30T13:07:00"/>
    <n v="1.4166666666666667"/>
    <x v="0"/>
    <x v="0"/>
    <s v="Falla mecánica"/>
    <s v="Esterilización"/>
    <x v="14"/>
    <s v="Se corrio un paso"/>
  </r>
  <r>
    <x v="815"/>
    <x v="3"/>
    <x v="0"/>
    <d v="1899-12-30T14:25:00"/>
    <d v="1899-12-30T15:19:00"/>
    <n v="0.45"/>
    <x v="0"/>
    <x v="0"/>
    <s v="Falla mecánica"/>
    <s v="Esterilización"/>
    <x v="14"/>
    <s v="Se corrio un paso"/>
  </r>
  <r>
    <x v="815"/>
    <x v="3"/>
    <x v="0"/>
    <d v="1899-12-30T18:45:00"/>
    <d v="1899-12-30T19:15:00"/>
    <n v="0.25"/>
    <x v="0"/>
    <x v="1"/>
    <s v="Falla operativa"/>
    <s v="Planta general"/>
    <x v="4"/>
    <s v="Atraso esterilización"/>
  </r>
  <r>
    <x v="815"/>
    <x v="3"/>
    <x v="0"/>
    <d v="1899-12-30T21:00:00"/>
    <d v="1899-12-30T21:48:00"/>
    <n v="0.4"/>
    <x v="0"/>
    <x v="1"/>
    <s v="Falla operativa"/>
    <s v="Planta general"/>
    <x v="5"/>
    <s v="Se fue la energia"/>
  </r>
  <r>
    <x v="815"/>
    <x v="3"/>
    <x v="0"/>
    <d v="1899-12-30T23:00:00"/>
    <d v="1899-12-30T23:59:00"/>
    <n v="0.49166666666666664"/>
    <x v="0"/>
    <x v="1"/>
    <s v="Falla operativa"/>
    <s v="Planta general"/>
    <x v="4"/>
    <s v="Atraso esterilización"/>
  </r>
  <r>
    <x v="816"/>
    <x v="3"/>
    <x v="0"/>
    <d v="1899-12-30T06:00:00"/>
    <d v="1899-12-30T14:00:00"/>
    <n v="8"/>
    <x v="1"/>
    <x v="2"/>
    <s v="Mantenimiento programado"/>
    <s v="Planta general"/>
    <x v="5"/>
    <s v="Mantenimiento "/>
  </r>
  <r>
    <x v="817"/>
    <x v="3"/>
    <x v="1"/>
    <d v="1899-12-30T06:00:00"/>
    <d v="1899-12-30T22:00:00"/>
    <n v="16"/>
    <x v="1"/>
    <x v="2"/>
    <s v="Mantenimiento programado"/>
    <s v="Planta general"/>
    <x v="5"/>
    <s v="Mantenimiento BOMBAS"/>
  </r>
  <r>
    <x v="818"/>
    <x v="3"/>
    <x v="1"/>
    <d v="1899-12-30T06:00:00"/>
    <d v="1899-12-30T22:00:00"/>
    <n v="16"/>
    <x v="1"/>
    <x v="2"/>
    <s v="Mantenimiento programado"/>
    <s v="Planta general"/>
    <x v="5"/>
    <s v="Mantenimiento BOMBAS"/>
  </r>
  <r>
    <x v="819"/>
    <x v="3"/>
    <x v="1"/>
    <d v="1899-12-30T06:00:00"/>
    <d v="1899-12-30T17:00:00"/>
    <n v="11"/>
    <x v="1"/>
    <x v="2"/>
    <s v="Mantenimiento programado"/>
    <s v="Planta general"/>
    <x v="5"/>
    <s v="Mantenimiento BOMBAS"/>
  </r>
  <r>
    <x v="819"/>
    <x v="3"/>
    <x v="1"/>
    <d v="1899-12-30T21:10:00"/>
    <d v="1899-12-30T22:10:00"/>
    <n v="0.5"/>
    <x v="0"/>
    <x v="0"/>
    <s v="Falla mecánica"/>
    <s v="Esterilización"/>
    <x v="67"/>
    <s v="DESCARRILAMIENTO"/>
  </r>
  <r>
    <x v="820"/>
    <x v="3"/>
    <x v="1"/>
    <d v="1899-12-30T08:00:00"/>
    <d v="1899-12-30T09:47:00"/>
    <n v="0.89166666666666661"/>
    <x v="0"/>
    <x v="0"/>
    <s v="Falla mecánica"/>
    <s v="Esterilización"/>
    <x v="85"/>
    <s v="REPARACION GUIAS"/>
  </r>
  <r>
    <x v="820"/>
    <x v="3"/>
    <x v="1"/>
    <d v="1899-12-30T11:26:00"/>
    <d v="1899-12-30T12:18:00"/>
    <n v="0.43333333333333335"/>
    <x v="0"/>
    <x v="1"/>
    <s v="Falla operativa"/>
    <s v="Clarificación"/>
    <x v="16"/>
    <s v="Taponamiento"/>
  </r>
  <r>
    <x v="821"/>
    <x v="3"/>
    <x v="1"/>
    <d v="1899-12-30T06:00:00"/>
    <d v="1899-12-30T10:45:00"/>
    <n v="2.375"/>
    <x v="0"/>
    <x v="0"/>
    <s v="Falla mecánica"/>
    <s v="Digestión y prensado"/>
    <x v="86"/>
    <s v="Eje prensa partido"/>
  </r>
  <r>
    <x v="821"/>
    <x v="3"/>
    <x v="1"/>
    <d v="1899-12-30T23:30:00"/>
    <d v="1899-12-31T00:05:00"/>
    <n v="0.29166666666666669"/>
    <x v="1"/>
    <x v="2"/>
    <s v="Falla mecánica"/>
    <s v="Esterilización"/>
    <x v="32"/>
    <s v="Autoclave en mantenimiento"/>
  </r>
  <r>
    <x v="821"/>
    <x v="3"/>
    <x v="1"/>
    <d v="1899-12-30T01:10:00"/>
    <d v="1899-12-30T01:56:00"/>
    <n v="0.38333333333333336"/>
    <x v="1"/>
    <x v="2"/>
    <s v="Falla mecánica"/>
    <s v="Esterilización"/>
    <x v="32"/>
    <s v="Autoclave en mantenimiento"/>
  </r>
  <r>
    <x v="822"/>
    <x v="3"/>
    <x v="1"/>
    <d v="1899-12-30T06:00:00"/>
    <d v="1899-12-30T07:40:00"/>
    <n v="0.83333333333333326"/>
    <x v="1"/>
    <x v="2"/>
    <s v="Arranque planta"/>
    <s v="Planta general"/>
    <x v="5"/>
    <m/>
  </r>
  <r>
    <x v="822"/>
    <x v="3"/>
    <x v="1"/>
    <d v="1899-12-30T13:20:00"/>
    <d v="1899-12-30T14:01:00"/>
    <n v="0.34166666666666667"/>
    <x v="0"/>
    <x v="1"/>
    <s v="Falla operativa"/>
    <s v="Digestión y prensado"/>
    <x v="86"/>
    <s v="Falta de fruto esterilizado porqué arranco tarde la esterilizada"/>
  </r>
  <r>
    <x v="822"/>
    <x v="3"/>
    <x v="1"/>
    <d v="1899-12-30T21:20:00"/>
    <d v="1899-12-30T22:10:00"/>
    <n v="0.41666666666666669"/>
    <x v="0"/>
    <x v="0"/>
    <s v="Falla mecánica"/>
    <s v="Digestión y prensado"/>
    <x v="86"/>
    <s v="Se le puso parche a la canasta"/>
  </r>
  <r>
    <x v="823"/>
    <x v="3"/>
    <x v="1"/>
    <d v="1899-12-30T06:00:00"/>
    <d v="1899-12-30T07:10:00"/>
    <n v="0.58333333333333337"/>
    <x v="1"/>
    <x v="2"/>
    <s v="Arranque planta"/>
    <s v="Planta general"/>
    <x v="5"/>
    <m/>
  </r>
  <r>
    <x v="823"/>
    <x v="3"/>
    <x v="1"/>
    <d v="1899-12-30T06:00:00"/>
    <d v="1899-12-30T10:50:00"/>
    <n v="2.4166666666666665"/>
    <x v="1"/>
    <x v="2"/>
    <s v="Falla mecánica"/>
    <s v="Digestión y prensado"/>
    <x v="13"/>
    <s v="Cambio de tornillos y canasta"/>
  </r>
  <r>
    <x v="823"/>
    <x v="3"/>
    <x v="1"/>
    <d v="1899-12-30T12:10:00"/>
    <d v="1899-12-30T12:50:00"/>
    <n v="0.33333333333333331"/>
    <x v="0"/>
    <x v="1"/>
    <s v="Falla operativa"/>
    <s v="Desfrutado"/>
    <x v="2"/>
    <s v="Anillos tapados"/>
  </r>
  <r>
    <x v="823"/>
    <x v="3"/>
    <x v="1"/>
    <d v="1899-12-30T14:15:00"/>
    <d v="1899-12-30T16:00:00"/>
    <n v="0.875"/>
    <x v="0"/>
    <x v="0"/>
    <s v="Falla mecánica"/>
    <s v="Digestión y prensado"/>
    <x v="86"/>
    <s v="Eje partido"/>
  </r>
  <r>
    <x v="823"/>
    <x v="3"/>
    <x v="1"/>
    <d v="1899-12-30T16:00:00"/>
    <d v="1899-12-30T23:59:00"/>
    <n v="3.9916666666666667"/>
    <x v="0"/>
    <x v="0"/>
    <s v="Falla mecánica"/>
    <s v="Digestión y prensado"/>
    <x v="86"/>
    <s v="Se partio eje de la trasmisión"/>
  </r>
  <r>
    <x v="823"/>
    <x v="3"/>
    <x v="1"/>
    <d v="1899-12-30T00:00:00"/>
    <d v="1899-12-30T02:00:00"/>
    <n v="1"/>
    <x v="0"/>
    <x v="0"/>
    <s v="Falla mecánica"/>
    <s v="Digestión y prensado"/>
    <x v="86"/>
    <s v="Se partio eje de la trasmisión"/>
  </r>
  <r>
    <x v="824"/>
    <x v="3"/>
    <x v="1"/>
    <d v="1899-12-30T06:00:00"/>
    <d v="1899-12-30T12:00:00"/>
    <n v="6"/>
    <x v="1"/>
    <x v="2"/>
    <s v="Arranque planta"/>
    <s v="Planta general"/>
    <x v="5"/>
    <s v="Limpieza de caldera"/>
  </r>
  <r>
    <x v="824"/>
    <x v="3"/>
    <x v="1"/>
    <d v="1899-12-30T13:30:00"/>
    <d v="1899-12-30T14:02:00"/>
    <n v="0.26666666666666666"/>
    <x v="0"/>
    <x v="1"/>
    <s v="Falla operativa"/>
    <s v="Planta generación de vapor"/>
    <x v="22"/>
    <s v="Falta de fibra y atraso en esterilización"/>
  </r>
  <r>
    <x v="825"/>
    <x v="3"/>
    <x v="1"/>
    <d v="1899-12-30T06:00:00"/>
    <d v="1899-12-30T08:15:00"/>
    <n v="2.25"/>
    <x v="1"/>
    <x v="2"/>
    <s v="Arranque planta"/>
    <s v="Planta general"/>
    <x v="5"/>
    <s v="Limpieza de caldera"/>
  </r>
  <r>
    <x v="825"/>
    <x v="3"/>
    <x v="1"/>
    <d v="1899-12-30T16:10:00"/>
    <d v="1899-12-30T16:20:00"/>
    <n v="8.3333333333333329E-2"/>
    <x v="0"/>
    <x v="0"/>
    <s v="Falla mecánica"/>
    <s v="Esterilización"/>
    <x v="18"/>
    <s v="Rotura de cadena"/>
  </r>
  <r>
    <x v="825"/>
    <x v="3"/>
    <x v="1"/>
    <d v="1899-12-30T08:15:00"/>
    <d v="1899-12-30T22:00:00"/>
    <n v="6.875"/>
    <x v="0"/>
    <x v="0"/>
    <s v="Falla mecánica"/>
    <s v="Digestión y prensado"/>
    <x v="86"/>
    <s v="eje de transmision roto"/>
  </r>
  <r>
    <x v="826"/>
    <x v="3"/>
    <x v="1"/>
    <d v="1899-12-30T06:00:00"/>
    <d v="1899-12-30T10:25:00"/>
    <n v="4.416666666666667"/>
    <x v="0"/>
    <x v="3"/>
    <s v="Fluído eléctrico"/>
    <s v="Planta general"/>
    <x v="5"/>
    <s v="corte energia electrica / falta acpm."/>
  </r>
  <r>
    <x v="826"/>
    <x v="3"/>
    <x v="1"/>
    <d v="1899-12-30T10:50:00"/>
    <d v="1899-12-30T11:12:00"/>
    <n v="0.18333333333333332"/>
    <x v="0"/>
    <x v="0"/>
    <s v="Falla mecánica"/>
    <s v="Desfrutado"/>
    <x v="19"/>
    <s v="Desacoplamiento acople reductor"/>
  </r>
  <r>
    <x v="826"/>
    <x v="3"/>
    <x v="1"/>
    <d v="1899-12-30T10:25:00"/>
    <d v="1899-12-30T22:00:00"/>
    <n v="5.791666666666667"/>
    <x v="0"/>
    <x v="0"/>
    <s v="Falla mecánica"/>
    <s v="Digestión y prensado"/>
    <x v="86"/>
    <s v="eje de transmision roto"/>
  </r>
  <r>
    <x v="827"/>
    <x v="3"/>
    <x v="1"/>
    <d v="1899-12-30T06:00:00"/>
    <d v="1899-12-30T07:00:00"/>
    <n v="1"/>
    <x v="1"/>
    <x v="2"/>
    <s v="Arranque planta"/>
    <s v="Planta general"/>
    <x v="5"/>
    <s v="Limpieza de caldera"/>
  </r>
  <r>
    <x v="827"/>
    <x v="3"/>
    <x v="1"/>
    <d v="1899-12-30T08:13:00"/>
    <d v="1899-12-30T09:12:00"/>
    <n v="0.49166666666666664"/>
    <x v="0"/>
    <x v="1"/>
    <s v="Falla operativa"/>
    <s v="Clarificación"/>
    <x v="33"/>
    <s v="Taponamiento tubera a tanques de almacenamiento"/>
  </r>
  <r>
    <x v="827"/>
    <x v="3"/>
    <x v="1"/>
    <d v="1899-12-30T12:32:00"/>
    <d v="1899-12-30T12:50:00"/>
    <n v="0.15"/>
    <x v="0"/>
    <x v="0"/>
    <s v="Falla mecánica"/>
    <s v="Planta generación de vapor"/>
    <x v="9"/>
    <s v="Rotura tornillos acoplamiento sinfines"/>
  </r>
  <r>
    <x v="827"/>
    <x v="3"/>
    <x v="1"/>
    <d v="1899-12-30T15:16:00"/>
    <d v="1899-12-30T15:42:00"/>
    <n v="0.21666666666666667"/>
    <x v="1"/>
    <x v="2"/>
    <s v="Pruebas y ensayos"/>
    <s v="Digestión y prensado"/>
    <x v="86"/>
    <s v="alineacion de reductor"/>
  </r>
  <r>
    <x v="827"/>
    <x v="3"/>
    <x v="1"/>
    <d v="1899-12-30T16:20:00"/>
    <d v="1899-12-30T16:40:00"/>
    <n v="0.16666666666666666"/>
    <x v="1"/>
    <x v="2"/>
    <s v="Pruebas y ensayos"/>
    <s v="Digestión y prensado"/>
    <x v="86"/>
    <s v="alineacion de reductor"/>
  </r>
  <r>
    <x v="827"/>
    <x v="3"/>
    <x v="1"/>
    <d v="1899-12-30T17:40:00"/>
    <d v="1899-12-30T18:35:00"/>
    <n v="0.45833333333333331"/>
    <x v="0"/>
    <x v="0"/>
    <s v="Falla mecánica"/>
    <s v="Digestión y prensado"/>
    <x v="28"/>
    <s v="Rotura cadena transmision"/>
  </r>
  <r>
    <x v="827"/>
    <x v="3"/>
    <x v="1"/>
    <d v="1899-12-30T07:00:00"/>
    <d v="1899-12-30T17:00:00"/>
    <n v="5"/>
    <x v="0"/>
    <x v="0"/>
    <s v="Falla mecánica"/>
    <s v="Digestión y prensado"/>
    <x v="86"/>
    <s v="eje de transmision roto"/>
  </r>
  <r>
    <x v="827"/>
    <x v="3"/>
    <x v="1"/>
    <d v="1899-12-30T18:45:00"/>
    <d v="1899-12-30T18:50:00"/>
    <n v="4.1666666666666664E-2"/>
    <x v="0"/>
    <x v="0"/>
    <s v="Falla mecánica"/>
    <s v="Digestión y prensado"/>
    <x v="86"/>
    <s v="Tuberia licor tapado"/>
  </r>
  <r>
    <x v="828"/>
    <x v="3"/>
    <x v="1"/>
    <d v="1899-12-30T06:00:00"/>
    <d v="1899-12-30T11:30:00"/>
    <n v="5.5"/>
    <x v="0"/>
    <x v="3"/>
    <s v="Fluído eléctrico"/>
    <s v="Planta general"/>
    <x v="5"/>
    <s v="corte energia electrica / falta acpm."/>
  </r>
  <r>
    <x v="828"/>
    <x v="3"/>
    <x v="1"/>
    <d v="1899-12-30T16:25:00"/>
    <d v="1899-12-30T17:30:00"/>
    <n v="1.0833333333333333"/>
    <x v="0"/>
    <x v="0"/>
    <s v="Falla mecánica"/>
    <s v="Desfrutado"/>
    <x v="19"/>
    <s v="Desacoplamiento acople reductor"/>
  </r>
  <r>
    <x v="828"/>
    <x v="3"/>
    <x v="1"/>
    <d v="1899-12-30T11:30:00"/>
    <d v="1899-12-30T13:00:00"/>
    <n v="0.75"/>
    <x v="0"/>
    <x v="3"/>
    <s v="Fluído eléctrico"/>
    <s v="Digestión y prensado"/>
    <x v="86"/>
    <s v="Insuficiencia en capacidad de planta"/>
  </r>
  <r>
    <x v="829"/>
    <x v="3"/>
    <x v="1"/>
    <d v="1899-12-30T06:00:00"/>
    <d v="1899-12-30T07:38:00"/>
    <n v="1.6333333333333333"/>
    <x v="1"/>
    <x v="2"/>
    <s v="Arranque planta"/>
    <s v="Planta general"/>
    <x v="5"/>
    <s v="Arranque"/>
  </r>
  <r>
    <x v="829"/>
    <x v="3"/>
    <x v="1"/>
    <d v="1899-12-30T10:10:00"/>
    <d v="1899-12-30T12:52:00"/>
    <n v="1.35"/>
    <x v="0"/>
    <x v="0"/>
    <s v="Falla mecánica"/>
    <s v="Recepción"/>
    <x v="7"/>
    <s v="Descadenamiento"/>
  </r>
  <r>
    <x v="829"/>
    <x v="3"/>
    <x v="1"/>
    <d v="1899-12-30T16:00:00"/>
    <d v="1899-12-30T21:40:00"/>
    <n v="2.8333333333333335"/>
    <x v="0"/>
    <x v="0"/>
    <s v="Falla mecánica"/>
    <s v="Recepción"/>
    <x v="7"/>
    <s v="Descadenamiento"/>
  </r>
  <r>
    <x v="829"/>
    <x v="3"/>
    <x v="1"/>
    <d v="1899-12-30T07:38:00"/>
    <d v="1899-12-30T14:22:00"/>
    <n v="3.3666666666666667"/>
    <x v="0"/>
    <x v="0"/>
    <s v="Falla mecánica"/>
    <s v="Recepción"/>
    <x v="7"/>
    <s v="Descadenamiento"/>
  </r>
  <r>
    <x v="829"/>
    <x v="3"/>
    <x v="1"/>
    <d v="1899-12-30T15:00:00"/>
    <d v="1899-12-30T23:59:00"/>
    <n v="4.4916666666666663"/>
    <x v="0"/>
    <x v="0"/>
    <s v="Falla mecánica"/>
    <s v="Recepción"/>
    <x v="7"/>
    <s v="Descadenamiento"/>
  </r>
  <r>
    <x v="829"/>
    <x v="3"/>
    <x v="1"/>
    <d v="1899-12-30T00:00:00"/>
    <d v="1899-12-30T01:42:00"/>
    <n v="0.85"/>
    <x v="0"/>
    <x v="0"/>
    <s v="Falla mecánica"/>
    <s v="Recepción"/>
    <x v="7"/>
    <s v="Descadenamiento"/>
  </r>
  <r>
    <x v="830"/>
    <x v="3"/>
    <x v="1"/>
    <d v="1899-12-30T06:00:00"/>
    <d v="1899-12-30T18:00:00"/>
    <n v="12"/>
    <x v="1"/>
    <x v="2"/>
    <s v="Mantenimiento programado"/>
    <s v="Planta general"/>
    <x v="5"/>
    <s v="Mantenimiento general de planta "/>
  </r>
  <r>
    <x v="831"/>
    <x v="3"/>
    <x v="1"/>
    <d v="1899-12-30T06:00:00"/>
    <d v="1899-12-30T07:40:00"/>
    <n v="1.6666666666666665"/>
    <x v="1"/>
    <x v="2"/>
    <s v="Arranque planta"/>
    <s v="Planta general"/>
    <x v="5"/>
    <s v="Arranque"/>
  </r>
  <r>
    <x v="831"/>
    <x v="3"/>
    <x v="1"/>
    <d v="1899-12-30T14:20:00"/>
    <d v="1899-12-30T14:48:00"/>
    <n v="0.46666666666666667"/>
    <x v="0"/>
    <x v="0"/>
    <s v="Falla mecánica"/>
    <s v="Desfibración"/>
    <x v="72"/>
    <s v="Corto en bornera"/>
  </r>
  <r>
    <x v="831"/>
    <x v="3"/>
    <x v="1"/>
    <d v="1899-12-30T17:05:00"/>
    <d v="1899-12-30T17:25:00"/>
    <n v="0.33333333333333331"/>
    <x v="0"/>
    <x v="0"/>
    <s v="Falla mecánica"/>
    <s v="Desfibración"/>
    <x v="72"/>
    <s v="Se sale cuña"/>
  </r>
  <r>
    <x v="831"/>
    <x v="3"/>
    <x v="1"/>
    <d v="1899-12-30T18:53:00"/>
    <d v="1899-12-30T19:36:00"/>
    <n v="0.71666666666666667"/>
    <x v="0"/>
    <x v="0"/>
    <s v="Falla eléctrica"/>
    <s v="Clarificación"/>
    <x v="55"/>
    <s v="corto en motor"/>
  </r>
  <r>
    <x v="831"/>
    <x v="3"/>
    <x v="1"/>
    <d v="1899-12-30T08:41:00"/>
    <d v="1899-12-30T09:27:00"/>
    <n v="0.38333333333333336"/>
    <x v="0"/>
    <x v="1"/>
    <s v="Otra"/>
    <s v="Clarificación"/>
    <x v="33"/>
    <s v="Tuberia a tks almacenamiento tapada"/>
  </r>
  <r>
    <x v="832"/>
    <x v="3"/>
    <x v="1"/>
    <d v="1899-12-30T06:00:00"/>
    <d v="1899-12-30T14:00:00"/>
    <n v="8"/>
    <x v="1"/>
    <x v="2"/>
    <s v="Mantenimiento programado"/>
    <s v="Planta general"/>
    <x v="5"/>
    <s v="Mantenimiento general de planta "/>
  </r>
  <r>
    <x v="832"/>
    <x v="3"/>
    <x v="1"/>
    <d v="1899-12-30T17:00:00"/>
    <d v="1899-12-30T17:36:00"/>
    <n v="0.6"/>
    <x v="0"/>
    <x v="0"/>
    <s v="Falla eléctrica"/>
    <s v="Clarificación"/>
    <x v="105"/>
    <s v="corto en motor"/>
  </r>
  <r>
    <x v="832"/>
    <x v="3"/>
    <x v="1"/>
    <d v="1899-12-30T19:30:00"/>
    <d v="1899-12-30T20:00:00"/>
    <n v="0.25"/>
    <x v="0"/>
    <x v="0"/>
    <s v="Falla mecánica"/>
    <s v="Esterilización"/>
    <x v="17"/>
    <s v="Rotura de cadena"/>
  </r>
  <r>
    <x v="833"/>
    <x v="3"/>
    <x v="1"/>
    <d v="1899-12-30T06:00:00"/>
    <d v="1899-12-30T10:00:00"/>
    <n v="4"/>
    <x v="1"/>
    <x v="2"/>
    <s v="Arranque planta"/>
    <s v="Planta general"/>
    <x v="5"/>
    <s v="Arranque"/>
  </r>
  <r>
    <x v="833"/>
    <x v="3"/>
    <x v="1"/>
    <d v="1899-12-30T14:42:00"/>
    <d v="1899-12-30T15:08:00"/>
    <n v="0.21666666666666667"/>
    <x v="0"/>
    <x v="0"/>
    <s v="Falla mecánica"/>
    <s v="Desfrutado"/>
    <x v="8"/>
    <s v="Cangilon rajado"/>
  </r>
  <r>
    <x v="833"/>
    <x v="3"/>
    <x v="1"/>
    <d v="1899-12-30T16:00:00"/>
    <d v="1899-12-30T16:25:00"/>
    <n v="0.41666666666666669"/>
    <x v="0"/>
    <x v="1"/>
    <s v="Otra"/>
    <s v="Desfrutado"/>
    <x v="2"/>
    <s v="Tambor tapado"/>
  </r>
  <r>
    <x v="833"/>
    <x v="3"/>
    <x v="1"/>
    <d v="1899-12-30T14:00:00"/>
    <d v="1899-12-30T15:30:00"/>
    <n v="0.75"/>
    <x v="0"/>
    <x v="1"/>
    <s v="Falla operativa"/>
    <s v="Clarificación"/>
    <x v="49"/>
    <s v="acumulacion de aceite"/>
  </r>
  <r>
    <x v="833"/>
    <x v="3"/>
    <x v="1"/>
    <d v="1899-12-30T18:30:00"/>
    <d v="1899-12-30T19:03:00"/>
    <n v="0.27500000000000002"/>
    <x v="0"/>
    <x v="1"/>
    <s v="Falla operativa"/>
    <s v="Esterilización"/>
    <x v="5"/>
    <s v="Atraso esterilización"/>
  </r>
  <r>
    <x v="834"/>
    <x v="3"/>
    <x v="1"/>
    <d v="1899-12-30T06:00:00"/>
    <d v="1899-12-30T08:31:00"/>
    <n v="2.5166666666666666"/>
    <x v="1"/>
    <x v="2"/>
    <s v="Arranque planta"/>
    <s v="Planta general"/>
    <x v="5"/>
    <s v="Arranque"/>
  </r>
  <r>
    <x v="834"/>
    <x v="3"/>
    <x v="1"/>
    <d v="1899-12-30T10:10:00"/>
    <d v="1899-12-30T10:39:00"/>
    <n v="0.48333333333333334"/>
    <x v="0"/>
    <x v="0"/>
    <s v="Falla mecánica"/>
    <s v="Desfrutado"/>
    <x v="8"/>
    <s v="Descadenamiento piñon inferior"/>
  </r>
  <r>
    <x v="834"/>
    <x v="3"/>
    <x v="1"/>
    <d v="1899-12-30T22:25:00"/>
    <d v="1899-12-30T22:43:00"/>
    <n v="0.3"/>
    <x v="0"/>
    <x v="3"/>
    <s v="Fluído eléctrico"/>
    <s v="Planta general"/>
    <x v="5"/>
    <s v="atraso por falla en fluido electrico"/>
  </r>
  <r>
    <x v="834"/>
    <x v="3"/>
    <x v="1"/>
    <d v="1899-12-30T08:00:00"/>
    <d v="1899-12-30T08:55:00"/>
    <n v="0.45833333333333331"/>
    <x v="0"/>
    <x v="1"/>
    <s v="Falla operativa"/>
    <s v="Clarificación"/>
    <x v="39"/>
    <s v="Acumulacion de lodos en canales"/>
  </r>
  <r>
    <x v="835"/>
    <x v="3"/>
    <x v="1"/>
    <d v="1899-12-30T06:00:00"/>
    <d v="1899-12-30T18:00:00"/>
    <n v="12"/>
    <x v="1"/>
    <x v="2"/>
    <s v="Mantenimiento programado"/>
    <s v="Planta general"/>
    <x v="5"/>
    <m/>
  </r>
  <r>
    <x v="836"/>
    <x v="3"/>
    <x v="1"/>
    <d v="1899-12-30T06:00:00"/>
    <d v="1899-12-30T22:00:00"/>
    <n v="16"/>
    <x v="1"/>
    <x v="2"/>
    <s v="Mantenimiento programado"/>
    <s v="Planta general"/>
    <x v="5"/>
    <m/>
  </r>
  <r>
    <x v="837"/>
    <x v="3"/>
    <x v="1"/>
    <d v="1899-12-30T06:00:00"/>
    <d v="1899-12-30T07:15:00"/>
    <n v="1.25"/>
    <x v="1"/>
    <x v="2"/>
    <s v="Arranque planta"/>
    <s v="Planta general"/>
    <x v="5"/>
    <s v="Arranque"/>
  </r>
  <r>
    <x v="838"/>
    <x v="3"/>
    <x v="1"/>
    <d v="1899-12-30T06:00:00"/>
    <d v="1899-12-30T07:46:00"/>
    <n v="1.7666666666666666"/>
    <x v="1"/>
    <x v="2"/>
    <s v="Arranque planta"/>
    <s v="Planta general"/>
    <x v="5"/>
    <s v="Arranque"/>
  </r>
  <r>
    <x v="838"/>
    <x v="3"/>
    <x v="1"/>
    <d v="1899-12-30T14:10:00"/>
    <d v="1899-12-30T15:25:00"/>
    <n v="1.25"/>
    <x v="0"/>
    <x v="0"/>
    <s v="Falla mecánica"/>
    <s v="Desfrutado"/>
    <x v="8"/>
    <s v="Descadenamiento piñon inferior"/>
  </r>
  <r>
    <x v="838"/>
    <x v="3"/>
    <x v="1"/>
    <d v="1899-12-30T17:25:00"/>
    <d v="1899-12-30T17:55:00"/>
    <n v="0.5"/>
    <x v="0"/>
    <x v="0"/>
    <s v="Falla mecánica"/>
    <s v="Desfrutado"/>
    <x v="8"/>
    <s v="Descadenamiento piñon inferior"/>
  </r>
  <r>
    <x v="838"/>
    <x v="3"/>
    <x v="1"/>
    <d v="1899-12-30T07:46:00"/>
    <d v="1899-12-30T10:30:00"/>
    <n v="1.3666666666666667"/>
    <x v="0"/>
    <x v="1"/>
    <s v="Arranque planta"/>
    <s v="Esterilización"/>
    <x v="5"/>
    <s v="Atraso esterilización, solo se inicia con 20 ton"/>
  </r>
  <r>
    <x v="838"/>
    <x v="3"/>
    <x v="1"/>
    <d v="1899-12-30T12:35:00"/>
    <d v="1899-12-30T13:44:00"/>
    <n v="0.57499999999999996"/>
    <x v="0"/>
    <x v="1"/>
    <s v="Falla operativa"/>
    <s v="Clarificación"/>
    <x v="100"/>
    <s v="acumulacion por falta de agua"/>
  </r>
  <r>
    <x v="839"/>
    <x v="3"/>
    <x v="2"/>
    <d v="1899-12-30T06:00:00"/>
    <d v="1899-12-30T14:00:00"/>
    <n v="8"/>
    <x v="1"/>
    <x v="2"/>
    <s v="Mantenimiento programado"/>
    <s v="Planta general"/>
    <x v="5"/>
    <m/>
  </r>
  <r>
    <x v="839"/>
    <x v="3"/>
    <x v="2"/>
    <d v="1899-12-30T14:20:00"/>
    <d v="1899-12-30T16:45:00"/>
    <n v="2.4166666666666665"/>
    <x v="0"/>
    <x v="0"/>
    <s v="Falla mecánica"/>
    <s v="Planta generación de vapor"/>
    <x v="59"/>
    <s v="No abre por diafragma actuador roto"/>
  </r>
  <r>
    <x v="840"/>
    <x v="3"/>
    <x v="2"/>
    <d v="1899-12-30T06:00:00"/>
    <d v="1899-12-30T07:00:00"/>
    <n v="1"/>
    <x v="1"/>
    <x v="2"/>
    <s v="Arranque planta"/>
    <s v="Planta general"/>
    <x v="5"/>
    <s v="Arranque"/>
  </r>
  <r>
    <x v="840"/>
    <x v="3"/>
    <x v="2"/>
    <d v="1899-12-30T14:25:00"/>
    <d v="1899-12-30T18:33:00"/>
    <n v="4.1333333333333337"/>
    <x v="0"/>
    <x v="0"/>
    <s v="Falla mecánica"/>
    <s v="Esterilización"/>
    <x v="56"/>
    <s v="rotura cadena transporte"/>
  </r>
  <r>
    <x v="841"/>
    <x v="3"/>
    <x v="2"/>
    <d v="1899-12-30T06:00:00"/>
    <d v="1899-12-30T14:00:00"/>
    <n v="8"/>
    <x v="1"/>
    <x v="2"/>
    <s v="Mantenimiento programado"/>
    <s v="Planta general"/>
    <x v="5"/>
    <m/>
  </r>
  <r>
    <x v="842"/>
    <x v="3"/>
    <x v="2"/>
    <d v="1899-12-30T18:00:00"/>
    <d v="1899-12-30T19:20:00"/>
    <n v="1.3333333333333333"/>
    <x v="0"/>
    <x v="0"/>
    <s v="Falla mecánica"/>
    <s v="Esterilización "/>
    <x v="96"/>
    <s v="Falla puesta a tierra, soltura de polea"/>
  </r>
  <r>
    <x v="842"/>
    <x v="3"/>
    <x v="2"/>
    <d v="1899-12-30T19:20:00"/>
    <d v="1899-12-30T20:26:00"/>
    <n v="0.55000000000000004"/>
    <x v="0"/>
    <x v="0"/>
    <s v="Falla mecánica"/>
    <s v="Esterilización "/>
    <x v="96"/>
    <s v="Falla puesta a tierra, soltura de polea"/>
  </r>
  <r>
    <x v="843"/>
    <x v="3"/>
    <x v="2"/>
    <d v="1899-12-30T14:00:00"/>
    <d v="1899-12-30T14:38:00"/>
    <n v="0.6333333333333333"/>
    <x v="1"/>
    <x v="2"/>
    <s v="Arranque planta"/>
    <s v="Planta general"/>
    <x v="5"/>
    <s v="Arranque"/>
  </r>
  <r>
    <x v="843"/>
    <x v="3"/>
    <x v="2"/>
    <d v="1899-12-30T17:25:00"/>
    <d v="1899-12-30T17:45:00"/>
    <n v="0.16666666666666666"/>
    <x v="0"/>
    <x v="1"/>
    <s v="Falla operativa"/>
    <s v="Clarificación"/>
    <x v="16"/>
    <s v="Taponamiento"/>
  </r>
  <r>
    <x v="844"/>
    <x v="3"/>
    <x v="2"/>
    <d v="1899-12-30T14:00:00"/>
    <d v="1899-12-30T14:10:00"/>
    <n v="0.16666666666666666"/>
    <x v="1"/>
    <x v="2"/>
    <s v="Arranque planta"/>
    <s v="Planta general"/>
    <x v="5"/>
    <s v="Arranque"/>
  </r>
  <r>
    <x v="844"/>
    <x v="3"/>
    <x v="2"/>
    <d v="1899-12-30T16:55:00"/>
    <d v="1899-12-30T18:20:00"/>
    <n v="0.70833333333333337"/>
    <x v="0"/>
    <x v="1"/>
    <s v="Falla operativa"/>
    <s v="Desfrutado"/>
    <x v="2"/>
    <s v="Taponamiento tambor"/>
  </r>
  <r>
    <x v="845"/>
    <x v="3"/>
    <x v="2"/>
    <d v="1899-12-30T14:00:00"/>
    <d v="1899-12-30T14:55:00"/>
    <n v="0.91666666666666663"/>
    <x v="0"/>
    <x v="1"/>
    <s v="Falla operativa"/>
    <s v="Esterilización "/>
    <x v="106"/>
    <s v="perdida de señal de video"/>
  </r>
  <r>
    <x v="845"/>
    <x v="3"/>
    <x v="2"/>
    <d v="1899-12-30T21:00:00"/>
    <d v="1899-12-30T21:15:00"/>
    <n v="0.25"/>
    <x v="0"/>
    <x v="3"/>
    <s v="Fluído eléctrico"/>
    <s v="Planta general"/>
    <x v="5"/>
    <s v="Falla fluido electrico"/>
  </r>
  <r>
    <x v="846"/>
    <x v="3"/>
    <x v="2"/>
    <d v="1899-12-30T13:00:00"/>
    <d v="1899-12-30T14:10:00"/>
    <n v="1.1666666666666667"/>
    <x v="1"/>
    <x v="2"/>
    <s v="Arranque planta"/>
    <s v="Planta general"/>
    <x v="5"/>
    <s v="Arranque"/>
  </r>
  <r>
    <x v="846"/>
    <x v="3"/>
    <x v="2"/>
    <d v="1899-12-30T00:00:00"/>
    <d v="1899-12-30T00:25:00"/>
    <n v="0.20833333333333334"/>
    <x v="0"/>
    <x v="0"/>
    <s v="Falla mecánica"/>
    <s v="Clarificación"/>
    <x v="100"/>
    <s v="Se corre abrazadera"/>
  </r>
  <r>
    <x v="846"/>
    <x v="3"/>
    <x v="2"/>
    <d v="1899-12-30T15:15:00"/>
    <d v="1899-12-30T23:59:00"/>
    <n v="4.3666666666666663"/>
    <x v="0"/>
    <x v="0"/>
    <s v="Falla mecánica"/>
    <s v="Digestión y prensado"/>
    <x v="86"/>
    <s v="Rotura de tornillo y eje transmision largo"/>
  </r>
  <r>
    <x v="846"/>
    <x v="3"/>
    <x v="2"/>
    <d v="1899-12-30T00:00:00"/>
    <d v="1899-12-30T01:20:00"/>
    <n v="0.66666666666666663"/>
    <x v="0"/>
    <x v="0"/>
    <s v="Falla mecánica"/>
    <s v="Digestión y prensado"/>
    <x v="86"/>
    <s v="Rotura de tornillo y eje transmision largo"/>
  </r>
  <r>
    <x v="847"/>
    <x v="3"/>
    <x v="2"/>
    <d v="1899-12-30T06:00:00"/>
    <d v="1899-12-30T09:27:00"/>
    <n v="3.45"/>
    <x v="1"/>
    <x v="2"/>
    <s v="Arranque planta"/>
    <s v="Planta general"/>
    <x v="5"/>
    <s v="Inicio de proceso levantando presión"/>
  </r>
  <r>
    <x v="847"/>
    <x v="3"/>
    <x v="2"/>
    <d v="1899-12-30T11:25:00"/>
    <d v="1899-12-30T11:55:00"/>
    <n v="0.5"/>
    <x v="0"/>
    <x v="0"/>
    <s v="Falla eléctrica"/>
    <s v="Digestión y prensado"/>
    <x v="13"/>
    <s v="Falla eléctrica Prensa 1"/>
  </r>
  <r>
    <x v="848"/>
    <x v="3"/>
    <x v="2"/>
    <d v="1899-12-30T06:00:00"/>
    <d v="1899-12-30T14:00:00"/>
    <n v="8"/>
    <x v="0"/>
    <x v="0"/>
    <s v="Falla mecánica"/>
    <s v="Desfrutado"/>
    <x v="8"/>
    <s v="Rotura de cadena"/>
  </r>
  <r>
    <x v="848"/>
    <x v="3"/>
    <x v="2"/>
    <d v="1899-12-30T14:00:00"/>
    <d v="1899-12-30T15:35:00"/>
    <n v="1.5833333333333335"/>
    <x v="0"/>
    <x v="0"/>
    <s v="Falla mecánica"/>
    <s v="Desfrutado"/>
    <x v="8"/>
    <s v="Se habilitó"/>
  </r>
  <r>
    <x v="849"/>
    <x v="3"/>
    <x v="2"/>
    <d v="1899-12-30T16:17:00"/>
    <d v="1899-12-30T16:50:00"/>
    <n v="0.55000000000000004"/>
    <x v="0"/>
    <x v="1"/>
    <s v="Falla operativa"/>
    <s v="Clarificación"/>
    <x v="65"/>
    <s v="Falta de agua"/>
  </r>
  <r>
    <x v="850"/>
    <x v="3"/>
    <x v="2"/>
    <d v="1899-12-30T06:00:00"/>
    <d v="1899-12-30T06:20:00"/>
    <n v="0.33333333333333331"/>
    <x v="1"/>
    <x v="2"/>
    <s v="Arranque planta"/>
    <s v="Planta general"/>
    <x v="5"/>
    <s v="Prensa parada por la limpieza de el agar de la caldera"/>
  </r>
  <r>
    <x v="850"/>
    <x v="3"/>
    <x v="2"/>
    <d v="1899-12-30T06:20:00"/>
    <d v="1899-12-30T09:24:00"/>
    <n v="3.0666666666666669"/>
    <x v="1"/>
    <x v="2"/>
    <s v="Arranque planta"/>
    <s v="Planta general"/>
    <x v="5"/>
    <s v="Prensa parada por la limpieza de el hogar de la caldera"/>
  </r>
  <r>
    <x v="850"/>
    <x v="3"/>
    <x v="2"/>
    <d v="1899-12-30T13:30:00"/>
    <d v="1899-12-30T13:40:00"/>
    <n v="0.16666666666666666"/>
    <x v="0"/>
    <x v="0"/>
    <s v="Falla mecánica"/>
    <s v="Desfrutado"/>
    <x v="2"/>
    <s v="Prensa P15 parada por la desfrutadora"/>
  </r>
  <r>
    <x v="850"/>
    <x v="3"/>
    <x v="2"/>
    <d v="1899-12-30T13:45:00"/>
    <d v="1899-12-30T14:04:00"/>
    <n v="0.31666666666666665"/>
    <x v="0"/>
    <x v="3"/>
    <s v="Fluído eléctrico"/>
    <s v="Planta general"/>
    <x v="5"/>
    <s v="Se fue la energía"/>
  </r>
  <r>
    <x v="851"/>
    <x v="3"/>
    <x v="2"/>
    <d v="1899-12-30T06:00:00"/>
    <d v="1899-12-30T13:25:00"/>
    <n v="7.416666666666667"/>
    <x v="1"/>
    <x v="2"/>
    <s v="Mantenimiento programado"/>
    <s v="Planta general"/>
    <x v="5"/>
    <s v="Reconstrucción de tornillos Prensa 1"/>
  </r>
  <r>
    <x v="852"/>
    <x v="3"/>
    <x v="2"/>
    <d v="1899-12-30T16:00:00"/>
    <d v="1899-12-30T17:30:00"/>
    <n v="1.5"/>
    <x v="1"/>
    <x v="2"/>
    <s v="Arranque planta"/>
    <s v="Planta general"/>
    <x v="5"/>
    <s v="Inicio de proceso Prensa 1"/>
  </r>
  <r>
    <x v="853"/>
    <x v="3"/>
    <x v="2"/>
    <d v="1899-12-30T06:00:00"/>
    <d v="1899-12-30T09:55:00"/>
    <n v="3.9166666666666665"/>
    <x v="1"/>
    <x v="2"/>
    <s v="Mantenimiento programado"/>
    <s v="Planta general"/>
    <x v="5"/>
    <s v="Limpieza a la caldera"/>
  </r>
  <r>
    <x v="853"/>
    <x v="3"/>
    <x v="2"/>
    <d v="1899-12-30T11:30:00"/>
    <d v="1899-12-30T11:42:00"/>
    <n v="0.2"/>
    <x v="0"/>
    <x v="3"/>
    <s v="Fluído eléctrico"/>
    <s v="Planta general"/>
    <x v="5"/>
    <s v="Se fue la energía"/>
  </r>
  <r>
    <x v="853"/>
    <x v="3"/>
    <x v="2"/>
    <d v="1899-12-30T14:00:00"/>
    <d v="1899-12-30T14:15:00"/>
    <n v="0.25"/>
    <x v="1"/>
    <x v="2"/>
    <s v="Arranque planta"/>
    <s v="Planta general"/>
    <x v="5"/>
    <s v="Inicio proceso prensa P15"/>
  </r>
  <r>
    <x v="854"/>
    <x v="3"/>
    <x v="2"/>
    <d v="1899-12-30T06:00:00"/>
    <d v="1899-12-30T09:00:00"/>
    <n v="3"/>
    <x v="1"/>
    <x v="2"/>
    <s v="Arranque planta"/>
    <s v="Planta general"/>
    <x v="5"/>
    <s v="Subiendo presión en caldera"/>
  </r>
  <r>
    <x v="854"/>
    <x v="3"/>
    <x v="2"/>
    <d v="1899-12-30T14:00:00"/>
    <d v="1899-12-30T18:30:00"/>
    <n v="4.5"/>
    <x v="0"/>
    <x v="0"/>
    <s v="Falla mecánica"/>
    <s v="Recepción"/>
    <x v="7"/>
    <s v="Redler descadenado"/>
  </r>
  <r>
    <x v="854"/>
    <x v="3"/>
    <x v="2"/>
    <d v="1899-12-30T18:33:00"/>
    <d v="1899-12-30T19:30:00"/>
    <n v="0.95"/>
    <x v="0"/>
    <x v="0"/>
    <s v="Falla mecánica"/>
    <s v="Recepción"/>
    <x v="7"/>
    <s v="Redler descadenado"/>
  </r>
  <r>
    <x v="855"/>
    <x v="3"/>
    <x v="2"/>
    <d v="1899-12-30T06:00:00"/>
    <d v="1899-12-30T07:10:00"/>
    <n v="1.1666666666666667"/>
    <x v="1"/>
    <x v="2"/>
    <s v="Arranque planta"/>
    <s v="Planta general"/>
    <x v="5"/>
    <s v="Subiendo presión"/>
  </r>
  <r>
    <x v="855"/>
    <x v="3"/>
    <x v="2"/>
    <d v="1899-12-30T14:35:00"/>
    <d v="1899-12-30T16:25:00"/>
    <n v="1.8333333333333335"/>
    <x v="0"/>
    <x v="0"/>
    <s v="Falla mecánica"/>
    <s v="Recepción"/>
    <x v="7"/>
    <s v="Se descadenó el redler principal"/>
  </r>
  <r>
    <x v="856"/>
    <x v="3"/>
    <x v="2"/>
    <d v="1899-12-30T06:00:00"/>
    <d v="1899-12-30T07:00:00"/>
    <n v="1"/>
    <x v="0"/>
    <x v="0"/>
    <s v="Falla mecánica"/>
    <s v="Digestión y prensado"/>
    <x v="13"/>
    <s v="Unidad hidráulica"/>
  </r>
  <r>
    <x v="856"/>
    <x v="3"/>
    <x v="2"/>
    <d v="1899-12-30T17:45:00"/>
    <d v="1899-12-30T18:45:00"/>
    <n v="1"/>
    <x v="1"/>
    <x v="2"/>
    <s v="Arranque planta"/>
    <s v="Planta general"/>
    <x v="5"/>
    <s v="Inicio proceso prensa P15"/>
  </r>
  <r>
    <x v="857"/>
    <x v="3"/>
    <x v="2"/>
    <d v="1899-12-30T14:00:00"/>
    <d v="1899-12-30T15:46:00"/>
    <n v="1.7666666666666666"/>
    <x v="1"/>
    <x v="2"/>
    <s v="Mantenimiento programado"/>
    <s v="Planta general"/>
    <x v="5"/>
    <s v="Prensa 1 en mantenimiento"/>
  </r>
  <r>
    <x v="858"/>
    <x v="3"/>
    <x v="2"/>
    <d v="1899-12-30T06:00:00"/>
    <d v="1899-12-30T06:40:00"/>
    <n v="0.66666666666666663"/>
    <x v="1"/>
    <x v="2"/>
    <s v="Arranque planta"/>
    <s v="Planta general"/>
    <x v="5"/>
    <s v="Inicio de proceso"/>
  </r>
  <r>
    <x v="858"/>
    <x v="3"/>
    <x v="2"/>
    <d v="1899-12-30T10:00:00"/>
    <d v="1899-12-30T13:40:00"/>
    <n v="3.6666666666666665"/>
    <x v="0"/>
    <x v="0"/>
    <s v="Falla mecánica"/>
    <s v="Planta generación de vapor"/>
    <x v="34"/>
    <s v="Prensa 1 parada por el compresor caldera"/>
  </r>
  <r>
    <x v="858"/>
    <x v="3"/>
    <x v="2"/>
    <d v="1899-12-30T14:00:00"/>
    <d v="1899-12-30T15:57:00"/>
    <n v="1.95"/>
    <x v="0"/>
    <x v="3"/>
    <s v="Falta de fruta fresca"/>
    <s v="Planta general"/>
    <x v="5"/>
    <s v="Falta de fruto en tolva recepción"/>
  </r>
  <r>
    <x v="859"/>
    <x v="3"/>
    <x v="2"/>
    <d v="1899-12-30T06:00:00"/>
    <d v="1899-12-30T09:00:00"/>
    <n v="3"/>
    <x v="1"/>
    <x v="2"/>
    <s v="Mantenimiento programado"/>
    <s v="Clarificación"/>
    <x v="107"/>
    <s v="Prensa P15 parada por mtto clarificación"/>
  </r>
  <r>
    <x v="859"/>
    <x v="3"/>
    <x v="2"/>
    <d v="1899-12-30T09:30:00"/>
    <d v="1899-12-30T10:25:00"/>
    <n v="0.91666666666666663"/>
    <x v="1"/>
    <x v="2"/>
    <s v="Mantenimiento programado"/>
    <s v="Clarificación"/>
    <x v="107"/>
    <s v="Prensa P15 parada por mtto clarificación"/>
  </r>
  <r>
    <x v="860"/>
    <x v="3"/>
    <x v="2"/>
    <d v="1899-12-30T06:00:00"/>
    <d v="1899-12-30T08:41:00"/>
    <n v="2.6833333333333336"/>
    <x v="1"/>
    <x v="2"/>
    <s v="Arranque planta"/>
    <s v="Planta general"/>
    <x v="5"/>
    <s v="Limpieza de caldera"/>
  </r>
  <r>
    <x v="861"/>
    <x v="3"/>
    <x v="2"/>
    <d v="1899-12-30T06:00:00"/>
    <d v="1899-12-30T07:30:00"/>
    <n v="1.5"/>
    <x v="1"/>
    <x v="2"/>
    <s v="Arranque planta"/>
    <s v="Planta general"/>
    <x v="5"/>
    <s v="Subiendo presión caldera"/>
  </r>
  <r>
    <x v="861"/>
    <x v="3"/>
    <x v="2"/>
    <d v="1899-12-30T15:10:00"/>
    <d v="1899-12-30T16:25:00"/>
    <n v="1.25"/>
    <x v="1"/>
    <x v="2"/>
    <s v="Arranque planta"/>
    <s v="Planta general"/>
    <x v="5"/>
    <s v="Limpieza de caldera"/>
  </r>
  <r>
    <x v="862"/>
    <x v="3"/>
    <x v="2"/>
    <d v="1899-12-30T06:00:00"/>
    <d v="1899-12-30T06:30:00"/>
    <n v="0.5"/>
    <x v="1"/>
    <x v="2"/>
    <s v="Arranque planta"/>
    <s v="Planta general"/>
    <x v="5"/>
    <s v="Inicio proceso prensa P15"/>
  </r>
  <r>
    <x v="862"/>
    <x v="3"/>
    <x v="2"/>
    <d v="1899-12-30T08:30:00"/>
    <d v="1899-12-30T09:40:00"/>
    <n v="1.1666666666666667"/>
    <x v="0"/>
    <x v="0"/>
    <s v="Falla mecánica"/>
    <s v="Desfrutado"/>
    <x v="8"/>
    <s v="Se partió la cadena del elevador"/>
  </r>
  <r>
    <x v="862"/>
    <x v="3"/>
    <x v="2"/>
    <d v="1899-12-30T11:50:00"/>
    <d v="1899-12-30T15:00:00"/>
    <n v="3.1666666666666665"/>
    <x v="0"/>
    <x v="0"/>
    <s v="Falla eléctrica"/>
    <s v="Digestión y prensado"/>
    <x v="108"/>
    <s v="Motor de la prensa P15 quemado"/>
  </r>
  <r>
    <x v="862"/>
    <x v="3"/>
    <x v="2"/>
    <d v="1899-12-30T20:24:00"/>
    <d v="1899-12-30T23:59:00"/>
    <n v="3.5833333333333335"/>
    <x v="0"/>
    <x v="0"/>
    <s v="Falla mecánica"/>
    <s v="Desfrutado"/>
    <x v="8"/>
    <s v="Se cayó, se partió la cadena"/>
  </r>
  <r>
    <x v="863"/>
    <x v="3"/>
    <x v="3"/>
    <d v="1899-12-30T00:00:00"/>
    <d v="1899-12-30T00:55:00"/>
    <n v="0.91666666666666663"/>
    <x v="0"/>
    <x v="0"/>
    <s v="Falla mecánica"/>
    <s v="Desfrutado"/>
    <x v="8"/>
    <s v="Se cayó, se partió la cadena"/>
  </r>
  <r>
    <x v="863"/>
    <x v="3"/>
    <x v="3"/>
    <d v="1899-12-30T04:00:00"/>
    <d v="1899-12-30T04:42:00"/>
    <n v="0.7"/>
    <x v="0"/>
    <x v="0"/>
    <s v="Falla mecánica"/>
    <s v="Esterilización "/>
    <x v="23"/>
    <s v="Descarrilada vagoneta Línea 1"/>
  </r>
  <r>
    <x v="864"/>
    <x v="3"/>
    <x v="3"/>
    <d v="1899-12-30T06:00:00"/>
    <d v="1899-12-30T10:55:00"/>
    <n v="4.916666666666667"/>
    <x v="1"/>
    <x v="2"/>
    <s v="Mantenimiento programado"/>
    <s v="Planta general"/>
    <x v="5"/>
    <s v="Limpieza del hogar de la caldera"/>
  </r>
  <r>
    <x v="864"/>
    <x v="3"/>
    <x v="3"/>
    <d v="1899-12-30T12:22:00"/>
    <d v="1899-12-30T12:46:00"/>
    <n v="0.4"/>
    <x v="1"/>
    <x v="2"/>
    <s v="Arranque planta"/>
    <s v="Planta general"/>
    <x v="5"/>
    <s v="Baja presión en caldera"/>
  </r>
  <r>
    <x v="865"/>
    <x v="3"/>
    <x v="3"/>
    <d v="1899-12-30T06:00:00"/>
    <d v="1899-12-30T10:06:00"/>
    <n v="4.0999999999999996"/>
    <x v="1"/>
    <x v="2"/>
    <s v="Arranque planta"/>
    <s v="Planta general"/>
    <x v="5"/>
    <s v="Subiendo presión en a caldera"/>
  </r>
  <r>
    <x v="865"/>
    <x v="3"/>
    <x v="3"/>
    <d v="1899-12-30T14:00:00"/>
    <d v="1899-12-30T15:00:00"/>
    <n v="1"/>
    <x v="1"/>
    <x v="2"/>
    <s v="Arranque planta"/>
    <s v="Planta general"/>
    <x v="5"/>
    <s v="Inicio de proceso"/>
  </r>
  <r>
    <x v="866"/>
    <x v="3"/>
    <x v="3"/>
    <d v="1899-12-30T06:00:00"/>
    <d v="1899-12-30T08:16:00"/>
    <n v="2.2666666666666666"/>
    <x v="1"/>
    <x v="2"/>
    <s v="Arranque planta"/>
    <s v="Planta general"/>
    <x v="5"/>
    <s v="Subiendo presión en la caldera"/>
  </r>
  <r>
    <x v="866"/>
    <x v="3"/>
    <x v="3"/>
    <d v="1899-12-30T12:35:00"/>
    <d v="1899-12-30T12:53:00"/>
    <n v="0.3"/>
    <x v="0"/>
    <x v="3"/>
    <s v="Fluído eléctrico"/>
    <s v="Planta general"/>
    <x v="5"/>
    <s v="Se fue la energía"/>
  </r>
  <r>
    <x v="866"/>
    <x v="3"/>
    <x v="3"/>
    <d v="1899-12-30T14:00:00"/>
    <d v="1899-12-30T21:00:00"/>
    <n v="7"/>
    <x v="0"/>
    <x v="0"/>
    <s v="Falla mecánica"/>
    <s v="Clarificación"/>
    <x v="55"/>
    <s v="Prensa P15 parada por clarificación"/>
  </r>
  <r>
    <x v="867"/>
    <x v="3"/>
    <x v="3"/>
    <d v="1899-12-30T06:00:00"/>
    <d v="1899-12-30T08:32:00"/>
    <n v="2.5333333333333332"/>
    <x v="1"/>
    <x v="2"/>
    <s v="Arranque planta"/>
    <s v="Planta general"/>
    <x v="5"/>
    <s v="Arranque de planta, subiendo presión de caldera"/>
  </r>
  <r>
    <x v="867"/>
    <x v="3"/>
    <x v="3"/>
    <d v="1899-12-30T14:40:00"/>
    <d v="1899-12-30T23:00:00"/>
    <n v="8.3333333333333339"/>
    <x v="0"/>
    <x v="0"/>
    <s v="Falla mecánica"/>
    <s v="Desfrutado"/>
    <x v="8"/>
    <s v="Prensa parada por elevador caido"/>
  </r>
  <r>
    <x v="868"/>
    <x v="3"/>
    <x v="3"/>
    <d v="1899-12-30T06:00:00"/>
    <d v="1899-12-30T09:20:00"/>
    <n v="3.3333333333333335"/>
    <x v="1"/>
    <x v="2"/>
    <s v="Arranque planta"/>
    <s v="Planta general"/>
    <x v="5"/>
    <s v="Arranque de planta, subiendo presión de caldera"/>
  </r>
  <r>
    <x v="868"/>
    <x v="3"/>
    <x v="3"/>
    <d v="1899-12-30T21:45:00"/>
    <d v="1899-12-30T22:15:00"/>
    <n v="0.5"/>
    <x v="0"/>
    <x v="0"/>
    <s v="Falla eléctrica"/>
    <s v="Clarificación"/>
    <x v="55"/>
    <s v="Falla en motor del tamiz de lodos"/>
  </r>
  <r>
    <x v="869"/>
    <x v="3"/>
    <x v="3"/>
    <d v="1899-12-30T04:30:00"/>
    <d v="1899-12-30T06:00:00"/>
    <n v="1.5"/>
    <x v="1"/>
    <x v="2"/>
    <s v="Apagado planta"/>
    <s v="Planta general"/>
    <x v="5"/>
    <s v="Prensa P15 parada por apagado de caldera"/>
  </r>
  <r>
    <x v="869"/>
    <x v="3"/>
    <x v="3"/>
    <d v="1899-12-30T06:00:00"/>
    <d v="1899-12-30T07:35:00"/>
    <n v="1.5833333333333335"/>
    <x v="1"/>
    <x v="2"/>
    <s v="Arranque planta"/>
    <s v="Planta general"/>
    <x v="5"/>
    <s v="Arranque de planta / Inicio de proceso "/>
  </r>
  <r>
    <x v="869"/>
    <x v="3"/>
    <x v="3"/>
    <d v="1899-12-30T07:35:00"/>
    <d v="1899-12-30T08:30:00"/>
    <n v="0.91666666666666663"/>
    <x v="1"/>
    <x v="2"/>
    <s v="Arranque planta"/>
    <s v="Planta general"/>
    <x v="5"/>
    <s v="inicio de proceso Prensa #2"/>
  </r>
  <r>
    <x v="869"/>
    <x v="3"/>
    <x v="3"/>
    <d v="1899-12-30T21:00:00"/>
    <d v="1899-12-30T21:20:00"/>
    <n v="0.33333333333333331"/>
    <x v="0"/>
    <x v="0"/>
    <s v="Falla mecánica"/>
    <s v="Digestión y prensado"/>
    <x v="86"/>
    <s v="Prensa #2 fallas en sistema hidráulico"/>
  </r>
  <r>
    <x v="870"/>
    <x v="3"/>
    <x v="3"/>
    <d v="1899-12-30T02:31:00"/>
    <d v="1899-12-30T03:00:00"/>
    <n v="0.48333333333333334"/>
    <x v="0"/>
    <x v="1"/>
    <s v="Falla operativa"/>
    <s v="Clarificación"/>
    <x v="88"/>
    <s v="Lenta alimentación a tanque Florentino"/>
  </r>
  <r>
    <x v="871"/>
    <x v="3"/>
    <x v="3"/>
    <d v="1899-12-30T06:00:00"/>
    <d v="1899-12-30T22:00:00"/>
    <n v="16"/>
    <x v="1"/>
    <x v="2"/>
    <s v="Mantenimiento programado"/>
    <s v="Planta general"/>
    <x v="5"/>
    <s v="Mantenimiento programado lanta en general"/>
  </r>
  <r>
    <x v="872"/>
    <x v="3"/>
    <x v="3"/>
    <d v="1899-12-30T06:20:00"/>
    <d v="1899-12-30T07:20:00"/>
    <n v="1"/>
    <x v="1"/>
    <x v="2"/>
    <s v="Arranque planta"/>
    <s v="Planta general"/>
    <x v="5"/>
    <s v="Inicio de proceso / Arranque de planta"/>
  </r>
  <r>
    <x v="872"/>
    <x v="3"/>
    <x v="3"/>
    <d v="1899-12-30T09:25:00"/>
    <d v="1899-12-30T09:45:00"/>
    <n v="0.33333333333333331"/>
    <x v="0"/>
    <x v="1"/>
    <s v="Falla operativa"/>
    <s v="Planta generación de vapor"/>
    <x v="22"/>
    <s v="Problemas con la presión en la caldera"/>
  </r>
  <r>
    <x v="872"/>
    <x v="3"/>
    <x v="3"/>
    <d v="1899-12-30T14:20:00"/>
    <d v="1899-12-30T15:00:00"/>
    <n v="0.66666666666666663"/>
    <x v="1"/>
    <x v="2"/>
    <s v="Reuniones"/>
    <s v="Planta general"/>
    <x v="5"/>
    <s v="Celebración de cumpleaños de los trabajadores"/>
  </r>
  <r>
    <x v="872"/>
    <x v="3"/>
    <x v="3"/>
    <d v="1899-12-30T17:00:00"/>
    <d v="1899-12-30T19:00:00"/>
    <n v="1"/>
    <x v="0"/>
    <x v="1"/>
    <s v="Falla operativa"/>
    <s v="Clarificación"/>
    <x v="45"/>
    <s v="Taponamiento de boquillas del secador"/>
  </r>
  <r>
    <x v="872"/>
    <x v="3"/>
    <x v="3"/>
    <d v="1899-12-30T21:20:00"/>
    <d v="1899-12-30T22:00:00"/>
    <n v="0.66666666666666663"/>
    <x v="1"/>
    <x v="2"/>
    <s v="Apagado planta"/>
    <s v="Planta general"/>
    <x v="5"/>
    <s v="Apagado de equipos"/>
  </r>
  <r>
    <x v="873"/>
    <x v="3"/>
    <x v="3"/>
    <d v="1899-12-30T06:00:00"/>
    <d v="1899-12-30T13:30:00"/>
    <n v="3.75"/>
    <x v="0"/>
    <x v="0"/>
    <s v="Falla eléctrica"/>
    <s v="Clarificación"/>
    <x v="55"/>
    <s v="Falla en motor del tamiz de lodos"/>
  </r>
  <r>
    <x v="873"/>
    <x v="3"/>
    <x v="3"/>
    <d v="1899-12-30T14:25:00"/>
    <d v="1899-12-30T15:35:00"/>
    <n v="1.1666666666666667"/>
    <x v="0"/>
    <x v="1"/>
    <s v="Falla operativa"/>
    <s v="Digestión y prensado"/>
    <x v="86"/>
    <s v="Falta de presión en la caldera"/>
  </r>
  <r>
    <x v="874"/>
    <x v="3"/>
    <x v="3"/>
    <d v="1899-12-30T06:00:00"/>
    <d v="1899-12-30T08:00:00"/>
    <n v="2"/>
    <x v="1"/>
    <x v="2"/>
    <s v="Arranque planta"/>
    <s v="Planta general"/>
    <x v="5"/>
    <s v="Inicio de proceso / Arranque de planta"/>
  </r>
  <r>
    <x v="874"/>
    <x v="3"/>
    <x v="3"/>
    <d v="1899-12-30T08:20:00"/>
    <d v="1899-12-30T11:45:00"/>
    <n v="3.4166666666666665"/>
    <x v="0"/>
    <x v="0"/>
    <s v="Falla mecánica"/>
    <s v="Desfrutado"/>
    <x v="8"/>
    <s v="Rotura cadena transporte"/>
  </r>
  <r>
    <x v="874"/>
    <x v="3"/>
    <x v="3"/>
    <d v="1899-12-30T12:15:00"/>
    <d v="1899-12-30T12:30:00"/>
    <n v="0.125"/>
    <x v="0"/>
    <x v="1"/>
    <s v="Falla operativa"/>
    <s v="Planta generación de vapor"/>
    <x v="22"/>
    <s v="Falta suministro de combustible para esterilizacion"/>
  </r>
  <r>
    <x v="874"/>
    <x v="3"/>
    <x v="3"/>
    <d v="1899-12-30T17:30:00"/>
    <d v="1899-12-30T18:00:00"/>
    <n v="0.25"/>
    <x v="0"/>
    <x v="1"/>
    <s v="Falla operativa"/>
    <s v="Desfrutado"/>
    <x v="8"/>
    <s v="Sobrecarga de fruto"/>
  </r>
  <r>
    <x v="874"/>
    <x v="3"/>
    <x v="3"/>
    <d v="1899-12-30T19:40:00"/>
    <d v="1899-12-30T20:20:00"/>
    <n v="0.33333333333333331"/>
    <x v="0"/>
    <x v="0"/>
    <s v="Falla mecánica"/>
    <s v="Desfrutado"/>
    <x v="18"/>
    <s v="Descadenamiento piñon inferior"/>
  </r>
  <r>
    <x v="875"/>
    <x v="3"/>
    <x v="3"/>
    <d v="1899-12-30T06:00:00"/>
    <d v="1899-12-30T08:25:00"/>
    <n v="2.4166666666666665"/>
    <x v="1"/>
    <x v="2"/>
    <s v="Arranque planta"/>
    <s v="Planta general"/>
    <x v="5"/>
    <s v="Inicio de proceso / Arranque de planta"/>
  </r>
  <r>
    <x v="875"/>
    <x v="3"/>
    <x v="3"/>
    <d v="1899-12-30T17:32:00"/>
    <d v="1899-12-30T17:45:00"/>
    <n v="0.10833333333333334"/>
    <x v="0"/>
    <x v="1"/>
    <s v="Falla operativa"/>
    <s v="Digestión y prensado"/>
    <x v="109"/>
    <s v="taponamiento por sedimentacion"/>
  </r>
  <r>
    <x v="875"/>
    <x v="3"/>
    <x v="3"/>
    <d v="1899-12-30T18:20:00"/>
    <d v="1899-12-30T19:00:00"/>
    <n v="0.66666666666666663"/>
    <x v="0"/>
    <x v="0"/>
    <s v="Falla mecánica"/>
    <s v="Desfrutado"/>
    <x v="2"/>
    <s v="rotura cadena transmision"/>
  </r>
  <r>
    <x v="875"/>
    <x v="3"/>
    <x v="3"/>
    <d v="1899-12-30T13:25:00"/>
    <d v="1899-12-30T14:00:00"/>
    <n v="0.29166666666666669"/>
    <x v="0"/>
    <x v="1"/>
    <s v="Falla operativa"/>
    <s v="Clarificación"/>
    <x v="48"/>
    <s v="Taponamiento centrifuga"/>
  </r>
  <r>
    <x v="875"/>
    <x v="3"/>
    <x v="3"/>
    <d v="1899-12-30T16:23:00"/>
    <d v="1899-12-30T16:30:00"/>
    <n v="5.8333333333333334E-2"/>
    <x v="0"/>
    <x v="1"/>
    <s v="Falla operativa"/>
    <s v="Digestión y prensado"/>
    <x v="109"/>
    <s v="taponamiento por sedimentacion"/>
  </r>
  <r>
    <x v="876"/>
    <x v="3"/>
    <x v="3"/>
    <d v="1899-12-30T06:00:00"/>
    <d v="1899-12-30T08:45:00"/>
    <n v="2.75"/>
    <x v="1"/>
    <x v="2"/>
    <s v="Arranque planta"/>
    <s v="Planta general"/>
    <x v="5"/>
    <s v="Arranque de planta / Inicio de proceso "/>
  </r>
  <r>
    <x v="877"/>
    <x v="3"/>
    <x v="3"/>
    <d v="1899-12-30T06:00:00"/>
    <d v="1899-12-30T09:20:00"/>
    <n v="3.3333333333333335"/>
    <x v="1"/>
    <x v="2"/>
    <s v="Arranque planta"/>
    <s v="Planta general"/>
    <x v="5"/>
    <s v="Arranque de planta / Inicio de proceso "/>
  </r>
  <r>
    <x v="877"/>
    <x v="3"/>
    <x v="3"/>
    <d v="1899-12-30T12:25:00"/>
    <d v="1899-12-30T12:45:00"/>
    <n v="0.33333333333333331"/>
    <x v="0"/>
    <x v="1"/>
    <s v="Falla operativa"/>
    <s v="Clarificación"/>
    <x v="16"/>
    <s v="Taponamiento centrífuga 1 y 2"/>
  </r>
  <r>
    <x v="877"/>
    <x v="3"/>
    <x v="3"/>
    <d v="1899-12-30T11:42:00"/>
    <d v="1899-12-30T14:05:00"/>
    <n v="2.3833333333333333"/>
    <x v="1"/>
    <x v="2"/>
    <s v="Mantenimiento programado"/>
    <s v="Esterilización "/>
    <x v="110"/>
    <s v="Mantenimiento a bomba salida de condensados"/>
  </r>
  <r>
    <x v="877"/>
    <x v="3"/>
    <x v="3"/>
    <d v="1899-12-30T14:40:00"/>
    <d v="1899-12-30T16:03:00"/>
    <n v="1.3833333333333333"/>
    <x v="0"/>
    <x v="1"/>
    <s v="Falla operativa"/>
    <s v="Clarificación"/>
    <x v="65"/>
    <s v="Prensa 2 detenida por falta de agua"/>
  </r>
  <r>
    <x v="877"/>
    <x v="3"/>
    <x v="3"/>
    <d v="1899-12-30T15:31:00"/>
    <d v="1899-12-30T16:20:00"/>
    <n v="0.81666666666666665"/>
    <x v="0"/>
    <x v="1"/>
    <s v="Falla operativa"/>
    <s v="Clarificación"/>
    <x v="65"/>
    <s v="Prensa 1 parada por falta de agua"/>
  </r>
  <r>
    <x v="877"/>
    <x v="3"/>
    <x v="3"/>
    <d v="1899-12-30T17:00:00"/>
    <d v="1899-12-30T19:30:00"/>
    <n v="1.25"/>
    <x v="0"/>
    <x v="1"/>
    <s v="Falla operativa"/>
    <s v="Clarificación"/>
    <x v="48"/>
    <s v="Taponamiento centrifugas"/>
  </r>
  <r>
    <x v="878"/>
    <x v="3"/>
    <x v="3"/>
    <d v="1899-12-30T06:00:00"/>
    <d v="1899-12-30T14:00:00"/>
    <n v="8"/>
    <x v="1"/>
    <x v="2"/>
    <s v="Mantenimiento programado"/>
    <s v="Clarificación"/>
    <x v="88"/>
    <s v="Mantenimiento general de bomba"/>
  </r>
  <r>
    <x v="878"/>
    <x v="3"/>
    <x v="3"/>
    <d v="1899-12-30T14:00:00"/>
    <d v="1899-12-30T16:00:00"/>
    <n v="2"/>
    <x v="1"/>
    <x v="2"/>
    <s v="Arranque planta"/>
    <s v="Planta general"/>
    <x v="5"/>
    <s v="Arranque de planta / Inicio de proceso "/>
  </r>
  <r>
    <x v="878"/>
    <x v="3"/>
    <x v="3"/>
    <d v="1899-12-30T19:41:00"/>
    <d v="1899-12-30T20:15:00"/>
    <n v="0.28333333333333333"/>
    <x v="0"/>
    <x v="0"/>
    <s v="Falla mecánica"/>
    <s v="Desfrutado"/>
    <x v="8"/>
    <s v="Elevador descadenado"/>
  </r>
  <r>
    <x v="879"/>
    <x v="3"/>
    <x v="3"/>
    <d v="1899-12-30T06:00:00"/>
    <d v="1899-12-30T09:00:00"/>
    <n v="1.5"/>
    <x v="0"/>
    <x v="1"/>
    <s v="Falla mecánica"/>
    <s v="Clarificación"/>
    <x v="35"/>
    <s v="Taponamiento filtro cepillo"/>
  </r>
  <r>
    <x v="879"/>
    <x v="3"/>
    <x v="3"/>
    <d v="1899-12-30T10:26:00"/>
    <d v="1899-12-30T11:03:00"/>
    <n v="0.6166666666666667"/>
    <x v="0"/>
    <x v="1"/>
    <s v="Falla operativa"/>
    <s v="Esterilización "/>
    <x v="23"/>
    <s v="Bajo nivel de vagonetas en el riel"/>
  </r>
  <r>
    <x v="879"/>
    <x v="3"/>
    <x v="3"/>
    <d v="1899-12-30T17:30:00"/>
    <d v="1899-12-30T18:30:00"/>
    <n v="1"/>
    <x v="0"/>
    <x v="0"/>
    <s v="Falla mecánica"/>
    <s v="Esterilización "/>
    <x v="32"/>
    <s v="Problema hidraúlico en Autoclave "/>
  </r>
  <r>
    <x v="880"/>
    <x v="3"/>
    <x v="3"/>
    <d v="1899-12-30T06:00:00"/>
    <d v="1899-12-30T23:59:00"/>
    <n v="17.983333333333334"/>
    <x v="1"/>
    <x v="2"/>
    <s v="Mantenimiento programado"/>
    <s v="Planta general"/>
    <x v="5"/>
    <s v="Mantenimiento planta en general"/>
  </r>
  <r>
    <x v="881"/>
    <x v="3"/>
    <x v="3"/>
    <d v="1899-12-30T00:00:00"/>
    <d v="1899-12-30T06:00:00"/>
    <n v="6"/>
    <x v="1"/>
    <x v="2"/>
    <s v="Mantenimiento programado"/>
    <s v="Planta general"/>
    <x v="5"/>
    <s v="Mantenimiento planta en general"/>
  </r>
  <r>
    <x v="881"/>
    <x v="3"/>
    <x v="3"/>
    <d v="1899-12-30T06:00:00"/>
    <d v="1899-12-30T23:59:00"/>
    <n v="17.983333333333334"/>
    <x v="1"/>
    <x v="2"/>
    <s v="Mantenimiento programado"/>
    <s v="Planta general"/>
    <x v="5"/>
    <s v="Mantenimiento planta en general"/>
  </r>
  <r>
    <x v="882"/>
    <x v="3"/>
    <x v="3"/>
    <d v="1899-12-30T00:00:00"/>
    <d v="1899-12-30T06:00:00"/>
    <n v="6"/>
    <x v="1"/>
    <x v="2"/>
    <s v="Mantenimiento programado"/>
    <s v="Planta general"/>
    <x v="5"/>
    <s v="Mantenimiento planta en general"/>
  </r>
  <r>
    <x v="882"/>
    <x v="3"/>
    <x v="3"/>
    <d v="1899-12-30T06:00:00"/>
    <d v="1899-12-30T07:00:00"/>
    <n v="1"/>
    <x v="1"/>
    <x v="2"/>
    <s v="Arranque planta"/>
    <s v="Planta general"/>
    <x v="5"/>
    <s v="Arranque de planta / Inicio de proceso Prensa #1"/>
  </r>
  <r>
    <x v="882"/>
    <x v="3"/>
    <x v="3"/>
    <d v="1899-12-30T06:00:00"/>
    <d v="1899-12-30T07:50:00"/>
    <n v="1.8333333333333335"/>
    <x v="1"/>
    <x v="2"/>
    <s v="Arranque planta"/>
    <s v="Planta general"/>
    <x v="5"/>
    <s v="Arranque de planta / Inicio de proceso Prensa #2"/>
  </r>
  <r>
    <x v="882"/>
    <x v="3"/>
    <x v="3"/>
    <d v="1899-12-30T08:00:00"/>
    <d v="1899-12-30T09:10:00"/>
    <n v="0.58333333333333337"/>
    <x v="0"/>
    <x v="0"/>
    <s v="Falla eléctrica"/>
    <s v="Clarificación"/>
    <x v="55"/>
    <s v="Falla eléctrica en motor del tamiz"/>
  </r>
  <r>
    <x v="882"/>
    <x v="3"/>
    <x v="3"/>
    <d v="1899-12-30T11:20:00"/>
    <d v="1899-12-30T11:50:00"/>
    <n v="0.5"/>
    <x v="0"/>
    <x v="0"/>
    <s v="Falla mecánica"/>
    <s v="Digestión y prensado"/>
    <x v="13"/>
    <s v="Falla en sistema hidráulico de Prensa #1"/>
  </r>
  <r>
    <x v="882"/>
    <x v="3"/>
    <x v="3"/>
    <d v="1899-12-30T12:55:00"/>
    <d v="1899-12-30T13:38:00"/>
    <n v="0.35833333333333334"/>
    <x v="0"/>
    <x v="1"/>
    <s v="Falla operativa"/>
    <s v="Desfibración"/>
    <x v="9"/>
    <s v="Rotura del tornillo del acople"/>
  </r>
  <r>
    <x v="882"/>
    <x v="3"/>
    <x v="3"/>
    <d v="1899-12-30T14:45:00"/>
    <d v="1899-12-30T15:21:00"/>
    <n v="0.6"/>
    <x v="1"/>
    <x v="2"/>
    <s v="Arranque planta"/>
    <s v="Planta general"/>
    <x v="5"/>
    <s v="Arranque de planta / Elevación de presión"/>
  </r>
  <r>
    <x v="883"/>
    <x v="3"/>
    <x v="3"/>
    <d v="1899-12-30T04:00:00"/>
    <d v="1899-12-30T06:00:00"/>
    <n v="1"/>
    <x v="0"/>
    <x v="1"/>
    <s v="Falla operativa"/>
    <s v="Palmistería"/>
    <x v="61"/>
    <s v="Rotura de tornillo"/>
  </r>
  <r>
    <x v="883"/>
    <x v="3"/>
    <x v="3"/>
    <d v="1899-12-30T06:00:00"/>
    <d v="1899-12-30T23:59:00"/>
    <n v="17.983333333333334"/>
    <x v="1"/>
    <x v="2"/>
    <s v="Mantenimiento programado"/>
    <s v="Planta general"/>
    <x v="5"/>
    <s v="Mantenimiento planta en general"/>
  </r>
  <r>
    <x v="883"/>
    <x v="3"/>
    <x v="3"/>
    <d v="1899-12-30T00:00:00"/>
    <d v="1899-12-30T06:00:00"/>
    <n v="6"/>
    <x v="1"/>
    <x v="2"/>
    <s v="Mantenimiento programado"/>
    <s v="Planta general"/>
    <x v="5"/>
    <s v="Mantenimiento planta en general"/>
  </r>
  <r>
    <x v="884"/>
    <x v="3"/>
    <x v="3"/>
    <d v="1899-12-30T06:00:00"/>
    <d v="1899-12-30T07:35:00"/>
    <n v="1.5833333333333335"/>
    <x v="1"/>
    <x v="2"/>
    <s v="Arranque planta"/>
    <s v="Planta general"/>
    <x v="5"/>
    <s v="Arranque de planta / Inicio de proceso Prensa #2"/>
  </r>
  <r>
    <x v="884"/>
    <x v="3"/>
    <x v="3"/>
    <d v="1899-12-30T11:10:00"/>
    <d v="1899-12-30T12:35:00"/>
    <n v="1.4166666666666667"/>
    <x v="0"/>
    <x v="0"/>
    <s v="Falla mecánica"/>
    <s v="Recepción"/>
    <x v="7"/>
    <s v="Descadenamiento del redler principal"/>
  </r>
  <r>
    <x v="884"/>
    <x v="3"/>
    <x v="3"/>
    <d v="1899-12-30T14:00:00"/>
    <d v="1899-12-30T14:32:00"/>
    <n v="0.26666666666666666"/>
    <x v="0"/>
    <x v="1"/>
    <s v="Falla operativa"/>
    <s v="Planta generación de vapor"/>
    <x v="22"/>
    <s v="Falta de presión en caldera"/>
  </r>
  <r>
    <x v="885"/>
    <x v="3"/>
    <x v="3"/>
    <d v="1899-12-30T06:00:00"/>
    <d v="1899-12-30T10:47:00"/>
    <n v="4.7833333333333332"/>
    <x v="1"/>
    <x v="2"/>
    <s v="Arranque planta"/>
    <s v="Planta general"/>
    <x v="5"/>
    <s v="Inicio de proceso prensa #2"/>
  </r>
  <r>
    <x v="885"/>
    <x v="3"/>
    <x v="3"/>
    <d v="1899-12-30T06:00:00"/>
    <d v="1899-12-30T12:15:00"/>
    <n v="6.25"/>
    <x v="1"/>
    <x v="2"/>
    <s v="Arranque planta"/>
    <s v="Planta general"/>
    <x v="5"/>
    <s v="Inicio de proceso Prensa #1"/>
  </r>
  <r>
    <x v="885"/>
    <x v="3"/>
    <x v="3"/>
    <d v="1899-12-30T15:15:00"/>
    <d v="1899-12-30T15:40:00"/>
    <n v="0.41666666666666669"/>
    <x v="0"/>
    <x v="3"/>
    <s v="Fluído eléctrico"/>
    <s v="Digestión y prensado"/>
    <x v="13"/>
    <s v="Fallas en fluido eléctrico"/>
  </r>
  <r>
    <x v="886"/>
    <x v="3"/>
    <x v="3"/>
    <d v="1899-12-30T06:00:00"/>
    <d v="1899-12-30T22:00:00"/>
    <n v="16"/>
    <x v="1"/>
    <x v="2"/>
    <s v="Mantenimiento programado"/>
    <s v="Planta general"/>
    <x v="5"/>
    <s v="Mantenimiento planta en general"/>
  </r>
  <r>
    <x v="887"/>
    <x v="3"/>
    <x v="3"/>
    <d v="1899-12-30T06:00:00"/>
    <d v="1899-12-30T21:00:00"/>
    <n v="15"/>
    <x v="1"/>
    <x v="2"/>
    <s v="Mantenimiento programado"/>
    <s v="Planta general"/>
    <x v="5"/>
    <s v="Mantenimiento planta en general"/>
  </r>
  <r>
    <x v="888"/>
    <x v="3"/>
    <x v="4"/>
    <d v="1899-12-30T06:00:00"/>
    <d v="1899-12-30T08:45:00"/>
    <n v="1.375"/>
    <x v="1"/>
    <x v="2"/>
    <s v="Arranque planta"/>
    <s v="Planta general"/>
    <x v="5"/>
    <s v="Arranque de planta / Inicio de proceso Prensa #1"/>
  </r>
  <r>
    <x v="888"/>
    <x v="3"/>
    <x v="4"/>
    <d v="1899-12-30T08:45:00"/>
    <d v="1899-12-30T10:00:00"/>
    <n v="1.25"/>
    <x v="1"/>
    <x v="2"/>
    <s v="Arranque planta"/>
    <s v="Digestión y prensado"/>
    <x v="86"/>
    <s v="Arranque de proceso Prensa #2"/>
  </r>
  <r>
    <x v="888"/>
    <x v="3"/>
    <x v="4"/>
    <d v="1899-12-30T10:26:00"/>
    <d v="1899-12-30T11:16:00"/>
    <n v="0.83333333333333337"/>
    <x v="0"/>
    <x v="0"/>
    <s v="Falla mecánica"/>
    <s v="Desfibración"/>
    <x v="0"/>
    <s v="Rotura &quot;U&quot; del puente"/>
  </r>
  <r>
    <x v="889"/>
    <x v="3"/>
    <x v="4"/>
    <d v="1899-12-30T06:00:00"/>
    <d v="1899-12-30T22:00:00"/>
    <n v="8"/>
    <x v="1"/>
    <x v="2"/>
    <s v="Mantenimiento programado"/>
    <s v="Planta general"/>
    <x v="5"/>
    <s v="Mantenimiento planta en general"/>
  </r>
  <r>
    <x v="890"/>
    <x v="3"/>
    <x v="4"/>
    <d v="1899-12-30T06:00:00"/>
    <d v="1899-12-30T10:25:00"/>
    <n v="2.2083333333333335"/>
    <x v="1"/>
    <x v="2"/>
    <s v="Arranque planta"/>
    <s v="Planta general"/>
    <x v="5"/>
    <s v="Limpieza Caldera /Arranque de planta"/>
  </r>
  <r>
    <x v="890"/>
    <x v="3"/>
    <x v="4"/>
    <d v="1899-12-30T15:45:00"/>
    <d v="1899-12-30T16:00:00"/>
    <n v="0.125"/>
    <x v="1"/>
    <x v="2"/>
    <s v="Mantenimiento programado"/>
    <s v="Desfibración"/>
    <x v="0"/>
    <s v="Tensionamiento puente de Transp de torta"/>
  </r>
  <r>
    <x v="891"/>
    <x v="3"/>
    <x v="4"/>
    <d v="1899-12-30T06:00:00"/>
    <d v="1899-12-30T10:25:00"/>
    <n v="2.2083333333333335"/>
    <x v="1"/>
    <x v="2"/>
    <s v="Arranque planta"/>
    <s v="Planta general"/>
    <x v="5"/>
    <s v="Limpieza Caldera /Arranque de planta"/>
  </r>
  <r>
    <x v="891"/>
    <x v="3"/>
    <x v="4"/>
    <d v="1899-12-30T11:25:00"/>
    <d v="1899-12-30T12:44:00"/>
    <n v="1.3166666666666667"/>
    <x v="0"/>
    <x v="1"/>
    <s v="Falla operativa"/>
    <s v="Clarificación"/>
    <x v="45"/>
    <s v="Acumulación de aceite en secador"/>
  </r>
  <r>
    <x v="892"/>
    <x v="3"/>
    <x v="4"/>
    <d v="1899-12-30T06:00:00"/>
    <d v="1899-12-30T21:00:00"/>
    <n v="7.5"/>
    <x v="1"/>
    <x v="2"/>
    <s v="Mantenimiento programado"/>
    <s v="Planta general"/>
    <x v="5"/>
    <s v="Mantenimiento planta en general"/>
  </r>
  <r>
    <x v="893"/>
    <x v="3"/>
    <x v="4"/>
    <d v="1899-12-30T06:00:00"/>
    <d v="1899-12-30T21:00:00"/>
    <n v="7.5"/>
    <x v="1"/>
    <x v="2"/>
    <s v="Mantenimiento programado"/>
    <s v="Planta general"/>
    <x v="5"/>
    <s v="Mantenimiento planta en general"/>
  </r>
  <r>
    <x v="894"/>
    <x v="3"/>
    <x v="4"/>
    <d v="1899-12-30T06:00:00"/>
    <d v="1899-12-30T07:20:00"/>
    <n v="0.66666666666666663"/>
    <x v="1"/>
    <x v="2"/>
    <s v="Arranque planta"/>
    <s v="Planta general"/>
    <x v="5"/>
    <s v="Arranque de planta / Inicio proceso Prensa #1"/>
  </r>
  <r>
    <x v="894"/>
    <x v="3"/>
    <x v="4"/>
    <d v="1899-12-30T07:20:00"/>
    <d v="1899-12-30T09:20:00"/>
    <n v="2"/>
    <x v="1"/>
    <x v="2"/>
    <s v="Arranque planta"/>
    <s v="Digestión y prensado"/>
    <x v="86"/>
    <s v="Inicio de proceso Prensa #2"/>
  </r>
  <r>
    <x v="894"/>
    <x v="3"/>
    <x v="4"/>
    <d v="1899-12-30T11:30:00"/>
    <d v="1899-12-30T11:50:00"/>
    <n v="0.33333333333333331"/>
    <x v="0"/>
    <x v="1"/>
    <s v="Falla operativa"/>
    <s v="Clarificación"/>
    <x v="33"/>
    <s v="Taponamiento de tubería"/>
  </r>
  <r>
    <x v="894"/>
    <x v="3"/>
    <x v="4"/>
    <d v="1899-12-30T15:16:00"/>
    <d v="1899-12-30T16:09:00"/>
    <n v="0.8833333333333333"/>
    <x v="0"/>
    <x v="0"/>
    <s v="Falla mecánica"/>
    <s v="Esterilización "/>
    <x v="32"/>
    <s v="Atascamiento en la puert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
  <r>
    <x v="0"/>
    <s v="martes"/>
    <x v="0"/>
    <d v="1899-12-30T08:32:00"/>
    <d v="1899-12-30T11:58:00"/>
    <n v="3.4333333333333336"/>
    <s v="Operativa"/>
    <s v="Atascamiento"/>
    <x v="0"/>
    <x v="0"/>
    <s v="ATASCAMIENTO EN LA PRENSA P15"/>
    <m/>
  </r>
  <r>
    <x v="0"/>
    <s v="martes"/>
    <x v="0"/>
    <d v="1899-12-30T13:51:00"/>
    <d v="1899-12-30T13:56:00"/>
    <n v="8.3333333333333329E-2"/>
    <s v="Programada"/>
    <s v="Arranque planta"/>
    <x v="1"/>
    <x v="1"/>
    <s v="CAMBIO DE ENERGIA"/>
    <m/>
  </r>
  <r>
    <x v="0"/>
    <s v="martes"/>
    <x v="0"/>
    <d v="1899-12-30T23:15:00"/>
    <d v="1899-12-30T23:31:00"/>
    <n v="0.26666666666666666"/>
    <s v="Operativa"/>
    <s v="Atascamiento"/>
    <x v="0"/>
    <x v="0"/>
    <s v="ATASCAMIENTO EN LA PRENSA P15"/>
    <m/>
  </r>
  <r>
    <x v="1"/>
    <s v="miércoles"/>
    <x v="0"/>
    <d v="1899-12-30T13:46:00"/>
    <d v="1899-12-30T13:51:00"/>
    <n v="8.3333333333333329E-2"/>
    <s v="Programada"/>
    <s v="Arranque planta"/>
    <x v="1"/>
    <x v="1"/>
    <s v="CAMBIO DE ENERGIA"/>
    <m/>
  </r>
  <r>
    <x v="1"/>
    <s v="miércoles"/>
    <x v="0"/>
    <d v="1899-12-30T17:26:00"/>
    <d v="1899-12-30T17:40:00"/>
    <n v="0.23333333333333334"/>
    <s v="Operativa"/>
    <s v="Falta de fruta esterilizada"/>
    <x v="2"/>
    <x v="2"/>
    <s v="FALTA DE FRUTO ESTERILIZADO"/>
    <m/>
  </r>
  <r>
    <x v="2"/>
    <s v="jueves"/>
    <x v="0"/>
    <d v="1899-12-30T14:29:00"/>
    <d v="1899-12-30T14:45:00"/>
    <n v="0.26666666666666666"/>
    <s v="Mantenimiento"/>
    <s v="Falla mecánica"/>
    <x v="3"/>
    <x v="3"/>
    <s v="FALLA EN EL REDLER"/>
    <m/>
  </r>
  <r>
    <x v="2"/>
    <s v="jueves"/>
    <x v="0"/>
    <d v="1899-12-30T15:26:00"/>
    <d v="1899-12-30T15:33:00"/>
    <n v="0.11666666666666667"/>
    <s v="Mantenimiento"/>
    <s v="Falla mecánica"/>
    <x v="4"/>
    <x v="4"/>
    <s v="FALLA EN BANDA DE RAQUIS"/>
    <m/>
  </r>
  <r>
    <x v="2"/>
    <s v="jueves"/>
    <x v="0"/>
    <d v="1899-12-30T16:18:00"/>
    <d v="1899-12-30T16:25:00"/>
    <n v="0.11666666666666667"/>
    <s v="Programada"/>
    <s v="Arranque planta"/>
    <x v="1"/>
    <x v="5"/>
    <s v="CAMBIO DE ENERGIA"/>
    <m/>
  </r>
  <r>
    <x v="3"/>
    <s v="viernes"/>
    <x v="0"/>
    <d v="1899-12-30T09:14:00"/>
    <d v="1899-12-30T09:30:00"/>
    <n v="0.26666666666666666"/>
    <s v="Operativa"/>
    <s v="Falta de fruta esterilizada"/>
    <x v="2"/>
    <x v="2"/>
    <s v="FALTA DE FRUTO ESTERILIZADO"/>
    <m/>
  </r>
  <r>
    <x v="3"/>
    <s v="viernes"/>
    <x v="0"/>
    <d v="1899-12-30T11:38:00"/>
    <d v="1899-12-30T11:43:00"/>
    <n v="8.3333333333333329E-2"/>
    <s v="Programada"/>
    <s v="Arranque planta"/>
    <x v="1"/>
    <x v="1"/>
    <s v="CAMBIO DE ENERGIA"/>
    <m/>
  </r>
  <r>
    <x v="3"/>
    <s v="viernes"/>
    <x v="0"/>
    <d v="1899-12-30T20:40:00"/>
    <d v="1899-12-30T20:57:00"/>
    <n v="0.28333333333333333"/>
    <s v="Operativa"/>
    <s v="Falta de fruta esterilizada"/>
    <x v="2"/>
    <x v="2"/>
    <s v="FALTA DE FRUTO ESTERILIZADO"/>
    <m/>
  </r>
  <r>
    <x v="4"/>
    <s v="sábado"/>
    <x v="0"/>
    <d v="1899-12-30T00:23:00"/>
    <d v="1899-12-30T01:00:00"/>
    <n v="0.6166666666666667"/>
    <s v="Operativa"/>
    <s v="Falta de fruta esterilizada"/>
    <x v="2"/>
    <x v="2"/>
    <s v="FALTA DE FRUTO ESTERILIZADO"/>
    <m/>
  </r>
  <r>
    <x v="5"/>
    <s v="martes"/>
    <x v="0"/>
    <d v="1899-12-30T10:57:00"/>
    <d v="1899-12-30T11:06:00"/>
    <n v="0.15"/>
    <s v="Programada"/>
    <s v="Arranque planta"/>
    <x v="1"/>
    <x v="1"/>
    <s v="CAMBIO DE ENERGIA"/>
    <m/>
  </r>
  <r>
    <x v="6"/>
    <s v="miércoles"/>
    <x v="0"/>
    <d v="1899-12-30T09:06:00"/>
    <d v="1899-12-30T09:09:00"/>
    <n v="0.05"/>
    <s v="Programada"/>
    <s v="Arranque planta"/>
    <x v="1"/>
    <x v="1"/>
    <s v="CAMBIO DE ENERGIA"/>
    <m/>
  </r>
  <r>
    <x v="6"/>
    <s v="miércoles"/>
    <x v="0"/>
    <d v="1899-12-30T21:10:00"/>
    <d v="1899-12-30T21:20:00"/>
    <n v="0.16666666666666666"/>
    <s v="Operativa"/>
    <s v="Falta de fruta esterilizada"/>
    <x v="2"/>
    <x v="2"/>
    <s v="FALTA DE FRUTO ESTERILIZADO"/>
    <m/>
  </r>
  <r>
    <x v="6"/>
    <s v="miércoles"/>
    <x v="0"/>
    <d v="1899-12-30T22:43:00"/>
    <d v="1899-12-30T22:54:00"/>
    <n v="0.18333333333333332"/>
    <s v="Operativa"/>
    <s v="Falta de fruta esterilizada"/>
    <x v="2"/>
    <x v="2"/>
    <s v="FALTA DE FRUTO ESTERILIZADO"/>
    <m/>
  </r>
  <r>
    <x v="7"/>
    <s v="jueves"/>
    <x v="0"/>
    <d v="1899-12-30T02:10:00"/>
    <d v="1899-12-30T02:20:00"/>
    <n v="0.16666666666666666"/>
    <s v="Operativa"/>
    <s v="Falta de fruta esterilizada"/>
    <x v="2"/>
    <x v="2"/>
    <s v="FALTA DE FRUTO ESTERILIZADO"/>
    <m/>
  </r>
  <r>
    <x v="7"/>
    <s v="jueves"/>
    <x v="0"/>
    <d v="1899-12-30T08:02:00"/>
    <d v="1899-12-31T00:00:00"/>
    <n v="15.966666666666667"/>
    <s v="Mantenimiento"/>
    <s v="Falla mecánica"/>
    <x v="0"/>
    <x v="0"/>
    <s v="DAÑO DE RODAMIENTOS DE REDUCTOR DE LA PRENSA P15"/>
    <m/>
  </r>
  <r>
    <x v="8"/>
    <s v="viernes"/>
    <x v="0"/>
    <d v="1899-12-30T00:01:00"/>
    <d v="1899-12-31T00:00:00"/>
    <n v="23.983333333333334"/>
    <s v="Mantenimiento"/>
    <s v="Falla mecánica"/>
    <x v="0"/>
    <x v="0"/>
    <s v="DAÑO DE RODAMIENTOS DE REDUCTOR DE LA PRENSA P16"/>
    <m/>
  </r>
  <r>
    <x v="9"/>
    <s v="sábado"/>
    <x v="0"/>
    <d v="1899-12-30T00:01:00"/>
    <d v="1899-12-30T06:00:00"/>
    <n v="5.9833333333333334"/>
    <s v="Mantenimiento"/>
    <s v="Falla mecánica"/>
    <x v="0"/>
    <x v="0"/>
    <s v="DAÑO DE RODAMIENTOS DE REDUCTOR DE LA PRENSA P17"/>
    <m/>
  </r>
  <r>
    <x v="9"/>
    <s v="sábado"/>
    <x v="0"/>
    <d v="1899-12-30T09:25:00"/>
    <d v="1899-12-30T09:38:00"/>
    <n v="0.21666666666666667"/>
    <s v="Mantenimiento"/>
    <s v="Falla operativa"/>
    <x v="0"/>
    <x v="0"/>
    <s v="REVISION POLEAS MOTOR DE PRENSA"/>
    <m/>
  </r>
  <r>
    <x v="9"/>
    <s v="sábado"/>
    <x v="0"/>
    <d v="1899-12-30T12:03:00"/>
    <d v="1899-12-30T12:38:00"/>
    <n v="0.58333333333333337"/>
    <s v="Mantenimiento"/>
    <s v="Falla operativa"/>
    <x v="0"/>
    <x v="0"/>
    <s v="REVISION DE MOTOREDUCTOR "/>
    <m/>
  </r>
  <r>
    <x v="9"/>
    <s v="sábado"/>
    <x v="0"/>
    <d v="1899-12-30T23:14:00"/>
    <d v="1899-12-30T23:28:00"/>
    <n v="0.23333333333333334"/>
    <s v="Operativa"/>
    <s v="Falta de fruta esterilizada"/>
    <x v="2"/>
    <x v="2"/>
    <s v="FALTA DE FRUTO ESTERILIZADO"/>
    <m/>
  </r>
  <r>
    <x v="10"/>
    <s v="domingo"/>
    <x v="0"/>
    <d v="1899-12-30T00:58:00"/>
    <d v="1899-12-30T01:12:00"/>
    <n v="0.23333333333333334"/>
    <s v="Operativa"/>
    <s v="Falta de fruta esterilizada"/>
    <x v="2"/>
    <x v="2"/>
    <s v="FALTA DE FRUTO ESTERILIZADO"/>
    <m/>
  </r>
  <r>
    <x v="10"/>
    <s v="domingo"/>
    <x v="0"/>
    <d v="1899-12-30T10:29:00"/>
    <d v="1899-12-30T10:36:00"/>
    <n v="0.11666666666666667"/>
    <s v="Mantenimiento"/>
    <s v="Falla mecánica"/>
    <x v="5"/>
    <x v="6"/>
    <s v="FALLA EN REDLER 4"/>
    <m/>
  </r>
  <r>
    <x v="11"/>
    <s v="martes"/>
    <x v="0"/>
    <d v="1899-12-30T03:42:00"/>
    <d v="1899-12-30T03:47:00"/>
    <n v="8.3333333333333329E-2"/>
    <s v="Programada"/>
    <s v="Arranque planta"/>
    <x v="1"/>
    <x v="1"/>
    <s v="CAMBIO DE ENERGIA"/>
    <m/>
  </r>
  <r>
    <x v="11"/>
    <s v="martes"/>
    <x v="0"/>
    <d v="1899-12-30T21:21:00"/>
    <d v="1899-12-31T00:00:00"/>
    <n v="2.65"/>
    <s v="Mantenimiento"/>
    <s v="Falla mecánica"/>
    <x v="5"/>
    <x v="7"/>
    <s v="FALLA EN LA BOMBA ALIMENTADORA  AGUA A CALDERA "/>
    <m/>
  </r>
  <r>
    <x v="12"/>
    <s v="miércoles"/>
    <x v="0"/>
    <d v="1899-12-30T00:01:00"/>
    <d v="1899-12-31T00:00:00"/>
    <n v="23.983333333333334"/>
    <s v="Mantenimiento"/>
    <s v="Falla mecánica"/>
    <x v="5"/>
    <x v="7"/>
    <s v="FALLA EN LA BOMBA ALIMENTADORA  AGUA A CALDERA "/>
    <m/>
  </r>
  <r>
    <x v="13"/>
    <s v="jueves"/>
    <x v="0"/>
    <d v="1899-12-30T00:01:00"/>
    <d v="1899-12-30T18:50:00"/>
    <n v="18.816666666666666"/>
    <s v="Mantenimiento"/>
    <s v="Falla mecánica"/>
    <x v="5"/>
    <x v="7"/>
    <s v="FALLA EN LA BOMBA ALIMENTADORA  AGUA A CALDERA "/>
    <m/>
  </r>
  <r>
    <x v="14"/>
    <s v="viernes"/>
    <x v="0"/>
    <d v="1899-12-30T02:15:00"/>
    <d v="1899-12-30T03:15:00"/>
    <n v="1"/>
    <s v="Operativa"/>
    <s v="Atascamiento"/>
    <x v="0"/>
    <x v="8"/>
    <s v="ATASCAMIENTO EN ELEVADOR DE FRUTO"/>
    <m/>
  </r>
  <r>
    <x v="14"/>
    <s v="viernes"/>
    <x v="0"/>
    <d v="1899-12-30T05:45:00"/>
    <d v="1899-12-30T08:00:00"/>
    <n v="2.25"/>
    <s v="Operativa"/>
    <s v="Atascamiento"/>
    <x v="0"/>
    <x v="8"/>
    <s v="ATASCAMIENTO EN ELEVADOR DE FRUTO"/>
    <m/>
  </r>
  <r>
    <x v="14"/>
    <s v="viernes"/>
    <x v="0"/>
    <d v="1899-12-30T20:34:00"/>
    <d v="1899-12-31T00:00:00"/>
    <n v="3.4333333333333336"/>
    <s v="Mantenimiento"/>
    <s v="Falla eléctrica"/>
    <x v="1"/>
    <x v="1"/>
    <s v="FALLA EN MOTORES DE ARRANQUE DE LA PLANTA ELECTRICA Y BATERIAS"/>
    <m/>
  </r>
  <r>
    <x v="15"/>
    <s v="sábado"/>
    <x v="0"/>
    <d v="1899-12-30T00:01:00"/>
    <d v="1899-12-31T00:00:00"/>
    <n v="23.983333333333334"/>
    <s v="Mantenimiento"/>
    <s v="Falla eléctrica"/>
    <x v="1"/>
    <x v="1"/>
    <s v="FALLA EN MOTORES DE ARRANQUE DE LA PLANTA ELECTRICA Y BATERIAS"/>
    <m/>
  </r>
  <r>
    <x v="16"/>
    <s v="domingo"/>
    <x v="0"/>
    <d v="1899-12-30T00:01:00"/>
    <d v="1899-12-30T10:25:00"/>
    <n v="10.4"/>
    <s v="Mantenimiento"/>
    <s v="Falla eléctrica"/>
    <x v="1"/>
    <x v="1"/>
    <s v="FALLA EN MOTORES DE ARRANQUE DE LA PLANTA ELECTRICA Y BATERIAS"/>
    <m/>
  </r>
  <r>
    <x v="17"/>
    <s v="lunes"/>
    <x v="0"/>
    <d v="1899-12-30T12:32:00"/>
    <d v="1899-12-30T13:45:00"/>
    <n v="1.2166666666666668"/>
    <s v="Externa"/>
    <s v="Capacitaciones"/>
    <x v="6"/>
    <x v="9"/>
    <s v="CAPACITACION CON ARL"/>
    <m/>
  </r>
  <r>
    <x v="18"/>
    <s v="martes"/>
    <x v="0"/>
    <d v="1899-12-30T07:32:00"/>
    <d v="1899-12-30T09:58:00"/>
    <n v="2.4333333333333336"/>
    <s v="Mantenimiento"/>
    <s v="Falla mecánica"/>
    <x v="2"/>
    <x v="10"/>
    <s v="DAÑO EN TOLVA DE FRUTO ESTERILIZADO"/>
    <m/>
  </r>
  <r>
    <x v="18"/>
    <s v="martes"/>
    <x v="0"/>
    <d v="1899-12-30T10:34:00"/>
    <d v="1899-12-30T11:03:00"/>
    <n v="0.48333333333333334"/>
    <s v="Operativa"/>
    <s v="Atascamiento"/>
    <x v="4"/>
    <x v="11"/>
    <s v="ATASCAMIENTO EN PRENSA RAQUIS"/>
    <m/>
  </r>
  <r>
    <x v="18"/>
    <s v="martes"/>
    <x v="0"/>
    <d v="1899-12-30T12:18:00"/>
    <d v="1899-12-30T12:33:00"/>
    <n v="0.25"/>
    <s v="Operativa"/>
    <s v="Falla eléctrica"/>
    <x v="1"/>
    <x v="12"/>
    <s v="FALLA EN TURBINA"/>
    <m/>
  </r>
  <r>
    <x v="19"/>
    <s v="miércoles"/>
    <x v="0"/>
    <d v="1899-12-30T02:37:00"/>
    <d v="1899-12-30T02:48:00"/>
    <n v="0.18333333333333332"/>
    <s v="Operativa"/>
    <s v="Atascamiento"/>
    <x v="4"/>
    <x v="11"/>
    <s v="ATASCAMIENTO EN PRENSA RAQUIS"/>
    <m/>
  </r>
  <r>
    <x v="19"/>
    <s v="miércoles"/>
    <x v="0"/>
    <d v="1899-12-30T10:50:00"/>
    <d v="1899-12-30T10:59:00"/>
    <n v="0.15"/>
    <s v="Operativa"/>
    <s v="Falla operativa"/>
    <x v="0"/>
    <x v="13"/>
    <s v="RECUPERAR EL NIVEL DEL DIGESTOR Y DAR MASERACION "/>
    <m/>
  </r>
  <r>
    <x v="20"/>
    <s v="jueves"/>
    <x v="0"/>
    <d v="1899-12-30T04:50:00"/>
    <d v="1899-12-30T07:10:00"/>
    <n v="2.3333333333333335"/>
    <s v="Mantenimiento"/>
    <s v="Falla mecánica"/>
    <x v="7"/>
    <x v="14"/>
    <s v="FALLA EN REDLER #1"/>
    <m/>
  </r>
  <r>
    <x v="20"/>
    <s v="jueves"/>
    <x v="0"/>
    <d v="1899-12-30T07:40:00"/>
    <d v="1899-12-30T07:47:00"/>
    <n v="0.11666666666666667"/>
    <s v="Operativa"/>
    <s v="Atascamiento"/>
    <x v="4"/>
    <x v="11"/>
    <s v="ATASCAMIENTO EN PRENSA RAQUIS"/>
    <m/>
  </r>
  <r>
    <x v="20"/>
    <s v="jueves"/>
    <x v="0"/>
    <d v="1899-12-30T18:01:00"/>
    <d v="1899-12-30T18:16:00"/>
    <n v="0.25"/>
    <s v="Operativa"/>
    <s v="Falta de fruta esterilizada"/>
    <x v="2"/>
    <x v="2"/>
    <s v="FALTA DE FRUTO ESTERILIZADO"/>
    <m/>
  </r>
  <r>
    <x v="21"/>
    <s v="viernes"/>
    <x v="0"/>
    <d v="1899-12-30T09:08:00"/>
    <d v="1899-12-30T14:50:00"/>
    <n v="5.7"/>
    <s v="Operativa"/>
    <s v="Atascamiento"/>
    <x v="0"/>
    <x v="8"/>
    <s v="ATASCAMIENTO EN ELEVADOR DE FRUTO"/>
    <m/>
  </r>
  <r>
    <x v="21"/>
    <s v="viernes"/>
    <x v="0"/>
    <d v="1899-12-30T20:31:00"/>
    <d v="1899-12-30T21:15:00"/>
    <n v="0.73333333333333328"/>
    <s v="Operativa"/>
    <s v="Atascamiento"/>
    <x v="0"/>
    <x v="8"/>
    <s v="ATASCAMIENTO EN ELEVADOR DE FRUTO"/>
    <m/>
  </r>
  <r>
    <x v="22"/>
    <s v="martes"/>
    <x v="1"/>
    <d v="1899-12-30T13:02:00"/>
    <d v="1899-12-30T13:06:00"/>
    <n v="6.6666666666666666E-2"/>
    <s v="Programada"/>
    <s v="Arranque planta"/>
    <x v="1"/>
    <x v="1"/>
    <s v="CAMBIO DE ENERGIA"/>
    <m/>
  </r>
  <r>
    <x v="22"/>
    <s v="martes"/>
    <x v="1"/>
    <d v="1899-12-30T14:37:00"/>
    <d v="1899-12-30T14:39:00"/>
    <n v="3.3333333333333333E-2"/>
    <s v="Programada"/>
    <s v="Arranque planta"/>
    <x v="1"/>
    <x v="1"/>
    <s v="CAMBIO DE ENERGIA"/>
    <m/>
  </r>
  <r>
    <x v="22"/>
    <s v="martes"/>
    <x v="1"/>
    <d v="1899-12-30T15:03:00"/>
    <d v="1899-12-30T15:45:00"/>
    <n v="0.7"/>
    <s v="Operativa"/>
    <s v="Atascamiento"/>
    <x v="0"/>
    <x v="8"/>
    <s v="ATASCAMIENTO EN ELEVADOR DE FRUTO"/>
    <m/>
  </r>
  <r>
    <x v="23"/>
    <s v="miércoles"/>
    <x v="1"/>
    <d v="1899-12-30T15:20:00"/>
    <d v="1899-12-30T15:39:00"/>
    <n v="0.31666666666666665"/>
    <s v="Mantenimiento"/>
    <s v="Falla mecánica"/>
    <x v="3"/>
    <x v="15"/>
    <s v="FALLA EN VENTILADOR DE NUEZ ROTA"/>
    <m/>
  </r>
  <r>
    <x v="23"/>
    <s v="miércoles"/>
    <x v="1"/>
    <d v="1899-12-30T22:30:00"/>
    <d v="1899-12-30T22:42:00"/>
    <n v="0.2"/>
    <s v="Mantenimiento"/>
    <s v="Falla eléctrica"/>
    <x v="1"/>
    <x v="1"/>
    <s v="FALLA EN GENERADOR ELECTRICO"/>
    <m/>
  </r>
  <r>
    <x v="24"/>
    <s v="jueves"/>
    <x v="1"/>
    <d v="1899-12-30T09:35:00"/>
    <d v="1899-12-30T10:23:00"/>
    <n v="0.8"/>
    <s v="Operativa"/>
    <s v="Atascamiento"/>
    <x v="0"/>
    <x v="8"/>
    <s v="ATASCAMIENTO EN ELEVADOR DE FRUTO"/>
    <m/>
  </r>
  <r>
    <x v="25"/>
    <s v="viernes"/>
    <x v="1"/>
    <d v="1899-12-30T13:10:00"/>
    <d v="1899-12-30T14:00:00"/>
    <n v="0.83333333333333337"/>
    <s v="Mantenimiento"/>
    <s v="Falla mecánica"/>
    <x v="8"/>
    <x v="16"/>
    <s v="REPARACION DE CHUMACERA DEL SINIFIN TRANSPORTADOR DE SOLIDOS DEL TRICANTER"/>
    <m/>
  </r>
  <r>
    <x v="26"/>
    <s v="sábado"/>
    <x v="1"/>
    <d v="1899-12-30T08:56:00"/>
    <d v="1899-12-30T09:10:00"/>
    <n v="0.23333333333333334"/>
    <s v="Operativa"/>
    <s v="Falta de fruta esterilizada"/>
    <x v="2"/>
    <x v="2"/>
    <s v="FALTA DE FRUTO ESTERILIZADO"/>
    <m/>
  </r>
  <r>
    <x v="26"/>
    <s v="sábado"/>
    <x v="1"/>
    <d v="1899-12-30T09:33:00"/>
    <d v="1899-12-30T09:51:00"/>
    <n v="0.3"/>
    <s v="Mantenimiento"/>
    <s v="Falla mecánica"/>
    <x v="0"/>
    <x v="8"/>
    <s v="FALLA EN LA CHUMACERA DEL ELEVADOR DE FRUTO "/>
    <m/>
  </r>
  <r>
    <x v="26"/>
    <s v="sábado"/>
    <x v="1"/>
    <d v="1899-12-30T12:42:00"/>
    <d v="1899-12-30T13:04:00"/>
    <n v="0.36666666666666664"/>
    <s v="Operativa"/>
    <s v="Falta de fruta esterilizada"/>
    <x v="2"/>
    <x v="2"/>
    <s v="FALTA DE FRUTO ESTERILIZADO"/>
    <m/>
  </r>
  <r>
    <x v="26"/>
    <s v="sábado"/>
    <x v="1"/>
    <d v="1899-12-30T14:49:00"/>
    <d v="1899-12-30T15:04:00"/>
    <n v="0.25"/>
    <s v="Operativa"/>
    <s v="Falta de fruta esterilizada"/>
    <x v="2"/>
    <x v="2"/>
    <s v="FALTA DE FRUTO ESTERILIZADO"/>
    <m/>
  </r>
  <r>
    <x v="26"/>
    <s v="sábado"/>
    <x v="1"/>
    <d v="1899-12-30T18:38:00"/>
    <d v="1899-12-30T18:51:00"/>
    <n v="0.21666666666666667"/>
    <s v="Operativa"/>
    <s v="Falta de fruta esterilizada"/>
    <x v="2"/>
    <x v="2"/>
    <s v="FALTA DE FRUTO ESTERILIZADO"/>
    <m/>
  </r>
  <r>
    <x v="26"/>
    <s v="sábado"/>
    <x v="1"/>
    <d v="1899-12-30T20:33:00"/>
    <d v="1899-12-30T20:46:00"/>
    <n v="0.21666666666666667"/>
    <s v="Operativa"/>
    <s v="Falta de fruta esterilizada"/>
    <x v="2"/>
    <x v="2"/>
    <s v="FALTA DE FRUTO ESTERILIZADO"/>
    <m/>
  </r>
  <r>
    <x v="26"/>
    <s v="sábado"/>
    <x v="1"/>
    <d v="1899-12-30T22:35:00"/>
    <d v="1899-12-30T23:10:00"/>
    <n v="0.58333333333333337"/>
    <s v="Operativa"/>
    <s v="Falta de fruta esterilizada"/>
    <x v="2"/>
    <x v="2"/>
    <s v="FALTA DE FRUTO ESTERILIZADO"/>
    <m/>
  </r>
  <r>
    <x v="27"/>
    <s v="domingo"/>
    <x v="1"/>
    <d v="1899-12-30T01:08:00"/>
    <d v="1899-12-30T02:12:00"/>
    <n v="1.0666666666666667"/>
    <s v="Mantenimiento"/>
    <s v="Falla eléctrica"/>
    <x v="1"/>
    <x v="1"/>
    <s v="LIMPIEZA DE LOS FILTROS DEL GENERADOR "/>
    <m/>
  </r>
  <r>
    <x v="28"/>
    <s v="lunes"/>
    <x v="1"/>
    <d v="1899-12-30T15:00:00"/>
    <d v="1899-12-30T15:09:00"/>
    <n v="0.15"/>
    <s v="Programada"/>
    <s v="Arranque planta"/>
    <x v="1"/>
    <x v="1"/>
    <s v="CAMBIO DE ENERGIA"/>
    <m/>
  </r>
  <r>
    <x v="28"/>
    <s v="lunes"/>
    <x v="1"/>
    <d v="1899-12-30T15:37:00"/>
    <d v="1899-12-30T15:40:00"/>
    <n v="0.05"/>
    <s v="Programada"/>
    <s v="Arranque planta"/>
    <x v="1"/>
    <x v="1"/>
    <s v="CAMBIO DE ENERGIA"/>
    <m/>
  </r>
  <r>
    <x v="28"/>
    <s v="lunes"/>
    <x v="1"/>
    <d v="1899-12-30T15:52:00"/>
    <d v="1899-12-30T15:55:00"/>
    <n v="0.05"/>
    <s v="Programada"/>
    <s v="Arranque planta"/>
    <x v="1"/>
    <x v="1"/>
    <s v="CAMBIO DE ENERGIA"/>
    <m/>
  </r>
  <r>
    <x v="28"/>
    <s v="lunes"/>
    <x v="1"/>
    <d v="1899-12-30T17:42:00"/>
    <d v="1899-12-30T18:16:00"/>
    <n v="0.56666666666666665"/>
    <s v="Operativa"/>
    <s v="Atascamiento"/>
    <x v="0"/>
    <x v="13"/>
    <s v="ATASCAMIENTO DUCTO DEL DIGESTOR"/>
    <m/>
  </r>
  <r>
    <x v="29"/>
    <s v="viernes"/>
    <x v="1"/>
    <d v="1899-12-30T13:49:00"/>
    <d v="1899-12-30T13:53:00"/>
    <n v="6.6666666666666666E-2"/>
    <s v="Programada"/>
    <s v="Arranque planta"/>
    <x v="1"/>
    <x v="1"/>
    <s v="CAMBIO DE ENERGIA"/>
    <m/>
  </r>
  <r>
    <x v="30"/>
    <s v="sábado"/>
    <x v="1"/>
    <d v="1899-12-30T11:30:00"/>
    <d v="1899-12-30T13:58:00"/>
    <n v="2.4666666666666668"/>
    <s v="Operativa"/>
    <s v="Falla mecánica"/>
    <x v="9"/>
    <x v="17"/>
    <s v="FALLA EN SINFÍN BAJO DESFRUTADOR "/>
    <m/>
  </r>
  <r>
    <x v="31"/>
    <s v="domingo"/>
    <x v="1"/>
    <d v="1899-12-30T13:56:00"/>
    <d v="1899-12-30T14:39:00"/>
    <n v="0.71666666666666667"/>
    <s v="Operativa"/>
    <s v="Falta de fruta esterilizada"/>
    <x v="2"/>
    <x v="2"/>
    <s v="FALTA DE FRUTO ESTERILIZADO"/>
    <m/>
  </r>
  <r>
    <x v="31"/>
    <s v="domingo"/>
    <x v="1"/>
    <d v="1899-12-30T18:37:00"/>
    <d v="1899-12-30T19:07:00"/>
    <n v="0.5"/>
    <s v="Operativa"/>
    <s v="Falla mecánica"/>
    <x v="2"/>
    <x v="18"/>
    <s v="FALLA EN EL REDLER DE FRUTO ESTERILIZADO "/>
    <m/>
  </r>
  <r>
    <x v="32"/>
    <s v="martes"/>
    <x v="1"/>
    <d v="1899-12-30T11:51:00"/>
    <d v="1899-12-30T11:54:00"/>
    <n v="0.05"/>
    <s v="Programada"/>
    <s v="Arranque planta"/>
    <x v="1"/>
    <x v="1"/>
    <s v="CAMBIO DE ENERGIA"/>
    <m/>
  </r>
  <r>
    <x v="32"/>
    <s v="martes"/>
    <x v="1"/>
    <d v="1899-12-30T12:08:00"/>
    <d v="1899-12-30T21:30:00"/>
    <n v="9.3666666666666671"/>
    <s v="Mantenimiento"/>
    <s v="Falla mecánica"/>
    <x v="5"/>
    <x v="19"/>
    <s v="FALLA EN SINFÍN ALIMENTADOR DE CALDERA"/>
    <m/>
  </r>
  <r>
    <x v="32"/>
    <s v="martes"/>
    <x v="1"/>
    <d v="1899-12-30T23:00:00"/>
    <d v="1899-12-30T23:46:00"/>
    <n v="0.76666666666666672"/>
    <s v="Operativa"/>
    <s v="Falla operativa"/>
    <x v="0"/>
    <x v="0"/>
    <s v="QUEDA EN VACIO EL PANTALON DE LA PRENSA P15"/>
    <m/>
  </r>
  <r>
    <x v="33"/>
    <s v="miércoles"/>
    <x v="1"/>
    <d v="1899-12-30T01:40:00"/>
    <d v="1899-12-30T01:49:00"/>
    <n v="0.15"/>
    <s v="Programada"/>
    <s v="Arranque planta"/>
    <x v="1"/>
    <x v="1"/>
    <s v="CAMBIO DE ENERGIA"/>
    <m/>
  </r>
  <r>
    <x v="34"/>
    <s v="jueves"/>
    <x v="1"/>
    <d v="1899-12-30T20:00:00"/>
    <d v="1899-12-31T00:00:00"/>
    <n v="4"/>
    <s v="Operativa"/>
    <s v="Falla mecánica"/>
    <x v="0"/>
    <x v="8"/>
    <s v="SE REVENTO CADENA DEL ELEVADOR DE FRUTO"/>
    <m/>
  </r>
  <r>
    <x v="35"/>
    <s v="viernes"/>
    <x v="1"/>
    <d v="1899-12-30T00:01:00"/>
    <d v="1899-12-30T10:20:00"/>
    <n v="10.316666666666666"/>
    <s v="Operativa"/>
    <s v="Falla mecánica"/>
    <x v="0"/>
    <x v="8"/>
    <s v="SE REVENTO CADENA DEL ELEVADOR DE FRUTO"/>
    <m/>
  </r>
  <r>
    <x v="35"/>
    <s v="viernes"/>
    <x v="1"/>
    <d v="1899-12-30T12:30:00"/>
    <d v="1899-12-30T13:14:00"/>
    <n v="0.73333333333333328"/>
    <s v="Programada"/>
    <s v="Mantenimiento programado"/>
    <x v="0"/>
    <x v="8"/>
    <s v="REVISION PREVENTIVA"/>
    <m/>
  </r>
  <r>
    <x v="36"/>
    <s v="sábado"/>
    <x v="1"/>
    <d v="1899-12-30T13:00:00"/>
    <d v="1899-12-30T13:35:00"/>
    <n v="0.58333333333333337"/>
    <s v="Programada"/>
    <s v="Mantenimiento programado"/>
    <x v="0"/>
    <x v="8"/>
    <s v="REVISION PREVENTIVA"/>
    <m/>
  </r>
  <r>
    <x v="36"/>
    <s v="sábado"/>
    <x v="1"/>
    <d v="1899-12-30T23:06:00"/>
    <d v="1899-12-30T23:33:00"/>
    <n v="0.45"/>
    <s v="Programada"/>
    <s v="Mantenimiento programado"/>
    <x v="0"/>
    <x v="8"/>
    <s v="REVISION PREVENTIVA"/>
    <m/>
  </r>
  <r>
    <x v="37"/>
    <s v="domingo"/>
    <x v="1"/>
    <d v="1899-12-30T11:40:00"/>
    <d v="1899-12-30T12:00:00"/>
    <n v="0.33333333333333331"/>
    <s v="Programada"/>
    <s v="Mantenimiento programado"/>
    <x v="0"/>
    <x v="8"/>
    <s v="REVISION PREVENTIVA"/>
    <m/>
  </r>
  <r>
    <x v="38"/>
    <s v="lunes"/>
    <x v="1"/>
    <d v="1899-12-30T14:49:00"/>
    <d v="1899-12-30T14:53:00"/>
    <n v="6.6666666666666666E-2"/>
    <s v="Programada"/>
    <s v="Arranque planta"/>
    <x v="1"/>
    <x v="1"/>
    <s v="CAMBIO DE ENERGIA"/>
    <m/>
  </r>
  <r>
    <x v="38"/>
    <s v="lunes"/>
    <x v="1"/>
    <d v="1899-12-30T15:06:00"/>
    <d v="1899-12-30T15:10:00"/>
    <n v="6.6666666666666666E-2"/>
    <s v="Programada"/>
    <s v="Arranque planta"/>
    <x v="1"/>
    <x v="1"/>
    <s v="CAMBIO DE ENERGIA"/>
    <m/>
  </r>
  <r>
    <x v="38"/>
    <s v="lunes"/>
    <x v="1"/>
    <d v="1899-12-30T17:24:00"/>
    <d v="1899-12-30T17:37:00"/>
    <n v="0.21666666666666667"/>
    <s v="Operativa"/>
    <s v="Falta de fruta esterilizada"/>
    <x v="2"/>
    <x v="2"/>
    <s v="FALTA DE FRUTO ESTERILIZADO"/>
    <m/>
  </r>
  <r>
    <x v="39"/>
    <s v="martes"/>
    <x v="1"/>
    <d v="1899-12-30T10:56:00"/>
    <d v="1899-12-30T11:00:00"/>
    <n v="6.6666666666666666E-2"/>
    <s v="Operativa"/>
    <s v="Falla mecánica"/>
    <x v="2"/>
    <x v="2"/>
    <s v="FALLA EN LA APERTURA DE LA PUERTA SUPERIOR DEL ESTERILIZADOR"/>
    <m/>
  </r>
  <r>
    <x v="39"/>
    <s v="martes"/>
    <x v="1"/>
    <d v="1899-12-30T11:45:00"/>
    <d v="1899-12-30T12:24:00"/>
    <n v="0.65"/>
    <s v="Programada"/>
    <s v="Mantenimiento programado"/>
    <x v="0"/>
    <x v="8"/>
    <s v="REVISION PREVENTIVA"/>
    <m/>
  </r>
  <r>
    <x v="39"/>
    <s v="martes"/>
    <x v="1"/>
    <d v="1899-12-30T19:55:00"/>
    <d v="1899-12-30T20:56:00"/>
    <n v="1.0166666666666666"/>
    <s v="Operativa"/>
    <s v="Atascamiento"/>
    <x v="0"/>
    <x v="8"/>
    <s v="ATASCAMIENTO DEL ELEVADOR DE FRUTO "/>
    <m/>
  </r>
  <r>
    <x v="40"/>
    <m/>
    <x v="1"/>
    <d v="1899-12-30T11:54:00"/>
    <d v="1899-12-30T12:08:00"/>
    <n v="0.23333333333333334"/>
    <s v="Programada"/>
    <s v="Mantenimiento programado"/>
    <x v="0"/>
    <x v="8"/>
    <s v="REVISION PREVENTIVA"/>
    <m/>
  </r>
  <r>
    <x v="40"/>
    <m/>
    <x v="1"/>
    <d v="1899-12-30T13:38:00"/>
    <d v="1899-12-30T13:40:00"/>
    <n v="3.3333333333333333E-2"/>
    <s v="Operativa"/>
    <s v="Falla eléctrica"/>
    <x v="10"/>
    <x v="20"/>
    <s v="DAÑO EN EL CABLE DEL SENSOR DEL ELEVADOR DE NUEZ"/>
    <m/>
  </r>
  <r>
    <x v="41"/>
    <m/>
    <x v="1"/>
    <d v="1899-12-30T00:07:00"/>
    <d v="1899-12-30T01:08:00"/>
    <n v="1.0166666666666666"/>
    <s v="Programada"/>
    <s v="Mantenimiento programado"/>
    <x v="0"/>
    <x v="8"/>
    <s v="REVISION PREVENTIVA"/>
    <m/>
  </r>
  <r>
    <x v="41"/>
    <s v="jueves"/>
    <x v="1"/>
    <d v="1899-12-30T11:09:00"/>
    <d v="1899-12-30T11:31:00"/>
    <n v="0.36666666666666664"/>
    <s v="Programada"/>
    <s v="Mantenimiento programado"/>
    <x v="0"/>
    <x v="8"/>
    <s v="REVISION PREVENTIVA"/>
    <m/>
  </r>
  <r>
    <x v="41"/>
    <s v="jueves"/>
    <x v="1"/>
    <d v="1899-12-30T17:33:00"/>
    <d v="1899-12-30T17:40:00"/>
    <n v="0.11666666666666667"/>
    <s v="Operativa"/>
    <s v="Falta de fruta esterilizada"/>
    <x v="0"/>
    <x v="13"/>
    <s v="NIVEL BAJO DEL DIGESTOR"/>
    <m/>
  </r>
  <r>
    <x v="41"/>
    <s v="jueves"/>
    <x v="1"/>
    <d v="1899-12-30T19:00:00"/>
    <d v="1899-12-30T19:27:00"/>
    <n v="0.45"/>
    <s v="Operativa"/>
    <s v="Falta de fruta esterilizada"/>
    <x v="2"/>
    <x v="2"/>
    <s v="FALTA DE FRUTO ESTERILIZADO"/>
    <m/>
  </r>
  <r>
    <x v="42"/>
    <s v="viernes"/>
    <x v="1"/>
    <d v="1899-12-30T00:00:00"/>
    <d v="1899-12-30T00:33:00"/>
    <n v="0.55000000000000004"/>
    <s v="Programada"/>
    <s v="Mantenimiento programado"/>
    <x v="0"/>
    <x v="8"/>
    <s v="REVISION PREVENTIVA"/>
    <m/>
  </r>
  <r>
    <x v="42"/>
    <s v="viernes"/>
    <x v="1"/>
    <d v="1899-12-30T05:52:00"/>
    <d v="1899-12-30T08:33:00"/>
    <n v="2.6833333333333336"/>
    <s v="Operativa"/>
    <s v="Falla operativa"/>
    <x v="8"/>
    <x v="21"/>
    <s v="FUGA ENN TANQUE DE LODOS, SE ROMPIO EL PISO"/>
    <m/>
  </r>
  <r>
    <x v="42"/>
    <s v="viernes"/>
    <x v="1"/>
    <d v="1899-12-30T11:43:00"/>
    <d v="1899-12-30T12:06:00"/>
    <n v="0.38333333333333336"/>
    <s v="Programada"/>
    <s v="Mantenimiento programado"/>
    <x v="0"/>
    <x v="8"/>
    <s v="REVISION PREVENTIVA"/>
    <m/>
  </r>
  <r>
    <x v="42"/>
    <s v="viernes"/>
    <x v="1"/>
    <d v="1899-12-30T16:57:00"/>
    <d v="1899-12-30T17:50:00"/>
    <n v="0.8833333333333333"/>
    <s v="Operativa"/>
    <s v="Falla mecánica"/>
    <x v="0"/>
    <x v="8"/>
    <s v="FALLA ELEVADOR DE FRUTO "/>
    <m/>
  </r>
  <r>
    <x v="43"/>
    <s v="sábado"/>
    <x v="1"/>
    <d v="1899-12-30T01:12:00"/>
    <d v="1899-12-30T02:04:00"/>
    <n v="0.8666666666666667"/>
    <s v="Programada"/>
    <s v="Mantenimiento programado"/>
    <x v="0"/>
    <x v="8"/>
    <s v="REVISION PREVENTIVA"/>
    <m/>
  </r>
  <r>
    <x v="43"/>
    <s v="sábado"/>
    <x v="1"/>
    <d v="1899-12-30T11:17:00"/>
    <d v="1899-12-30T11:40:00"/>
    <n v="0.38333333333333336"/>
    <s v="Programada"/>
    <s v="Mantenimiento programado"/>
    <x v="0"/>
    <x v="8"/>
    <s v="REVISION PREVENTIVA"/>
    <m/>
  </r>
  <r>
    <x v="44"/>
    <s v="domingo"/>
    <x v="1"/>
    <d v="1899-12-30T00:23:00"/>
    <d v="1899-12-30T00:36:00"/>
    <n v="0.21666666666666667"/>
    <s v="Programada"/>
    <s v="Mantenimiento programado"/>
    <x v="0"/>
    <x v="8"/>
    <s v="REVISION PREVENTIVA"/>
    <m/>
  </r>
  <r>
    <x v="44"/>
    <s v="domingo"/>
    <x v="1"/>
    <d v="1899-12-30T06:08:00"/>
    <d v="1899-12-30T06:15:00"/>
    <n v="0.11666666666666667"/>
    <s v="Operativa"/>
    <s v="Falta de fruta esterilizada"/>
    <x v="0"/>
    <x v="13"/>
    <s v="NIVEL BAJO DEL DIGESTOR"/>
    <m/>
  </r>
  <r>
    <x v="45"/>
    <m/>
    <x v="2"/>
    <d v="1899-12-30T12:53:00"/>
    <d v="1899-12-30T19:14:00"/>
    <n v="6.35"/>
    <s v="Operativa"/>
    <s v="Falla operativa"/>
    <x v="2"/>
    <x v="2"/>
    <s v="SE ABRIO TAPA DEL ESTERILIZADOR"/>
    <m/>
  </r>
  <r>
    <x v="45"/>
    <s v="lunes"/>
    <x v="2"/>
    <d v="1899-12-30T19:20:00"/>
    <d v="1899-12-30T19:30:00"/>
    <n v="0.16666666666666666"/>
    <s v="Operativa"/>
    <s v="Falla operativa"/>
    <x v="0"/>
    <x v="13"/>
    <s v="ATASCAMIENTO EN DUCTO QUE VA DE DIGESTRO A PRENSA P15"/>
    <m/>
  </r>
  <r>
    <x v="46"/>
    <s v="martes"/>
    <x v="2"/>
    <d v="1899-12-30T06:00:00"/>
    <d v="1899-12-30T12:00:00"/>
    <n v="6"/>
    <s v="Mantenimiento"/>
    <s v="Mantenimiento programado"/>
    <x v="6"/>
    <x v="22"/>
    <s v="MANTENIMIENTO PROGRAMADO EN LA PLANTA "/>
    <m/>
  </r>
  <r>
    <x v="46"/>
    <s v="martes"/>
    <x v="2"/>
    <d v="1899-12-30T22:15:00"/>
    <d v="1899-12-30T22:25:00"/>
    <n v="0.16666666666666666"/>
    <s v="Operativa"/>
    <s v="Falla operativa"/>
    <x v="0"/>
    <x v="13"/>
    <s v="SE QUEDA SIN VAPOR EL DIGESTOR"/>
    <m/>
  </r>
  <r>
    <x v="46"/>
    <s v="martes"/>
    <x v="2"/>
    <d v="1899-12-30T23:20:00"/>
    <d v="1899-12-31T00:00:00"/>
    <n v="0.66666666666666663"/>
    <s v="Operativa"/>
    <s v="Falla mecánica"/>
    <x v="8"/>
    <x v="23"/>
    <s v="SE ROMPIO EL SELLO MECANICO DE LA BOMBA DE LODOS DESARENADOS "/>
    <m/>
  </r>
  <r>
    <x v="47"/>
    <s v="miércoles"/>
    <x v="2"/>
    <d v="1899-12-30T00:01:00"/>
    <d v="1899-12-30T09:00:00"/>
    <n v="8.9833333333333325"/>
    <s v="Operativa"/>
    <s v="Falla mecánica"/>
    <x v="8"/>
    <x v="23"/>
    <s v="CAMBIO DE BOMBA DE LODOS DESARENADOS"/>
    <m/>
  </r>
  <r>
    <x v="48"/>
    <s v="jueves"/>
    <x v="2"/>
    <d v="1899-12-30T09:03:00"/>
    <d v="1899-12-30T10:35:00"/>
    <n v="1.5333333333333332"/>
    <s v="Operativa"/>
    <s v="Falta de fruta esterilizada"/>
    <x v="2"/>
    <x v="2"/>
    <s v="FALTA DE FRUTO ESTERILIZADO"/>
    <m/>
  </r>
  <r>
    <x v="48"/>
    <s v="jueves"/>
    <x v="2"/>
    <d v="1899-12-30T17:55:00"/>
    <d v="1899-12-31T00:00:00"/>
    <n v="6.083333333333333"/>
    <s v="Operativa"/>
    <s v="Falla mecánica"/>
    <x v="0"/>
    <x v="0"/>
    <s v="SE ROMPIERON LOS FUSIBLES DE LA PRENSA P15"/>
    <m/>
  </r>
  <r>
    <x v="49"/>
    <s v="viernes"/>
    <x v="2"/>
    <d v="1899-12-30T00:01:00"/>
    <d v="1899-12-30T10:00:00"/>
    <n v="9.9833333333333325"/>
    <s v="Operativa"/>
    <s v="Falla mecánica"/>
    <x v="0"/>
    <x v="0"/>
    <s v="SE ROMPIO EL EJE CORTO DE LA TRANSMISION DE LA PRENSA P15"/>
    <m/>
  </r>
  <r>
    <x v="50"/>
    <s v="sábado"/>
    <x v="2"/>
    <d v="1899-12-30T00:01:00"/>
    <d v="1899-12-30T14:55:00"/>
    <n v="14.9"/>
    <s v="Mantenimiento"/>
    <s v="Falla mecánica"/>
    <x v="0"/>
    <x v="8"/>
    <s v="CAMBIO DE CADENA DEL ELEVADOR DE FRUTO "/>
    <m/>
  </r>
  <r>
    <x v="51"/>
    <s v="domingo"/>
    <x v="2"/>
    <d v="1899-12-30T05:13:00"/>
    <d v="1899-12-30T06:37:00"/>
    <n v="1.4"/>
    <s v="Operativa"/>
    <s v="Atascamiento"/>
    <x v="0"/>
    <x v="8"/>
    <s v="ATASCAMIENTO DEL ELEVADOR DE FRUTO "/>
    <m/>
  </r>
  <r>
    <x v="51"/>
    <s v="domingo"/>
    <x v="2"/>
    <d v="1899-12-30T07:59:00"/>
    <d v="1899-12-30T08:47:00"/>
    <n v="0.8"/>
    <s v="Operativa"/>
    <s v="Falla mecánica"/>
    <x v="0"/>
    <x v="8"/>
    <s v="DESALINEACION DEL EJE EN EL ELEVADOR"/>
    <m/>
  </r>
  <r>
    <x v="52"/>
    <s v="martes"/>
    <x v="2"/>
    <d v="1899-12-30T20:20:00"/>
    <d v="1899-12-30T20:56:00"/>
    <n v="0.6"/>
    <s v="Operativa"/>
    <s v="Atascamiento"/>
    <x v="0"/>
    <x v="8"/>
    <s v="ATASCAMIENTO DEL ELEVADOR DE FRUTO "/>
    <m/>
  </r>
  <r>
    <x v="53"/>
    <s v="miércoles"/>
    <x v="2"/>
    <d v="1899-12-30T09:05:00"/>
    <d v="1899-12-30T15:00:00"/>
    <n v="5.916666666666667"/>
    <s v="Operativa"/>
    <s v="Falta de fruta fresca"/>
    <x v="7"/>
    <x v="24"/>
    <s v="FALTA DE FRUTO EN RECEPCCION "/>
    <m/>
  </r>
  <r>
    <x v="53"/>
    <s v="miércoles"/>
    <x v="2"/>
    <d v="1899-12-30T10:01:00"/>
    <d v="1899-12-30T10:22:00"/>
    <n v="0.35"/>
    <s v="Operativa"/>
    <s v="Falta de fruta esterilizada"/>
    <x v="2"/>
    <x v="2"/>
    <s v="FALTA DE FRUTO ESTERILIZADO"/>
    <m/>
  </r>
  <r>
    <x v="53"/>
    <s v="miércoles"/>
    <x v="2"/>
    <d v="1899-12-30T12:02:00"/>
    <d v="1899-12-30T12:15:00"/>
    <n v="0.21666666666666667"/>
    <s v="Operativa"/>
    <s v="Falta de fruta esterilizada"/>
    <x v="2"/>
    <x v="2"/>
    <s v="FALTA DE FRUTO ESTERILIZADO"/>
    <m/>
  </r>
  <r>
    <x v="54"/>
    <s v="viernes"/>
    <x v="2"/>
    <d v="1899-12-30T15:09:00"/>
    <d v="1899-12-30T17:48:00"/>
    <n v="2.65"/>
    <s v="Mantenimiento"/>
    <s v="Mantenimiento programado"/>
    <x v="2"/>
    <x v="2"/>
    <s v="CORRECCION DE FUGA EN DUCTO DE REDLER A ESTERILIZADOR"/>
    <m/>
  </r>
  <r>
    <x v="54"/>
    <s v="viernes"/>
    <x v="2"/>
    <d v="1899-12-30T22:26:00"/>
    <d v="1899-12-30T23:12:00"/>
    <n v="0.76666666666666672"/>
    <s v="Operativa"/>
    <s v="Atascamiento"/>
    <x v="4"/>
    <x v="11"/>
    <s v="ATASCAMIENTO EN PRENSA RAQUIS"/>
    <m/>
  </r>
  <r>
    <x v="55"/>
    <s v="sábado"/>
    <x v="2"/>
    <d v="1899-12-30T07:49:00"/>
    <d v="1899-12-30T08:13:00"/>
    <n v="0.4"/>
    <s v="Operativa"/>
    <s v="Falta de fruta esterilizada"/>
    <x v="2"/>
    <x v="2"/>
    <s v="FALTA DE FRUTO ESTERILIZADO"/>
    <m/>
  </r>
  <r>
    <x v="55"/>
    <s v="sábado"/>
    <x v="2"/>
    <d v="1899-12-30T09:53:00"/>
    <d v="1899-12-30T10:10:00"/>
    <n v="0.28333333333333333"/>
    <s v="Operativa"/>
    <s v="Atascamiento"/>
    <x v="9"/>
    <x v="17"/>
    <s v="ATASCAMIENTO EN EL DUCTO DEL SINFÍN BAJO DESFRUTADOR"/>
    <m/>
  </r>
  <r>
    <x v="56"/>
    <s v="domingo"/>
    <x v="2"/>
    <d v="1899-12-30T07:15:00"/>
    <d v="1899-12-30T07:23:00"/>
    <n v="0.13333333333333333"/>
    <s v="Operativa"/>
    <s v="Falta de fruta esterilizada"/>
    <x v="2"/>
    <x v="2"/>
    <s v="FALTA DE FRUTO ESTERILIZADO"/>
    <m/>
  </r>
  <r>
    <x v="57"/>
    <s v="lunes"/>
    <x v="2"/>
    <d v="1899-12-30T18:15:00"/>
    <d v="1899-12-30T18:40:00"/>
    <n v="0.41666666666666669"/>
    <s v="Operativa"/>
    <s v="Atascamiento"/>
    <x v="4"/>
    <x v="11"/>
    <s v="ATASCAMIENTO EN PRENSA RAQUIS"/>
    <m/>
  </r>
  <r>
    <x v="57"/>
    <s v="lunes"/>
    <x v="2"/>
    <d v="1899-12-30T19:59:00"/>
    <d v="1899-12-31T00:00:00"/>
    <n v="4.0166666666666666"/>
    <s v="Programada"/>
    <s v="Apagado planta"/>
    <x v="8"/>
    <x v="25"/>
    <s v="DESOCUPAR EL PRECLARIFICADOR PARA REALIZAR BACHE DE SOAGROCOL"/>
    <m/>
  </r>
  <r>
    <x v="58"/>
    <s v="martes"/>
    <x v="2"/>
    <d v="1899-12-30T00:01:00"/>
    <d v="1899-12-30T04:40:00"/>
    <n v="4.6500000000000004"/>
    <s v="Programada"/>
    <s v="Apagado planta"/>
    <x v="8"/>
    <x v="25"/>
    <s v="DESOCUPAR EL PRECLARIFICADOR PARA REALIZAR BACHE DE SOAGROCOL"/>
    <m/>
  </r>
  <r>
    <x v="58"/>
    <s v="martes"/>
    <x v="2"/>
    <d v="1899-12-30T06:06:00"/>
    <d v="1899-12-30T06:40:00"/>
    <n v="0.56666666666666665"/>
    <s v="Operativa"/>
    <s v="Falta de fruta esterilizada"/>
    <x v="2"/>
    <x v="2"/>
    <s v="FALTA DE FRUTO ESTERILIZADO"/>
    <m/>
  </r>
  <r>
    <x v="58"/>
    <s v="martes"/>
    <x v="2"/>
    <d v="1899-12-30T19:00:00"/>
    <d v="1899-12-30T20:15:00"/>
    <n v="1.25"/>
    <s v="Operativa"/>
    <s v="Falta de fruta esterilizada"/>
    <x v="2"/>
    <x v="2"/>
    <s v="FALTA DE FRUTO ESTERILIZADO"/>
    <m/>
  </r>
  <r>
    <x v="59"/>
    <s v="miércoles"/>
    <x v="2"/>
    <d v="1899-12-30T04:04:00"/>
    <d v="1899-12-30T04:42:00"/>
    <n v="0.6333333333333333"/>
    <s v="Operativa"/>
    <s v="Falta de fruta esterilizada"/>
    <x v="2"/>
    <x v="2"/>
    <s v="FALTA DE FRUTO ESTERILIZADO"/>
    <m/>
  </r>
  <r>
    <x v="59"/>
    <s v="miércoles"/>
    <x v="2"/>
    <d v="1899-12-30T19:02:00"/>
    <d v="1899-12-30T19:46:00"/>
    <n v="0.73333333333333328"/>
    <s v="Operativa"/>
    <s v="Falta de fruta esterilizada"/>
    <x v="2"/>
    <x v="2"/>
    <s v="FALTA DE FRUTO ESTERILIZADO"/>
    <m/>
  </r>
  <r>
    <x v="59"/>
    <s v="miércoles"/>
    <x v="2"/>
    <d v="1899-12-30T23:00:00"/>
    <d v="1899-12-31T00:00:00"/>
    <n v="1"/>
    <s v="Operativa"/>
    <s v="Atascamiento"/>
    <x v="0"/>
    <x v="8"/>
    <s v="ATASCAMIENTO DEL ELEVADOR DE FRUTO "/>
    <m/>
  </r>
  <r>
    <x v="60"/>
    <s v="jueves"/>
    <x v="2"/>
    <d v="1899-12-30T02:14:00"/>
    <d v="1899-12-30T02:16:00"/>
    <n v="3.3333333333333333E-2"/>
    <s v="Operativa"/>
    <s v="Atascamiento"/>
    <x v="8"/>
    <x v="22"/>
    <s v="ATASCAMIENTO EN TUBERIA DE ALIMENTACION AL TRICANTER"/>
    <m/>
  </r>
  <r>
    <x v="60"/>
    <s v="jueves"/>
    <x v="2"/>
    <d v="1899-12-30T08:58:00"/>
    <d v="1899-12-30T15:49:00"/>
    <n v="6.85"/>
    <s v="Operativa"/>
    <s v="Falta de fruta fresca"/>
    <x v="7"/>
    <x v="24"/>
    <s v="FALTA DE FRUTO EN RECEPCCION "/>
    <m/>
  </r>
  <r>
    <x v="60"/>
    <s v="jueves"/>
    <x v="2"/>
    <d v="1899-12-30T22:45:00"/>
    <d v="1899-12-31T00:00:00"/>
    <n v="1.25"/>
    <s v="Operativa"/>
    <s v="Atascamiento"/>
    <x v="0"/>
    <x v="8"/>
    <s v="ATASCAMIENTO DEL ELEVADOR DE FRUTO "/>
    <m/>
  </r>
  <r>
    <x v="61"/>
    <s v="viernes"/>
    <x v="2"/>
    <d v="1899-12-30T00:01:00"/>
    <d v="1899-12-30T00:47:00"/>
    <n v="0.76666666666666672"/>
    <s v="Operativa"/>
    <s v="Atascamiento"/>
    <x v="0"/>
    <x v="8"/>
    <s v="ATASCAMIENTO DEL ELEVADOR DE FRUTO "/>
    <m/>
  </r>
  <r>
    <x v="61"/>
    <s v="viernes"/>
    <x v="2"/>
    <d v="1899-12-30T10:25:00"/>
    <d v="1899-12-30T14:50:00"/>
    <n v="4.416666666666667"/>
    <s v="Operativa"/>
    <s v="Falta de fruta fresca"/>
    <x v="7"/>
    <x v="24"/>
    <s v="FALTA DE FRUTO EN RECEPCCION "/>
    <m/>
  </r>
  <r>
    <x v="61"/>
    <s v="viernes"/>
    <x v="2"/>
    <d v="1899-12-30T15:50:00"/>
    <d v="1899-12-30T15:59:00"/>
    <n v="0.15"/>
    <s v="Operativa"/>
    <s v="Atascamiento"/>
    <x v="0"/>
    <x v="13"/>
    <s v="ATASCAMIENTO EN DUCTO QUE VA DE DIGESTRO A PRENSA P15"/>
    <m/>
  </r>
  <r>
    <x v="62"/>
    <m/>
    <x v="2"/>
    <d v="1899-12-30T10:29:00"/>
    <d v="1899-12-30T10:38:00"/>
    <n v="0.15"/>
    <s v="Operativa"/>
    <s v="Falta de fruta esterilizada"/>
    <x v="2"/>
    <x v="2"/>
    <s v="FALTA DE FRUTO ESTERILIZADO"/>
    <m/>
  </r>
  <r>
    <x v="62"/>
    <m/>
    <x v="2"/>
    <d v="1899-12-30T10:40:00"/>
    <d v="1899-12-30T11:26:00"/>
    <n v="0.76666666666666672"/>
    <s v="Operativa"/>
    <s v="Falla mecánica"/>
    <x v="0"/>
    <x v="8"/>
    <s v="FALLA MECANICA EN EL ELEVADOR DE FRUTO"/>
    <m/>
  </r>
  <r>
    <x v="62"/>
    <m/>
    <x v="2"/>
    <d v="1899-12-30T12:57:00"/>
    <d v="1899-12-30T14:25:00"/>
    <n v="1.4666666666666668"/>
    <s v="Operativa"/>
    <s v="Falla eléctrica"/>
    <x v="1"/>
    <x v="1"/>
    <s v="SE APAGO LA PLANTA ELECTRICA"/>
    <m/>
  </r>
  <r>
    <x v="63"/>
    <m/>
    <x v="2"/>
    <d v="1899-12-30T08:34:00"/>
    <d v="1899-12-30T10:26:00"/>
    <n v="1.8666666666666667"/>
    <s v="Mantenimiento"/>
    <s v="Mantenimiento programado"/>
    <x v="2"/>
    <x v="2"/>
    <s v="INTERVENCION DEL SENSOR DEL ANILLO DE LA PUERTA INFERIROR DEL ESTERILIZADOR"/>
    <m/>
  </r>
  <r>
    <x v="64"/>
    <m/>
    <x v="2"/>
    <d v="1899-12-30T08:35:00"/>
    <d v="1899-12-30T08:43:00"/>
    <n v="0.13333333333333333"/>
    <s v="Operativa"/>
    <s v="Atascamiento"/>
    <x v="4"/>
    <x v="11"/>
    <s v="ATASCAMIENTO EN PPRENSA RAQUIS"/>
    <m/>
  </r>
  <r>
    <x v="65"/>
    <m/>
    <x v="2"/>
    <d v="1899-12-30T11:36:00"/>
    <d v="1899-12-30T11:48:00"/>
    <n v="0.2"/>
    <s v="Operativa"/>
    <s v="Falla mecánica"/>
    <x v="10"/>
    <x v="26"/>
    <s v="FALLA EN EL ELEVADOR DE NUECES"/>
    <m/>
  </r>
  <r>
    <x v="65"/>
    <m/>
    <x v="2"/>
    <d v="1899-12-30T22:00:00"/>
    <d v="1899-12-31T00:00:00"/>
    <n v="2"/>
    <s v="Operativa"/>
    <s v="Falla mecánica"/>
    <x v="5"/>
    <x v="7"/>
    <s v="FALLA EN BOMBA ALIMENTADORA DE AGUA A CALDERA "/>
    <m/>
  </r>
  <r>
    <x v="66"/>
    <m/>
    <x v="2"/>
    <d v="1899-12-30T02:54:00"/>
    <d v="1899-12-30T04:05:00"/>
    <n v="1.1833333333333333"/>
    <s v="Operativa"/>
    <s v="Atascamiento"/>
    <x v="0"/>
    <x v="13"/>
    <s v="ATASCAMIENTO EN DUCTO QUE VA DE DIGESTRO A PRENSA P15"/>
    <m/>
  </r>
  <r>
    <x v="67"/>
    <m/>
    <x v="2"/>
    <d v="1899-12-30T18:45:00"/>
    <d v="1899-12-30T19:20:00"/>
    <n v="0.58333333333333337"/>
    <s v="Operativa"/>
    <s v="Falta de fruta esterilizada"/>
    <x v="2"/>
    <x v="2"/>
    <s v="FALTA DE FRUTO ESTERILIZADO"/>
    <m/>
  </r>
  <r>
    <x v="68"/>
    <m/>
    <x v="2"/>
    <d v="1899-12-30T00:02:00"/>
    <d v="1899-12-30T01:10:00"/>
    <n v="1.1333333333333333"/>
    <s v="Operativa"/>
    <s v="Falla eléctrica"/>
    <x v="1"/>
    <x v="1"/>
    <s v="SE APAGO LA PLANTA ELECTRICA"/>
    <m/>
  </r>
  <r>
    <x v="68"/>
    <m/>
    <x v="2"/>
    <d v="1899-12-30T01:15:00"/>
    <d v="1899-12-30T01:45:00"/>
    <n v="0.5"/>
    <s v="Operativa"/>
    <s v="Falta de fruta esterilizada"/>
    <x v="2"/>
    <x v="2"/>
    <s v="FALTA DE FRUTO ESTERILIZADO"/>
    <m/>
  </r>
  <r>
    <x v="69"/>
    <m/>
    <x v="2"/>
    <d v="1899-12-30T06:43:00"/>
    <d v="1899-12-30T06:48:00"/>
    <n v="8.3333333333333329E-2"/>
    <s v="Operativa"/>
    <s v="Falla mecánica"/>
    <x v="10"/>
    <x v="26"/>
    <s v="FALLA EN ELEVADOR DE NUECES "/>
    <m/>
  </r>
  <r>
    <x v="70"/>
    <m/>
    <x v="3"/>
    <d v="1899-12-30T16:11:00"/>
    <d v="1899-12-30T22:50:00"/>
    <n v="6.65"/>
    <s v="Operativa"/>
    <s v="Atascamiento"/>
    <x v="0"/>
    <x v="13"/>
    <s v="Se encontro un pedazo de lamina metalica dentro del digestor."/>
    <m/>
  </r>
  <r>
    <x v="71"/>
    <m/>
    <x v="3"/>
    <d v="1899-12-30T01:20:00"/>
    <d v="1899-12-30T01:35:00"/>
    <n v="0.25"/>
    <s v="Operativa"/>
    <s v="Atascamiento"/>
    <x v="4"/>
    <x v="11"/>
    <s v="se presenta atascamienot en la prensa de raquis "/>
    <m/>
  </r>
  <r>
    <x v="71"/>
    <m/>
    <x v="3"/>
    <d v="1899-12-30T16:17:00"/>
    <d v="1899-12-30T16:25:00"/>
    <n v="0.13333333333333333"/>
    <s v="Operativa"/>
    <s v="Falla eléctrica"/>
    <x v="10"/>
    <x v="26"/>
    <s v="Se presenta falla en la conexión del sensor del elevador de nuez"/>
    <m/>
  </r>
  <r>
    <x v="71"/>
    <m/>
    <x v="3"/>
    <d v="1899-12-30T20:44:00"/>
    <d v="1899-12-30T21:47:00"/>
    <n v="1.05"/>
    <s v="Operativa"/>
    <s v="Falta de fruta esterilizada"/>
    <x v="2"/>
    <x v="2"/>
    <s v="FALTA DE FRUTO ESTERILIZADO"/>
    <m/>
  </r>
  <r>
    <x v="72"/>
    <m/>
    <x v="3"/>
    <d v="1899-12-30T02:52:00"/>
    <d v="1899-12-30T03:26:00"/>
    <n v="0.56666666666666665"/>
    <s v="Operativa"/>
    <s v="Falta de fruta esterilizada"/>
    <x v="2"/>
    <x v="2"/>
    <s v="FALTA DE FRUTO ESTERILIZADO"/>
    <m/>
  </r>
  <r>
    <x v="72"/>
    <m/>
    <x v="3"/>
    <d v="1899-12-30T20:54:00"/>
    <d v="1899-12-30T21:16:00"/>
    <n v="0.36666666666666664"/>
    <s v="Operativa"/>
    <s v="Falta de fruta esterilizada"/>
    <x v="2"/>
    <x v="2"/>
    <s v="FALTA DE FRUTO ESTERILIZADO"/>
    <m/>
  </r>
  <r>
    <x v="72"/>
    <m/>
    <x v="3"/>
    <d v="1899-12-30T07:04:00"/>
    <d v="1899-12-30T07:25:00"/>
    <n v="0.35"/>
    <s v="Operativa"/>
    <s v="Falta de fruta esterilizada"/>
    <x v="2"/>
    <x v="2"/>
    <s v="FALTA DE FRUTO ESTERILIZADO"/>
    <m/>
  </r>
  <r>
    <x v="72"/>
    <m/>
    <x v="3"/>
    <d v="1899-12-30T12:47:00"/>
    <d v="1899-12-30T13:36:00"/>
    <n v="0.81666666666666665"/>
    <s v="Mantenimiento"/>
    <s v="Mantenimiento programado"/>
    <x v="5"/>
    <x v="12"/>
    <s v="AJUSTE DE PARAMETORS DE LA VALVULA DE ALIVIO"/>
    <m/>
  </r>
  <r>
    <x v="72"/>
    <m/>
    <x v="3"/>
    <d v="1899-12-30T14:47:00"/>
    <d v="1899-12-31T00:00:00"/>
    <n v="9.2166666666666668"/>
    <s v="Operativa"/>
    <s v="Falla mecánica"/>
    <x v="0"/>
    <x v="0"/>
    <s v="SE ROMPIO EL EJE LARGO DE LA TRANSMISION DE LA PRENSA P15"/>
    <m/>
  </r>
  <r>
    <x v="73"/>
    <m/>
    <x v="3"/>
    <d v="1899-12-30T00:01:00"/>
    <d v="1899-12-30T03:36:00"/>
    <n v="3.5833333333333335"/>
    <s v="Operativa"/>
    <s v="Falla mecánica"/>
    <x v="0"/>
    <x v="0"/>
    <s v="SE ROMPIO EL EJE LARGO DE LA TRANSMISION DE LA PRENSA P15"/>
    <m/>
  </r>
  <r>
    <x v="73"/>
    <m/>
    <x v="3"/>
    <d v="1899-12-30T09:23:00"/>
    <d v="1899-12-30T09:29:00"/>
    <n v="0.1"/>
    <s v="Programada"/>
    <s v="Arranque planta"/>
    <x v="1"/>
    <x v="12"/>
    <s v="CAMBIO DE ENERGIA"/>
    <m/>
  </r>
  <r>
    <x v="73"/>
    <m/>
    <x v="3"/>
    <d v="1899-12-30T18:43:00"/>
    <d v="1899-12-30T20:29:00"/>
    <n v="1.7666666666666666"/>
    <s v="Operativa"/>
    <s v="Atascamiento"/>
    <x v="0"/>
    <x v="8"/>
    <s v="ATASCAMIENTO DEL ELEVADOR DE FRUTO "/>
    <m/>
  </r>
  <r>
    <x v="74"/>
    <m/>
    <x v="3"/>
    <d v="1899-12-30T07:25:00"/>
    <d v="1899-12-30T08:35:00"/>
    <n v="1.1666666666666667"/>
    <s v="Operativa"/>
    <s v="Atascamiento"/>
    <x v="0"/>
    <x v="8"/>
    <s v="ATASCAMIENTO DEL ELEVADOR DE FRUTO "/>
    <m/>
  </r>
  <r>
    <x v="74"/>
    <m/>
    <x v="3"/>
    <d v="1899-12-30T10:10:00"/>
    <d v="1899-12-30T10:32:00"/>
    <n v="0.36666666666666664"/>
    <s v="Operativa"/>
    <s v="Falla mecánica"/>
    <x v="4"/>
    <x v="11"/>
    <s v="SE ROMPIO EL BYPASS DE LA PRENSA DE RAQUIS "/>
    <m/>
  </r>
  <r>
    <x v="75"/>
    <m/>
    <x v="3"/>
    <d v="1899-12-30T07:25:00"/>
    <d v="1899-12-30T08:16:00"/>
    <n v="0.85"/>
    <s v="Operativa"/>
    <s v="Falta de fruta esterilizada"/>
    <x v="2"/>
    <x v="2"/>
    <s v="FALTA DE FRUTO ESTERILIZADO"/>
    <m/>
  </r>
  <r>
    <x v="75"/>
    <m/>
    <x v="3"/>
    <d v="1899-12-30T11:01:00"/>
    <d v="1899-12-30T12:15:00"/>
    <n v="1.2333333333333334"/>
    <s v="Operativa"/>
    <s v="Atascamiento"/>
    <x v="3"/>
    <x v="27"/>
    <s v="SE ATAZCO LA ESCLUSA DEL VENTILADOR DE FIBRAS Y SE REVENTO LA CADENA DE TRASMISION."/>
    <m/>
  </r>
  <r>
    <x v="75"/>
    <m/>
    <x v="3"/>
    <d v="1899-12-30T19:35:00"/>
    <d v="1899-12-30T20:06:00"/>
    <n v="0.51666666666666672"/>
    <s v="Operativa"/>
    <s v="Falta de fruta esterilizada"/>
    <x v="2"/>
    <x v="2"/>
    <s v="FALTA DE FRUTO ESTERILIZADO"/>
    <m/>
  </r>
  <r>
    <x v="75"/>
    <m/>
    <x v="3"/>
    <d v="1899-12-30T22:53:00"/>
    <d v="1899-12-30T23:07:00"/>
    <n v="0.23333333333333334"/>
    <s v="Operativa"/>
    <s v="Falta de fruta esterilizada"/>
    <x v="2"/>
    <x v="2"/>
    <s v="FALTA DE FRUTO ESTERILIZADO"/>
    <m/>
  </r>
  <r>
    <x v="76"/>
    <m/>
    <x v="3"/>
    <d v="1899-12-30T02:15:00"/>
    <d v="1899-12-30T02:31:00"/>
    <n v="0.26666666666666666"/>
    <s v="Operativa"/>
    <s v="Falta de fruta esterilizada"/>
    <x v="2"/>
    <x v="2"/>
    <s v="FALTA DE FRUTO ESTERILIZADO"/>
    <m/>
  </r>
  <r>
    <x v="76"/>
    <m/>
    <x v="3"/>
    <d v="1899-12-30T04:03:00"/>
    <d v="1899-12-30T04:36:00"/>
    <n v="0.55000000000000004"/>
    <s v="Operativa"/>
    <s v="Falta de fruta esterilizada"/>
    <x v="2"/>
    <x v="2"/>
    <s v="FALTA DE FRUTO ESTERILIZADO"/>
    <m/>
  </r>
  <r>
    <x v="76"/>
    <m/>
    <x v="3"/>
    <d v="1899-12-30T06:17:00"/>
    <d v="1899-12-30T07:04:00"/>
    <n v="0.78333333333333333"/>
    <s v="Operativa"/>
    <s v="Falta de fruta esterilizada"/>
    <x v="2"/>
    <x v="2"/>
    <s v="FALTA DE FRUTO ESTERILIZADO"/>
    <m/>
  </r>
  <r>
    <x v="77"/>
    <m/>
    <x v="3"/>
    <d v="1899-12-30T11:00:00"/>
    <d v="1899-12-30T11:03:00"/>
    <n v="0.05"/>
    <s v="Programada"/>
    <s v="Arranque planta"/>
    <x v="1"/>
    <x v="12"/>
    <s v="CAMBIO DE ENERGIA"/>
    <m/>
  </r>
  <r>
    <x v="77"/>
    <m/>
    <x v="3"/>
    <d v="1899-12-30T14:00:00"/>
    <d v="1899-12-30T15:03:00"/>
    <n v="1.05"/>
    <s v="Operativa"/>
    <s v="Atascamiento"/>
    <x v="0"/>
    <x v="8"/>
    <s v="ATASCAMIENTO DEL ELEVADOR DE FRUTO "/>
    <m/>
  </r>
  <r>
    <x v="77"/>
    <m/>
    <x v="3"/>
    <d v="1899-12-30T10:36:00"/>
    <d v="1899-12-30T11:35:00"/>
    <n v="0.98333333333333328"/>
    <s v="Operativa"/>
    <s v="Atascamiento"/>
    <x v="0"/>
    <x v="8"/>
    <s v="ATASCAMIENTO DEL ELEVADOR DE FRUTO "/>
    <m/>
  </r>
  <r>
    <x v="78"/>
    <m/>
    <x v="3"/>
    <d v="1899-12-30T07:48:00"/>
    <d v="1899-12-30T08:23:00"/>
    <n v="0.58333333333333337"/>
    <s v="Operativa"/>
    <s v="Atascamiento"/>
    <x v="0"/>
    <x v="8"/>
    <s v="ATASCAMIENTO DEL ELEVADOR DE FRUTO "/>
    <m/>
  </r>
  <r>
    <x v="79"/>
    <m/>
    <x v="3"/>
    <d v="1899-12-30T08:10:00"/>
    <d v="1899-12-30T10:04:00"/>
    <n v="1.9"/>
    <s v="Operativa"/>
    <s v="Falla mecánica"/>
    <x v="0"/>
    <x v="8"/>
    <s v="CAMBIO DE RODAMEINTO"/>
    <m/>
  </r>
  <r>
    <x v="79"/>
    <s v="miércoles"/>
    <x v="3"/>
    <d v="1899-12-30T12:13:00"/>
    <d v="1899-12-30T12:20:00"/>
    <n v="0.11666666666666667"/>
    <s v="Operativa"/>
    <s v="Falla mecánica"/>
    <x v="0"/>
    <x v="8"/>
    <s v="SE DESALINEO EL PIÑON DEL SISTEMA DE TRASMISION DEL ELEVADOR DE FRUTO"/>
    <m/>
  </r>
  <r>
    <x v="79"/>
    <s v="miércoles"/>
    <x v="3"/>
    <d v="1899-12-30T13:17:00"/>
    <d v="1899-12-30T13:30:00"/>
    <n v="0.21666666666666667"/>
    <s v="Operativa"/>
    <s v="Falta de fruta esterilizada"/>
    <x v="2"/>
    <x v="2"/>
    <s v="FALTA DE FRUTO ESTERILIZADO"/>
    <m/>
  </r>
  <r>
    <x v="80"/>
    <m/>
    <x v="3"/>
    <d v="1899-12-30T08:08:00"/>
    <d v="1899-12-30T08:36:00"/>
    <n v="0.46666666666666667"/>
    <s v="Operativa"/>
    <s v="Falla mecánica"/>
    <x v="0"/>
    <x v="8"/>
    <s v="FALLA EN VARIADOR DEL ELEVADOR DE FRUTO "/>
    <m/>
  </r>
  <r>
    <x v="80"/>
    <m/>
    <x v="3"/>
    <d v="1899-12-30T13:30:00"/>
    <d v="1899-12-30T13:55:00"/>
    <n v="0.41666666666666669"/>
    <s v="Operativa"/>
    <s v="Falla mecánica"/>
    <x v="0"/>
    <x v="8"/>
    <s v="FALLA EN CUÑA DEL RODAMIENTO DE LA TRASMISION DEL MOTORREDUCTOR Y SE PROCEDE A CAMBIARLA"/>
    <m/>
  </r>
  <r>
    <x v="80"/>
    <m/>
    <x v="3"/>
    <d v="1899-12-30T17:15:00"/>
    <d v="1899-12-30T17:24:00"/>
    <n v="0.15"/>
    <s v="Operativa"/>
    <s v="Falta de fruta esterilizada"/>
    <x v="2"/>
    <x v="2"/>
    <s v="FALTA DE FRUTO ESTERILIZADO"/>
    <m/>
  </r>
  <r>
    <x v="80"/>
    <m/>
    <x v="3"/>
    <d v="1899-12-30T19:09:00"/>
    <d v="1899-12-30T19:52:00"/>
    <n v="0.71666666666666667"/>
    <s v="Operativa"/>
    <s v="Falta de fruta esterilizada"/>
    <x v="2"/>
    <x v="2"/>
    <s v="FALTA DE FRUTO ESTERILIZADO"/>
    <m/>
  </r>
  <r>
    <x v="81"/>
    <m/>
    <x v="3"/>
    <d v="1899-12-30T00:40:00"/>
    <d v="1899-12-30T01:48:00"/>
    <n v="1.1333333333333333"/>
    <s v="Operativa"/>
    <s v="Falta de fruta esterilizada"/>
    <x v="2"/>
    <x v="2"/>
    <s v="FALTA DE FRUTO ESTERILIZADO"/>
    <m/>
  </r>
  <r>
    <x v="81"/>
    <m/>
    <x v="3"/>
    <d v="1899-12-30T08:55:00"/>
    <d v="1899-12-30T09:16:00"/>
    <n v="0.35"/>
    <s v="Operativa"/>
    <s v="Falta de fruta esterilizada"/>
    <x v="2"/>
    <x v="2"/>
    <s v="FALTA DE FRUTO ESTERILIZADO"/>
    <m/>
  </r>
  <r>
    <x v="81"/>
    <m/>
    <x v="3"/>
    <d v="1899-12-30T11:00:00"/>
    <d v="1899-12-30T11:14:00"/>
    <n v="0.23333333333333334"/>
    <s v="Operativa"/>
    <s v="Falta de fruta esterilizada"/>
    <x v="2"/>
    <x v="2"/>
    <s v="FALTA DE FRUTO ESTERILIZADO"/>
    <m/>
  </r>
  <r>
    <x v="81"/>
    <m/>
    <x v="3"/>
    <d v="1899-12-30T12:51:00"/>
    <d v="1899-12-30T13:09:00"/>
    <n v="0.3"/>
    <s v="Operativa"/>
    <s v="Falta de fruta esterilizada"/>
    <x v="2"/>
    <x v="2"/>
    <s v="FALTA DE FRUTO ESTERILIZADO"/>
    <m/>
  </r>
  <r>
    <x v="81"/>
    <m/>
    <x v="3"/>
    <d v="1899-12-30T16:36:00"/>
    <d v="1899-12-30T16:44:00"/>
    <n v="0.13333333333333333"/>
    <s v="Operativa"/>
    <s v="Falta de fruta esterilizada"/>
    <x v="2"/>
    <x v="2"/>
    <s v="FALTA DE FRUTO ESTERILIZADO"/>
    <m/>
  </r>
  <r>
    <x v="81"/>
    <m/>
    <x v="3"/>
    <d v="1899-12-30T18:30:00"/>
    <d v="1899-12-30T20:34:00"/>
    <n v="2.0666666666666669"/>
    <s v="Operativa"/>
    <s v="Falta de fruta esterilizada"/>
    <x v="2"/>
    <x v="2"/>
    <s v="FALTA DE FRUTO ESTERILIZADO"/>
    <m/>
  </r>
  <r>
    <x v="82"/>
    <m/>
    <x v="3"/>
    <d v="1899-12-30T15:15:00"/>
    <d v="1899-12-30T15:33:00"/>
    <n v="0.3"/>
    <s v="Operativa"/>
    <s v="Falta de fruta esterilizada"/>
    <x v="2"/>
    <x v="2"/>
    <s v="FALTA DE FRUTO ESTERILIZADO"/>
    <m/>
  </r>
  <r>
    <x v="82"/>
    <m/>
    <x v="3"/>
    <d v="1899-12-30T08:37:00"/>
    <d v="1899-12-30T09:41:00"/>
    <n v="1.0666666666666667"/>
    <s v="Operativa"/>
    <s v="Falta de fruta esterilizada"/>
    <x v="2"/>
    <x v="2"/>
    <s v="FALTA DE FRUTO ESTERILIZADO"/>
    <m/>
  </r>
  <r>
    <x v="82"/>
    <m/>
    <x v="3"/>
    <d v="1899-12-30T11:26:00"/>
    <d v="1899-12-31T00:00:00"/>
    <n v="12.566666666666666"/>
    <s v="Operativa"/>
    <s v="Falla mecánica"/>
    <x v="0"/>
    <x v="0"/>
    <s v="SE ROMPIO EL EJE CORTO DE LA TRANSMISION DE LA PRENSA P15"/>
    <m/>
  </r>
  <r>
    <x v="83"/>
    <m/>
    <x v="3"/>
    <d v="1899-12-30T00:01:00"/>
    <d v="1899-12-30T20:21:00"/>
    <n v="20.333333333333332"/>
    <s v="Operativa"/>
    <s v="Falla mecánica"/>
    <x v="0"/>
    <x v="0"/>
    <s v="SE ROMPIO EL EJE CORTO DE LA TRANSMISION DE LA PRENSA P16"/>
    <m/>
  </r>
  <r>
    <x v="84"/>
    <m/>
    <x v="3"/>
    <d v="1899-12-30T13:42:00"/>
    <d v="1899-12-30T14:08:00"/>
    <n v="0.43333333333333335"/>
    <s v="Operativa"/>
    <s v="Atascamiento"/>
    <x v="2"/>
    <x v="10"/>
    <s v="Atazcamiento de fruta esterilizada en la tolva"/>
    <m/>
  </r>
  <r>
    <x v="84"/>
    <m/>
    <x v="3"/>
    <d v="1899-12-30T15:31:00"/>
    <d v="1899-12-30T15:40:00"/>
    <n v="0.15"/>
    <s v="Operativa"/>
    <s v="Falla eléctrica"/>
    <x v="3"/>
    <x v="6"/>
    <s v="FALLA EN SENSOR DEL REDLER #4"/>
    <m/>
  </r>
  <r>
    <x v="84"/>
    <m/>
    <x v="3"/>
    <d v="1899-12-30T16:24:00"/>
    <d v="1899-12-30T16:29:00"/>
    <n v="8.3333333333333329E-2"/>
    <s v="Programada"/>
    <s v="Arranque planta"/>
    <x v="1"/>
    <x v="12"/>
    <s v="CAMBIO DE ENERGIA"/>
    <m/>
  </r>
  <r>
    <x v="84"/>
    <m/>
    <x v="3"/>
    <d v="1899-12-30T16:39:00"/>
    <d v="1899-12-30T16:41:00"/>
    <n v="3.3333333333333333E-2"/>
    <s v="Programada"/>
    <s v="Arranque planta"/>
    <x v="1"/>
    <x v="12"/>
    <s v="CAMBIO DE ENERGIA"/>
    <m/>
  </r>
  <r>
    <x v="84"/>
    <m/>
    <x v="3"/>
    <d v="1899-12-30T17:18:00"/>
    <d v="1899-12-30T17:24:00"/>
    <n v="0.1"/>
    <s v="Operativa"/>
    <s v="Falla eléctrica"/>
    <x v="10"/>
    <x v="26"/>
    <s v="FALLA EN EL SENSOR DEL ELEVADOR DE NUEZ"/>
    <m/>
  </r>
  <r>
    <x v="85"/>
    <m/>
    <x v="3"/>
    <d v="1899-12-30T13:55:00"/>
    <d v="1899-12-30T15:11:00"/>
    <n v="1.2666666666666666"/>
    <s v="Operativa"/>
    <s v="Falta de fruta esterilizada"/>
    <x v="2"/>
    <x v="2"/>
    <s v="FALTA DE FRUTO ESTERILIZADO"/>
    <m/>
  </r>
  <r>
    <x v="86"/>
    <m/>
    <x v="3"/>
    <d v="1899-12-30T01:25:00"/>
    <d v="1899-12-30T02:04:00"/>
    <n v="0.65"/>
    <s v="Operativa"/>
    <s v="Falta de fruta esterilizada"/>
    <x v="2"/>
    <x v="2"/>
    <s v="FALTA DE FRUTO ESTERILIZADO"/>
    <m/>
  </r>
  <r>
    <x v="86"/>
    <m/>
    <x v="3"/>
    <d v="1899-12-30T03:53:00"/>
    <d v="1899-12-30T04:02:00"/>
    <n v="0.15"/>
    <s v="Operativa"/>
    <s v="Atascamiento"/>
    <x v="4"/>
    <x v="4"/>
    <s v="ATASCAMIENTO EN BANDA RAQUIS "/>
    <m/>
  </r>
  <r>
    <x v="86"/>
    <m/>
    <x v="3"/>
    <d v="1899-12-30T07:44:00"/>
    <d v="1899-12-30T11:18:00"/>
    <n v="3.5666666666666664"/>
    <s v="Operativa"/>
    <s v="Falla mecánica"/>
    <x v="4"/>
    <x v="4"/>
    <s v="FALLA EN MOTORREDUCTOR DE LA BANDA RAQUIS"/>
    <m/>
  </r>
  <r>
    <x v="86"/>
    <m/>
    <x v="3"/>
    <d v="1899-12-30T13:17:00"/>
    <d v="1899-12-30T13:52:00"/>
    <n v="0.58333333333333337"/>
    <s v="Operativa"/>
    <s v="Atascamiento"/>
    <x v="0"/>
    <x v="8"/>
    <s v="ATASCAMIENTO DEL ELEVADOR DE FRUTO "/>
    <m/>
  </r>
  <r>
    <x v="87"/>
    <m/>
    <x v="3"/>
    <d v="1899-12-30T03:04:00"/>
    <d v="1899-12-30T03:06:00"/>
    <n v="3.3333333333333333E-2"/>
    <s v="Programada"/>
    <s v="Arranque planta"/>
    <x v="1"/>
    <x v="12"/>
    <s v="CAMBIO DE ENERGIA"/>
    <m/>
  </r>
  <r>
    <x v="87"/>
    <m/>
    <x v="3"/>
    <d v="1899-12-30T05:10:00"/>
    <d v="1899-12-30T05:41:00"/>
    <n v="0.51666666666666672"/>
    <s v="Operativa"/>
    <s v="Atascamiento"/>
    <x v="4"/>
    <x v="4"/>
    <s v="ATASCAMIENTO EN BANDA RAQUIS "/>
    <m/>
  </r>
  <r>
    <x v="87"/>
    <m/>
    <x v="3"/>
    <d v="1899-12-30T10:19:00"/>
    <d v="1899-12-30T10:35:00"/>
    <n v="0.26666666666666666"/>
    <s v="Operativa"/>
    <s v="Falla mecánica"/>
    <x v="4"/>
    <x v="4"/>
    <s v="FALLA EN MOTORREDUCTOR DE LA BANDA RAQUIS"/>
    <m/>
  </r>
  <r>
    <x v="87"/>
    <m/>
    <x v="3"/>
    <d v="1899-12-30T18:30:00"/>
    <d v="1899-12-30T18:53:00"/>
    <n v="0.38333333333333336"/>
    <s v="Operativa"/>
    <s v="Atascamiento"/>
    <x v="4"/>
    <x v="4"/>
    <s v="ATASCAMIENTO EN BANDA RAQUIS "/>
    <m/>
  </r>
  <r>
    <x v="87"/>
    <m/>
    <x v="3"/>
    <d v="1899-12-30T21:36:00"/>
    <d v="1899-12-30T21:57:00"/>
    <n v="0.35"/>
    <s v="Operativa"/>
    <s v="Falta de fruta esterilizada"/>
    <x v="2"/>
    <x v="2"/>
    <s v="FALTA DE FRUTO ESTERILIZADO"/>
    <m/>
  </r>
  <r>
    <x v="87"/>
    <m/>
    <x v="3"/>
    <d v="1899-12-30T23:15:00"/>
    <d v="1899-12-30T23:40:00"/>
    <n v="0.41666666666666669"/>
    <s v="Operativa"/>
    <s v="Falta de fruta esterilizada"/>
    <x v="2"/>
    <x v="2"/>
    <s v="FALTA DE FRUTO ESTERILIZADO"/>
    <m/>
  </r>
  <r>
    <x v="88"/>
    <m/>
    <x v="3"/>
    <d v="1899-12-30T03:39:00"/>
    <d v="1899-12-30T03:46:00"/>
    <n v="0.11666666666666667"/>
    <s v="Programada"/>
    <s v="Arranque planta"/>
    <x v="1"/>
    <x v="12"/>
    <s v="CAMBIO DE ENERGIA"/>
    <m/>
  </r>
  <r>
    <x v="89"/>
    <m/>
    <x v="3"/>
    <d v="1899-12-30T06:23:00"/>
    <d v="1899-12-30T11:54:00"/>
    <n v="5.5166666666666666"/>
    <s v="Externa"/>
    <s v="Falta de fruta fresca"/>
    <x v="7"/>
    <x v="14"/>
    <s v="FALTA DE FRUTA FRESCA EN PLANTA"/>
    <m/>
  </r>
  <r>
    <x v="89"/>
    <m/>
    <x v="3"/>
    <d v="1899-12-30T13:37:00"/>
    <d v="1899-12-30T13:44:00"/>
    <n v="0.11666666666666667"/>
    <s v="Programada"/>
    <s v="Arranque planta"/>
    <x v="1"/>
    <x v="12"/>
    <s v="CAMBIO DE ENERGIA"/>
    <m/>
  </r>
  <r>
    <x v="89"/>
    <m/>
    <x v="3"/>
    <d v="1899-12-30T16:41:00"/>
    <d v="1899-12-30T17:03:00"/>
    <n v="0.36666666666666664"/>
    <s v="Operativa"/>
    <s v="Falla eléctrica"/>
    <x v="3"/>
    <x v="6"/>
    <s v="FALLA EN SENSOR DE REDLER #4"/>
    <m/>
  </r>
  <r>
    <x v="89"/>
    <m/>
    <x v="3"/>
    <d v="1899-12-30T19:30:00"/>
    <d v="1899-12-30T19:46:00"/>
    <n v="0.26666666666666666"/>
    <s v="Operativa"/>
    <s v="Atascamiento"/>
    <x v="2"/>
    <x v="10"/>
    <s v="FRUTA PEGADA EN TOLVA DE FRUTO ESTERILIZADO"/>
    <m/>
  </r>
  <r>
    <x v="90"/>
    <m/>
    <x v="4"/>
    <d v="1899-12-30T06:00:00"/>
    <d v="1899-12-30T16:00:00"/>
    <n v="10"/>
    <s v="Programada"/>
    <s v="Mantenimiento programado"/>
    <x v="6"/>
    <x v="28"/>
    <s v="MANTENIMIENTO PROGRAMADO EN LA PLANTA "/>
    <m/>
  </r>
  <r>
    <x v="91"/>
    <m/>
    <x v="4"/>
    <d v="1899-12-30T18:50:00"/>
    <d v="1899-12-30T19:43:00"/>
    <n v="0.8833333333333333"/>
    <s v="Operativa"/>
    <s v="Atascamiento"/>
    <x v="4"/>
    <x v="11"/>
    <s v="ATASCAMIENTO EN LA PRENSA RAQUIS"/>
    <m/>
  </r>
  <r>
    <x v="91"/>
    <m/>
    <x v="4"/>
    <d v="1899-12-30T20:19:00"/>
    <d v="1899-12-30T20:34:00"/>
    <n v="0.25"/>
    <s v="Operativa"/>
    <s v="Atascamiento"/>
    <x v="2"/>
    <x v="10"/>
    <s v="FRUTA PEGADA EN TOLVA DE FRUTO ESTERILIZADO"/>
    <m/>
  </r>
  <r>
    <x v="91"/>
    <m/>
    <x v="4"/>
    <d v="1899-12-30T21:18:00"/>
    <d v="1899-12-30T21:26:00"/>
    <n v="0.13333333333333333"/>
    <s v="Operativa"/>
    <s v="Atascamiento"/>
    <x v="2"/>
    <x v="10"/>
    <s v="FRUTA PEGADA EN TOLVA DE FRUTO ESTERILIZADO"/>
    <m/>
  </r>
  <r>
    <x v="92"/>
    <m/>
    <x v="4"/>
    <d v="1899-12-30T00:04:00"/>
    <d v="1899-12-30T00:09:00"/>
    <n v="8.3333333333333329E-2"/>
    <s v="Programada"/>
    <s v="Arranque planta"/>
    <x v="1"/>
    <x v="12"/>
    <s v="CAMBIO DE ENERGIA"/>
    <m/>
  </r>
  <r>
    <x v="92"/>
    <m/>
    <x v="4"/>
    <d v="1899-12-30T07:50:00"/>
    <d v="1899-12-30T07:58:00"/>
    <n v="0.13333333333333333"/>
    <s v="Programada"/>
    <s v="Arranque planta"/>
    <x v="1"/>
    <x v="12"/>
    <s v="CAMBIO DE ENERGIA"/>
    <m/>
  </r>
  <r>
    <x v="92"/>
    <m/>
    <x v="4"/>
    <d v="1899-12-30T11:20:00"/>
    <d v="1899-12-30T11:32:00"/>
    <n v="0.2"/>
    <s v="Operativa"/>
    <s v="Falla mecánica"/>
    <x v="2"/>
    <x v="29"/>
    <s v="FALLA EN MOTOR DE DOSIFICADOR "/>
    <m/>
  </r>
  <r>
    <x v="93"/>
    <m/>
    <x v="4"/>
    <d v="1899-12-30T00:54:00"/>
    <d v="1899-12-30T01:06:00"/>
    <n v="0.2"/>
    <s v="Operativa"/>
    <s v="Falta de fruta esterilizada"/>
    <x v="2"/>
    <x v="2"/>
    <s v="FALTA DE FRUTO ESTERILIZADO"/>
    <m/>
  </r>
  <r>
    <x v="93"/>
    <m/>
    <x v="4"/>
    <d v="1899-12-30T02:45:00"/>
    <d v="1899-12-30T02:50:00"/>
    <n v="8.3333333333333329E-2"/>
    <s v="Operativa"/>
    <s v="Falla eléctrica"/>
    <x v="3"/>
    <x v="30"/>
    <s v="SE APAGARON LAS ESCLUSAS DE DESFIBRADO"/>
    <m/>
  </r>
  <r>
    <x v="93"/>
    <m/>
    <x v="4"/>
    <d v="1899-12-30T09:10:00"/>
    <d v="1899-12-30T10:39:00"/>
    <n v="1.4833333333333334"/>
    <s v="Operativa"/>
    <s v="Falla eléctrica"/>
    <x v="10"/>
    <x v="26"/>
    <s v="FALLA EN ARRANQUE DEL ELEVADOR DE NUECES"/>
    <m/>
  </r>
  <r>
    <x v="93"/>
    <m/>
    <x v="4"/>
    <d v="1899-12-30T11:05:00"/>
    <d v="1899-12-30T11:07:00"/>
    <n v="3.3333333333333333E-2"/>
    <s v="Operativa"/>
    <s v="Falla eléctrica"/>
    <x v="10"/>
    <x v="26"/>
    <s v="FALLA EN ARRANQUE DEL ELEVADOR DE NUECES"/>
    <m/>
  </r>
  <r>
    <x v="93"/>
    <m/>
    <x v="4"/>
    <d v="1899-12-30T11:16:00"/>
    <d v="1899-12-30T11:22:00"/>
    <n v="0.1"/>
    <s v="Operativa"/>
    <s v="Falla eléctrica"/>
    <x v="10"/>
    <x v="26"/>
    <s v="FALLA EN ARRANQUE DEL ELEVADOR DE NUECES"/>
    <m/>
  </r>
  <r>
    <x v="93"/>
    <m/>
    <x v="4"/>
    <d v="1899-12-30T11:55:00"/>
    <d v="1899-12-30T12:20:00"/>
    <n v="0.41666666666666669"/>
    <s v="Programada"/>
    <s v="Arranque planta"/>
    <x v="1"/>
    <x v="12"/>
    <s v="CAMBIO DE ENERGIA"/>
    <m/>
  </r>
  <r>
    <x v="93"/>
    <m/>
    <x v="4"/>
    <d v="1899-12-30T17:12:00"/>
    <d v="1899-12-30T19:22:00"/>
    <n v="2.1666666666666665"/>
    <s v="Programada"/>
    <s v="Mantenimiento programado"/>
    <x v="0"/>
    <x v="8"/>
    <s v="CAMBIO DE MANGUITOS Y RODAMIENTOS DEL SISTEMA DE TRASMISION "/>
    <m/>
  </r>
  <r>
    <x v="93"/>
    <m/>
    <x v="4"/>
    <d v="1899-12-30T21:25:00"/>
    <d v="1899-12-30T21:31:00"/>
    <n v="0.1"/>
    <s v="Programada"/>
    <s v="Arranque planta"/>
    <x v="1"/>
    <x v="12"/>
    <s v="CAMBIO DE ENERGIA"/>
    <m/>
  </r>
  <r>
    <x v="94"/>
    <m/>
    <x v="4"/>
    <d v="1899-12-30T10:04:00"/>
    <d v="1899-12-30T10:14:00"/>
    <n v="0.16666666666666666"/>
    <s v="Programada"/>
    <s v="Arranque planta"/>
    <x v="1"/>
    <x v="12"/>
    <s v="CAMBIO DE ENERGIA"/>
    <m/>
  </r>
  <r>
    <x v="94"/>
    <m/>
    <x v="4"/>
    <d v="1899-12-30T10:26:00"/>
    <d v="1899-12-30T10:44:00"/>
    <n v="0.3"/>
    <s v="Operativa"/>
    <s v="Falta de fruta esterilizada"/>
    <x v="2"/>
    <x v="2"/>
    <s v="FALTA DE FRUTO ESTERILIZADO"/>
    <m/>
  </r>
  <r>
    <x v="94"/>
    <m/>
    <x v="4"/>
    <d v="1899-12-30T12:23:00"/>
    <d v="1899-12-30T13:14:00"/>
    <n v="0.85"/>
    <s v="Operativa"/>
    <s v="Falta de fruta esterilizada"/>
    <x v="2"/>
    <x v="2"/>
    <s v="FALTA DE FRUTO ESTERILIZADO"/>
    <m/>
  </r>
  <r>
    <x v="94"/>
    <m/>
    <x v="4"/>
    <d v="1899-12-30T21:33:00"/>
    <d v="1899-12-30T22:38:00"/>
    <n v="1.0833333333333333"/>
    <s v="Operativa"/>
    <s v="Falta de fruta esterilizada"/>
    <x v="2"/>
    <x v="2"/>
    <s v="FALTA DE FRUTO ESTERILIZADO"/>
    <m/>
  </r>
  <r>
    <x v="95"/>
    <m/>
    <x v="4"/>
    <d v="1899-12-30T01:34:00"/>
    <d v="1899-12-30T02:02:00"/>
    <n v="0.46666666666666667"/>
    <s v="Operativa"/>
    <s v="Falta de fruta esterilizada"/>
    <x v="2"/>
    <x v="2"/>
    <s v="FALTA DE FRUTO ESTERILIZADO"/>
    <m/>
  </r>
  <r>
    <x v="95"/>
    <m/>
    <x v="4"/>
    <d v="1899-12-30T16:31:00"/>
    <d v="1899-12-30T16:38:00"/>
    <n v="0.11666666666666667"/>
    <s v="Programada"/>
    <s v="Arranque planta"/>
    <x v="1"/>
    <x v="12"/>
    <s v="CAMBIO DE ENERGIA"/>
    <m/>
  </r>
  <r>
    <x v="95"/>
    <m/>
    <x v="4"/>
    <d v="1899-12-30T16:47:00"/>
    <d v="1899-12-30T16:52:00"/>
    <n v="8.3333333333333329E-2"/>
    <s v="Programada"/>
    <s v="Arranque planta"/>
    <x v="1"/>
    <x v="12"/>
    <s v="CAMBIO DE ENERGIA"/>
    <m/>
  </r>
  <r>
    <x v="95"/>
    <m/>
    <x v="4"/>
    <d v="1899-12-30T18:00:00"/>
    <d v="1899-12-30T18:22:00"/>
    <n v="0.36666666666666664"/>
    <s v="Operativa"/>
    <s v="Falla operativa"/>
    <x v="8"/>
    <x v="31"/>
    <s v="FUGA EN LA TAPA DE CEBADERO DE EFLUENTES"/>
    <m/>
  </r>
  <r>
    <x v="95"/>
    <m/>
    <x v="4"/>
    <d v="1899-12-30T19:04:00"/>
    <d v="1900-01-03T23:56:00"/>
    <n v="4.8666666666666671"/>
    <s v="Operativa"/>
    <s v="Atascamiento"/>
    <x v="10"/>
    <x v="32"/>
    <s v="ATASCAMIENTO EN RIPPLE MILL Y BANDA DE ELEVADOR EN MAL ESTADO  "/>
    <m/>
  </r>
  <r>
    <x v="96"/>
    <m/>
    <x v="4"/>
    <d v="1899-12-30T01:09:00"/>
    <d v="1899-12-30T01:12:00"/>
    <n v="0.05"/>
    <s v="Programada"/>
    <s v="Arranque planta"/>
    <x v="1"/>
    <x v="12"/>
    <s v="CAMBIO DE ENERGIA"/>
    <m/>
  </r>
  <r>
    <x v="96"/>
    <m/>
    <x v="4"/>
    <d v="1899-12-30T11:07:00"/>
    <d v="1899-12-30T11:22:00"/>
    <n v="0.25"/>
    <s v="Programada"/>
    <s v="Mantenimiento programado"/>
    <x v="3"/>
    <x v="6"/>
    <s v="CORRECCION DE BARREDORA SUELTA EN UNO DE SUS EXTREMOS "/>
    <m/>
  </r>
  <r>
    <x v="97"/>
    <m/>
    <x v="4"/>
    <d v="1899-12-30T07:00:00"/>
    <d v="1899-12-30T15:00:00"/>
    <n v="8"/>
    <s v="Programada"/>
    <s v="Mantenimiento programado"/>
    <x v="6"/>
    <x v="28"/>
    <s v="MANTENIMIENTO PROGRAMADO EN LA PLANTA "/>
    <m/>
  </r>
  <r>
    <x v="98"/>
    <m/>
    <x v="4"/>
    <d v="1899-12-30T11:47:00"/>
    <d v="1899-12-30T12:00:00"/>
    <n v="0.21666666666666667"/>
    <s v="Operativa"/>
    <s v="Falta de fruta esterilizada"/>
    <x v="0"/>
    <x v="13"/>
    <s v="BAJO NIVEL DEL DIGESTOR"/>
    <m/>
  </r>
  <r>
    <x v="98"/>
    <m/>
    <x v="4"/>
    <d v="1899-12-30T12:09:00"/>
    <d v="1899-12-30T13:03:00"/>
    <n v="0.9"/>
    <s v="Operativa"/>
    <s v="Falla eléctrica"/>
    <x v="0"/>
    <x v="8"/>
    <s v="ELEVADOR DE FRUTO PRESENTO FALLA ELECTRICA"/>
    <m/>
  </r>
  <r>
    <x v="99"/>
    <m/>
    <x v="4"/>
    <d v="1899-12-30T12:50:00"/>
    <d v="1899-12-30T13:03:00"/>
    <n v="0.21666666666666667"/>
    <s v="Operativa"/>
    <s v="Falta de fruta esterilizada"/>
    <x v="2"/>
    <x v="2"/>
    <s v="FALTA DE FRUTO ESTERILIZADO"/>
    <m/>
  </r>
  <r>
    <x v="99"/>
    <m/>
    <x v="4"/>
    <d v="1899-12-30T14:30:00"/>
    <d v="1899-12-30T14:34:00"/>
    <n v="6.6666666666666666E-2"/>
    <s v="Programada"/>
    <s v="Arranque planta"/>
    <x v="1"/>
    <x v="12"/>
    <s v="CAMBIO DE ENERGIA"/>
    <m/>
  </r>
  <r>
    <x v="99"/>
    <m/>
    <x v="4"/>
    <d v="1899-12-30T14:48:00"/>
    <d v="1899-12-30T14:53:00"/>
    <n v="8.3333333333333329E-2"/>
    <s v="Operativa"/>
    <s v="Falta de fruta esterilizada"/>
    <x v="2"/>
    <x v="2"/>
    <s v="FALTA DE FRUTO ESTERILIZADO"/>
    <m/>
  </r>
  <r>
    <x v="99"/>
    <m/>
    <x v="4"/>
    <d v="1899-12-30T16:34:00"/>
    <d v="1899-12-30T17:21:00"/>
    <n v="0.78333333333333333"/>
    <s v="Operativa"/>
    <s v="Falta de fruta esterilizada"/>
    <x v="2"/>
    <x v="2"/>
    <s v="FALTA DE FRUTO ESTERILIZADO"/>
    <m/>
  </r>
  <r>
    <x v="99"/>
    <m/>
    <x v="4"/>
    <d v="1899-12-30T20:34:00"/>
    <d v="1899-12-30T20:58:00"/>
    <n v="0.4"/>
    <s v="Operativa"/>
    <s v="Falta de fruta esterilizada"/>
    <x v="2"/>
    <x v="2"/>
    <s v="FALTA DE FRUTO ESTERILIZADO"/>
    <m/>
  </r>
  <r>
    <x v="99"/>
    <m/>
    <x v="4"/>
    <d v="1899-12-30T22:25:00"/>
    <d v="1899-12-30T22:44:00"/>
    <n v="0.31666666666666665"/>
    <s v="Operativa"/>
    <s v="Falta de fruta esterilizada"/>
    <x v="2"/>
    <x v="2"/>
    <s v="FALTA DE FRUTO ESTERILIZADO"/>
    <m/>
  </r>
  <r>
    <x v="99"/>
    <m/>
    <x v="4"/>
    <d v="1899-12-30T22:45:00"/>
    <d v="1906-02-26T00:00:00"/>
    <n v="1.25"/>
    <s v="Programada"/>
    <s v="Arranque planta"/>
    <x v="1"/>
    <x v="12"/>
    <s v="CAMBIO DE ENERGIA"/>
    <m/>
  </r>
  <r>
    <x v="100"/>
    <m/>
    <x v="4"/>
    <d v="1899-12-30T07:00:00"/>
    <d v="1899-12-30T23:00:00"/>
    <n v="16"/>
    <s v="Operativa"/>
    <s v="Falla operativa"/>
    <x v="6"/>
    <x v="33"/>
    <s v="FALTA DE CAPACIDAD EN LOS TANQUES DE ALMACENAMIENTO"/>
    <m/>
  </r>
  <r>
    <x v="101"/>
    <m/>
    <x v="4"/>
    <d v="1899-12-30T07:00:00"/>
    <d v="1899-12-30T23:00:00"/>
    <n v="16"/>
    <s v="Operativa"/>
    <s v="Falla operativa"/>
    <x v="6"/>
    <x v="34"/>
    <s v="FALTA DE CAPACIDAD EN LOS TANQUES DE ALMACENAMIENTO"/>
    <m/>
  </r>
  <r>
    <x v="102"/>
    <m/>
    <x v="4"/>
    <d v="1899-12-30T10:34:00"/>
    <d v="1899-12-30T10:43:00"/>
    <n v="0.15"/>
    <s v="Operativa"/>
    <s v="Atascamiento"/>
    <x v="2"/>
    <x v="10"/>
    <s v="ATASCAMIENTO EN TOLVA DE FRUTO ESTERILIZADO"/>
    <m/>
  </r>
  <r>
    <x v="102"/>
    <m/>
    <x v="4"/>
    <d v="1899-12-30T12:43:00"/>
    <d v="1899-12-30T13:36:00"/>
    <n v="0.8833333333333333"/>
    <s v="Operativa"/>
    <s v="Falta de fruta esterilizada"/>
    <x v="2"/>
    <x v="2"/>
    <s v="FALTA DE FRUTO ESTERILIZADO"/>
    <m/>
  </r>
  <r>
    <x v="102"/>
    <m/>
    <x v="4"/>
    <d v="1899-12-30T20:55:00"/>
    <d v="1899-12-30T21:08:00"/>
    <n v="0.21666666666666667"/>
    <s v="Operativa"/>
    <s v="Falta de fruta esterilizada"/>
    <x v="2"/>
    <x v="2"/>
    <s v="FALTA DE FRUTO ESTERILIZADO"/>
    <m/>
  </r>
  <r>
    <x v="103"/>
    <m/>
    <x v="4"/>
    <d v="1899-12-30T06:00:00"/>
    <d v="1899-12-30T14:00:00"/>
    <n v="8"/>
    <s v="Programada"/>
    <s v="Mantenimiento programado"/>
    <x v="6"/>
    <x v="28"/>
    <s v="MANTENIMIENTO PROGRAMADO EN LA PLANTA "/>
    <m/>
  </r>
  <r>
    <x v="104"/>
    <m/>
    <x v="4"/>
    <d v="1899-12-30T09:00:00"/>
    <d v="1899-12-30T09:16:00"/>
    <n v="0.26666666666666666"/>
    <s v="Operativa"/>
    <s v="Atascamiento"/>
    <x v="2"/>
    <x v="10"/>
    <s v="FRUTA PEGADA EN TOLVA DE FRUTO ESTERILIZADO"/>
    <m/>
  </r>
  <r>
    <x v="104"/>
    <m/>
    <x v="4"/>
    <d v="1899-12-30T13:54:00"/>
    <d v="1899-12-30T13:59:00"/>
    <n v="8.3333333333333329E-2"/>
    <s v="Programada"/>
    <s v="Arranque planta"/>
    <x v="1"/>
    <x v="12"/>
    <s v="CAMBIO DE ENERGIA"/>
    <m/>
  </r>
  <r>
    <x v="104"/>
    <m/>
    <x v="4"/>
    <d v="1899-12-30T22:01:00"/>
    <d v="1899-12-30T22:32:00"/>
    <n v="0.51666666666666672"/>
    <s v="Operativa"/>
    <s v="Falta de fruta esterilizada"/>
    <x v="2"/>
    <x v="2"/>
    <s v="FALTA DE FRUTO ESTERILIZADO"/>
    <m/>
  </r>
  <r>
    <x v="105"/>
    <m/>
    <x v="4"/>
    <d v="1899-12-30T00:01:00"/>
    <d v="1899-12-30T00:17:00"/>
    <n v="0.26666666666666666"/>
    <s v="Operativa"/>
    <s v="Falta de fruta esterilizada"/>
    <x v="2"/>
    <x v="2"/>
    <s v="FALTA DE FRUTO ESTERILIZADO"/>
    <m/>
  </r>
  <r>
    <x v="105"/>
    <m/>
    <x v="4"/>
    <d v="1899-12-30T11:08:00"/>
    <d v="1899-12-30T11:12:00"/>
    <n v="6.6666666666666666E-2"/>
    <s v="Operativa"/>
    <s v="Falla mecánica"/>
    <x v="3"/>
    <x v="6"/>
    <s v="FALLA EN REDLER #4"/>
    <m/>
  </r>
  <r>
    <x v="105"/>
    <m/>
    <x v="4"/>
    <d v="1899-12-30T12:13:00"/>
    <d v="1899-12-30T15:17:00"/>
    <n v="3.0666666666666669"/>
    <s v="Externa"/>
    <s v="Falta de fruta fresca"/>
    <x v="7"/>
    <x v="14"/>
    <s v="FALTA DE FRUTA FRESCA EN PLANTA"/>
    <m/>
  </r>
  <r>
    <x v="105"/>
    <m/>
    <x v="4"/>
    <d v="1899-12-30T17:01:00"/>
    <d v="1899-12-30T17:14:00"/>
    <n v="0.21666666666666667"/>
    <s v="Programada"/>
    <s v="Falla operativa"/>
    <x v="3"/>
    <x v="6"/>
    <s v="CAMBIO DE BARREDORA DEL REDLER #4"/>
    <m/>
  </r>
  <r>
    <x v="105"/>
    <m/>
    <x v="4"/>
    <d v="1899-12-30T20:20:00"/>
    <d v="1899-12-30T20:31:00"/>
    <n v="0.18333333333333332"/>
    <s v="Programada"/>
    <s v="Arranque planta"/>
    <x v="1"/>
    <x v="12"/>
    <s v="CAMBIO DE ENERGIA"/>
    <m/>
  </r>
  <r>
    <x v="105"/>
    <m/>
    <x v="4"/>
    <d v="1899-12-30T20:41:00"/>
    <d v="1899-12-30T20:46:00"/>
    <n v="8.3333333333333329E-2"/>
    <s v="Programada"/>
    <s v="Arranque planta"/>
    <x v="1"/>
    <x v="12"/>
    <s v="CAMBIO DE ENERGIA"/>
    <m/>
  </r>
  <r>
    <x v="105"/>
    <m/>
    <x v="4"/>
    <d v="1899-12-30T23:40:00"/>
    <d v="1899-12-31T00:00:00"/>
    <n v="0.33333333333333331"/>
    <s v="Operativa"/>
    <s v="Falta de fruta esterilizada"/>
    <x v="2"/>
    <x v="2"/>
    <s v="FALTA DE FRUTO ESTERILIZADO"/>
    <m/>
  </r>
  <r>
    <x v="106"/>
    <m/>
    <x v="4"/>
    <d v="1899-12-30T13:29:00"/>
    <d v="1899-12-30T13:33:00"/>
    <n v="6.6666666666666666E-2"/>
    <s v="Programada"/>
    <s v="Arranque planta"/>
    <x v="1"/>
    <x v="12"/>
    <s v="CAMBIO DE ENERGIA"/>
    <m/>
  </r>
  <r>
    <x v="106"/>
    <m/>
    <x v="4"/>
    <d v="1899-12-30T14:00:00"/>
    <d v="1899-12-30T14:29:00"/>
    <n v="0.48333333333333334"/>
    <s v="Operativa"/>
    <s v="Atascamiento"/>
    <x v="0"/>
    <x v="8"/>
    <s v="ATASCAMIENTO EN ELEVADOR DE FRUTO "/>
    <m/>
  </r>
  <r>
    <x v="106"/>
    <m/>
    <x v="4"/>
    <d v="1899-12-30T14:49:00"/>
    <d v="1899-12-30T15:01:00"/>
    <n v="0.2"/>
    <s v="Operativa"/>
    <s v="Falla eléctrica"/>
    <x v="3"/>
    <x v="6"/>
    <s v="FALLA EN SENSOR DEL REDLER #4"/>
    <m/>
  </r>
  <r>
    <x v="106"/>
    <m/>
    <x v="4"/>
    <d v="1899-12-30T16:51:00"/>
    <d v="1899-12-30T16:55:00"/>
    <n v="6.6666666666666666E-2"/>
    <s v="Programada"/>
    <s v="Arranque planta"/>
    <x v="1"/>
    <x v="12"/>
    <s v="CAMBIO DE ENERGIA"/>
    <m/>
  </r>
  <r>
    <x v="106"/>
    <m/>
    <x v="4"/>
    <d v="1899-12-30T17:15:00"/>
    <d v="1899-12-30T17:19:00"/>
    <n v="6.6666666666666666E-2"/>
    <s v="Programada"/>
    <s v="Arranque planta"/>
    <x v="1"/>
    <x v="12"/>
    <s v="CAMBIO DE ENERGIA"/>
    <m/>
  </r>
  <r>
    <x v="106"/>
    <m/>
    <x v="4"/>
    <d v="1899-12-30T17:24:00"/>
    <d v="1899-12-30T17:49:00"/>
    <n v="0.41666666666666669"/>
    <s v="Operativa"/>
    <s v="Atascamiento"/>
    <x v="0"/>
    <x v="8"/>
    <s v="ATASCAMIENTO EN ELEVADOR DE FRUTO "/>
    <m/>
  </r>
  <r>
    <x v="107"/>
    <m/>
    <x v="4"/>
    <d v="1899-12-30T01:12:00"/>
    <d v="1899-12-30T01:17:00"/>
    <n v="8.3333333333333329E-2"/>
    <s v="Programada"/>
    <s v="Arranque planta"/>
    <x v="1"/>
    <x v="12"/>
    <s v="CAMBIO DE ENERGIA"/>
    <m/>
  </r>
  <r>
    <x v="107"/>
    <m/>
    <x v="4"/>
    <d v="1899-12-30T11:30:00"/>
    <d v="1899-12-30T11:32:00"/>
    <n v="3.3333333333333333E-2"/>
    <s v="Programada"/>
    <s v="Arranque planta"/>
    <x v="1"/>
    <x v="12"/>
    <s v="CAMBIO DE ENERGIA"/>
    <m/>
  </r>
  <r>
    <x v="107"/>
    <m/>
    <x v="4"/>
    <d v="1899-12-30T11:44:00"/>
    <d v="1899-12-30T11:49:00"/>
    <n v="8.3333333333333329E-2"/>
    <s v="Programada"/>
    <s v="Arranque planta"/>
    <x v="1"/>
    <x v="12"/>
    <s v="CAMBIO DE ENERGIA"/>
    <m/>
  </r>
  <r>
    <x v="107"/>
    <m/>
    <x v="4"/>
    <d v="1899-12-30T12:00:00"/>
    <d v="1899-12-30T12:05:00"/>
    <n v="8.3333333333333329E-2"/>
    <s v="Programada"/>
    <s v="Arranque planta"/>
    <x v="1"/>
    <x v="12"/>
    <s v="CAMBIO DE ENERGIA"/>
    <m/>
  </r>
  <r>
    <x v="107"/>
    <m/>
    <x v="4"/>
    <d v="1899-12-30T16:16:00"/>
    <d v="1899-12-30T16:17:00"/>
    <n v="1.6666666666666666E-2"/>
    <s v="Operativa"/>
    <s v="Atascamiento"/>
    <x v="10"/>
    <x v="35"/>
    <s v="SE ENCUENTRA UNA PALETA EN EL PULIDOR "/>
    <m/>
  </r>
  <r>
    <x v="108"/>
    <m/>
    <x v="4"/>
    <d v="1899-12-30T01:06:00"/>
    <d v="1899-12-30T01:11:00"/>
    <n v="8.3333333333333329E-2"/>
    <s v="Programada"/>
    <s v="Arranque planta"/>
    <x v="1"/>
    <x v="12"/>
    <s v="CAMBIO DE ENERGIA"/>
    <m/>
  </r>
  <r>
    <x v="108"/>
    <m/>
    <x v="4"/>
    <d v="1899-12-30T10:57:00"/>
    <d v="1899-12-30T11:02:00"/>
    <n v="8.3333333333333329E-2"/>
    <s v="Programada"/>
    <s v="Arranque planta"/>
    <x v="1"/>
    <x v="12"/>
    <s v="CAMBIO DE ENERGIA"/>
    <m/>
  </r>
  <r>
    <x v="108"/>
    <m/>
    <x v="4"/>
    <d v="1899-12-30T15:32:00"/>
    <d v="1899-12-30T15:35:00"/>
    <n v="0.05"/>
    <s v="Programada"/>
    <s v="Arranque planta"/>
    <x v="1"/>
    <x v="12"/>
    <s v="CAMBIO DE ENERGIA"/>
    <m/>
  </r>
  <r>
    <x v="108"/>
    <m/>
    <x v="4"/>
    <d v="1899-12-30T16:08:00"/>
    <d v="1899-12-30T17:45:00"/>
    <n v="1.6166666666666667"/>
    <s v="Operativa"/>
    <s v="Falla mecánica"/>
    <x v="5"/>
    <x v="36"/>
    <s v="FALLA EN LA UNIDAD HIDRAULICA DE LA CALDERA"/>
    <m/>
  </r>
  <r>
    <x v="108"/>
    <m/>
    <x v="4"/>
    <d v="1899-12-30T20:58:00"/>
    <d v="1899-12-30T21:02:00"/>
    <n v="6.6666666666666666E-2"/>
    <s v="Programada"/>
    <s v="Arranque planta"/>
    <x v="1"/>
    <x v="12"/>
    <s v="CAMBIO DE ENERGIA"/>
    <m/>
  </r>
  <r>
    <x v="108"/>
    <m/>
    <x v="4"/>
    <d v="1899-12-30T00:47:00"/>
    <d v="1899-12-30T00:50:00"/>
    <n v="0.05"/>
    <s v="Programada"/>
    <s v="Arranque planta"/>
    <x v="1"/>
    <x v="12"/>
    <s v="CAMBIO DE ENERGIA"/>
    <m/>
  </r>
  <r>
    <x v="109"/>
    <m/>
    <x v="4"/>
    <d v="1899-12-30T01:30:00"/>
    <d v="1899-12-30T02:30:00"/>
    <n v="1"/>
    <s v="Operativa"/>
    <s v="Atascamiento"/>
    <x v="0"/>
    <x v="8"/>
    <s v="ATASCAMIENTO EN ELEVADOR DE FRUTO "/>
    <m/>
  </r>
  <r>
    <x v="109"/>
    <m/>
    <x v="4"/>
    <d v="1899-12-30T02:59:00"/>
    <d v="1899-12-30T03:04:00"/>
    <n v="8.3333333333333329E-2"/>
    <s v="Programada"/>
    <s v="Arranque planta"/>
    <x v="1"/>
    <x v="12"/>
    <s v="CAMBIO DE ENERGIA"/>
    <m/>
  </r>
  <r>
    <x v="110"/>
    <m/>
    <x v="4"/>
    <d v="1899-12-30T06:00:00"/>
    <d v="1899-12-30T16:00:00"/>
    <n v="10"/>
    <s v="Programada"/>
    <s v="Mantenimiento programado"/>
    <x v="6"/>
    <x v="28"/>
    <s v="MANTENIMIENTO PROGRAMADO EN LA PLANTA "/>
    <m/>
  </r>
  <r>
    <x v="111"/>
    <m/>
    <x v="4"/>
    <d v="1899-12-30T10:18:00"/>
    <d v="1899-12-30T10:23:00"/>
    <n v="8.3333333333333329E-2"/>
    <s v="Programada"/>
    <s v="Arranque planta"/>
    <x v="1"/>
    <x v="12"/>
    <s v="CAMBIO DE ENERGIA"/>
    <m/>
  </r>
  <r>
    <x v="111"/>
    <m/>
    <x v="4"/>
    <d v="1899-12-30T17:08:00"/>
    <d v="1899-12-30T17:44:00"/>
    <n v="0.6"/>
    <s v="Operativa"/>
    <s v="Falta de fruta esterilizada"/>
    <x v="2"/>
    <x v="2"/>
    <s v="FALTA DE FRUTO ESTERILIZADO"/>
    <m/>
  </r>
  <r>
    <x v="111"/>
    <m/>
    <x v="4"/>
    <d v="1899-12-30T20:52:00"/>
    <d v="1899-12-30T21:01:00"/>
    <n v="0.15"/>
    <s v="Operativa"/>
    <s v="Falta de fruta esterilizada"/>
    <x v="2"/>
    <x v="2"/>
    <s v="FALTA DE FRUTO ESTERILIZADO"/>
    <m/>
  </r>
  <r>
    <x v="112"/>
    <m/>
    <x v="4"/>
    <d v="1899-12-30T13:55:00"/>
    <d v="1899-12-30T14:00:00"/>
    <n v="8.3333333333333329E-2"/>
    <s v="Programada"/>
    <s v="Arranque planta"/>
    <x v="1"/>
    <x v="12"/>
    <s v="CAMBIO DE ENERGIA"/>
    <m/>
  </r>
  <r>
    <x v="113"/>
    <m/>
    <x v="4"/>
    <d v="1899-12-30T01:47:00"/>
    <d v="1899-12-30T01:51:00"/>
    <n v="6.6666666666666666E-2"/>
    <s v="Programada"/>
    <s v="Arranque planta"/>
    <x v="1"/>
    <x v="12"/>
    <s v="CAMBIO DE ENERGIA"/>
    <m/>
  </r>
  <r>
    <x v="113"/>
    <m/>
    <x v="4"/>
    <d v="1899-12-30T09:22:00"/>
    <d v="1899-12-30T12:44:00"/>
    <n v="3.3666666666666667"/>
    <s v="Externa"/>
    <s v="Falta de fruta fresca"/>
    <x v="7"/>
    <x v="14"/>
    <s v="FALTA DE FRUTA FRESCA EN PLANTA"/>
    <m/>
  </r>
  <r>
    <x v="113"/>
    <m/>
    <x v="4"/>
    <d v="1899-12-30T14:58:00"/>
    <d v="1899-12-30T15:05:00"/>
    <n v="0.11666666666666667"/>
    <s v="Programada"/>
    <s v="Arranque planta"/>
    <x v="1"/>
    <x v="12"/>
    <s v="CAMBIO DE ENERGIA"/>
    <m/>
  </r>
  <r>
    <x v="113"/>
    <m/>
    <x v="4"/>
    <d v="1899-12-30T18:41:00"/>
    <d v="1899-12-30T19:27:00"/>
    <n v="0.76666666666666672"/>
    <s v="Operativa"/>
    <s v="Atascamiento"/>
    <x v="0"/>
    <x v="8"/>
    <s v="ATASCAMIENTO EN ELEVADOR DE FRUTO "/>
    <m/>
  </r>
  <r>
    <x v="114"/>
    <m/>
    <x v="4"/>
    <d v="1899-12-30T02:50:00"/>
    <d v="1899-12-30T03:00:00"/>
    <n v="0.16666666666666666"/>
    <s v="Programada"/>
    <s v="Arranque planta"/>
    <x v="1"/>
    <x v="12"/>
    <s v="CAMBIO DE ENERGIA"/>
    <m/>
  </r>
  <r>
    <x v="114"/>
    <m/>
    <x v="4"/>
    <d v="1899-12-30T03:14:00"/>
    <d v="1899-12-30T03:26:00"/>
    <n v="0.2"/>
    <s v="Operativa"/>
    <s v="Falta de fruta esterilizada"/>
    <x v="2"/>
    <x v="2"/>
    <s v="FALTA DE FRUTO ESTERILIZADO"/>
    <m/>
  </r>
  <r>
    <x v="114"/>
    <m/>
    <x v="4"/>
    <d v="1899-12-30T04:25:00"/>
    <d v="1899-12-30T04:30:00"/>
    <n v="8.3333333333333329E-2"/>
    <s v="Programada"/>
    <s v="Arranque planta"/>
    <x v="1"/>
    <x v="12"/>
    <s v="CAMBIO DE ENERGIA"/>
    <m/>
  </r>
  <r>
    <x v="114"/>
    <m/>
    <x v="4"/>
    <d v="1899-12-30T21:02:00"/>
    <d v="1899-12-30T21:05:00"/>
    <n v="0.05"/>
    <s v="Programada"/>
    <s v="Arranque planta"/>
    <x v="1"/>
    <x v="12"/>
    <s v="CAMBIO DE ENERGIA"/>
    <m/>
  </r>
  <r>
    <x v="115"/>
    <m/>
    <x v="4"/>
    <d v="1899-12-30T11:03:00"/>
    <d v="1899-12-30T11:09:00"/>
    <n v="0.1"/>
    <s v="Operativa"/>
    <s v="Falla mecánica"/>
    <x v="0"/>
    <x v="0"/>
    <s v="SE SOLDO BUJE DE  ALARGADERA DEL LA PRENSA P15"/>
    <m/>
  </r>
  <r>
    <x v="115"/>
    <m/>
    <x v="4"/>
    <d v="1899-12-30T12:29:00"/>
    <d v="1899-12-30T13:00:00"/>
    <n v="0.51666666666666672"/>
    <s v="Operativa"/>
    <s v="Atascamiento"/>
    <x v="0"/>
    <x v="8"/>
    <s v="ATASCAMIENTO EN ELEVADOR DE FRUTO "/>
    <m/>
  </r>
  <r>
    <x v="115"/>
    <m/>
    <x v="4"/>
    <d v="1899-12-30T13:46:00"/>
    <d v="1899-12-30T15:47:00"/>
    <n v="2.0166666666666666"/>
    <s v="Operativa"/>
    <s v="Falla mecánica"/>
    <x v="3"/>
    <x v="3"/>
    <s v="FALLA EN REDLER #3"/>
    <m/>
  </r>
  <r>
    <x v="115"/>
    <m/>
    <x v="4"/>
    <d v="1899-12-30T17:27:00"/>
    <d v="1899-12-30T18:22:00"/>
    <n v="0.91666666666666663"/>
    <s v="Operativa"/>
    <s v="Atascamiento"/>
    <x v="0"/>
    <x v="8"/>
    <s v="ATASCAMIENTO EN ELEVADOR DE FRUTO "/>
    <m/>
  </r>
  <r>
    <x v="116"/>
    <m/>
    <x v="4"/>
    <d v="1899-12-30T14:53:00"/>
    <d v="1899-12-30T15:03:00"/>
    <n v="0.16666666666666666"/>
    <s v="Operativa"/>
    <s v="Arranque planta"/>
    <x v="0"/>
    <x v="13"/>
    <s v="MASERACION BAJO NIVEL DEL DIGESTOR"/>
    <m/>
  </r>
  <r>
    <x v="117"/>
    <m/>
    <x v="5"/>
    <d v="1899-12-30T02:51:00"/>
    <d v="1899-12-30T02:55:00"/>
    <n v="6.6666666666666666E-2"/>
    <s v="Programada"/>
    <s v="Arranque planta"/>
    <x v="1"/>
    <x v="12"/>
    <s v="CAMBIO DE ENERGIA"/>
    <m/>
  </r>
  <r>
    <x v="118"/>
    <m/>
    <x v="5"/>
    <d v="1899-12-30T06:00:00"/>
    <d v="1899-12-30T16:00:00"/>
    <n v="10"/>
    <s v="Programada"/>
    <s v="Mantenimiento programado"/>
    <x v="6"/>
    <x v="28"/>
    <s v="MANTENIMIENTO PROGRAMADO EN LA PLANTA "/>
    <m/>
  </r>
  <r>
    <x v="119"/>
    <m/>
    <x v="5"/>
    <d v="1899-12-30T15:54:00"/>
    <d v="1899-12-30T16:46:00"/>
    <n v="0.8666666666666667"/>
    <s v="Operativa"/>
    <s v="Falta de fruta esterilizada"/>
    <x v="2"/>
    <x v="2"/>
    <s v="FALTA DE FRUTO ESTERILIZADO"/>
    <m/>
  </r>
  <r>
    <x v="119"/>
    <m/>
    <x v="5"/>
    <d v="1899-12-30T17:05:00"/>
    <d v="1899-12-30T19:35:00"/>
    <n v="2.5"/>
    <s v="Operativa"/>
    <s v="Falla eléctrica"/>
    <x v="2"/>
    <x v="2"/>
    <s v="FALLA EN SENSOR DE CERRADO EN COMPUEERTA SUPERIOR DE ESTERILIZADOR"/>
    <m/>
  </r>
  <r>
    <x v="119"/>
    <m/>
    <x v="5"/>
    <d v="1899-12-30T20:55:00"/>
    <d v="1899-12-30T21:00:00"/>
    <n v="8.3333333333333329E-2"/>
    <s v="Programada"/>
    <s v="Arranque planta"/>
    <x v="1"/>
    <x v="12"/>
    <s v="CAMBIO DE ENERGIA"/>
    <m/>
  </r>
  <r>
    <x v="120"/>
    <m/>
    <x v="5"/>
    <d v="1899-12-30T02:39:00"/>
    <d v="1899-12-30T02:42:00"/>
    <n v="0.05"/>
    <s v="Programada"/>
    <s v="Arranque planta"/>
    <x v="1"/>
    <x v="12"/>
    <s v="CAMBIO DE ENERGIA"/>
    <m/>
  </r>
  <r>
    <x v="120"/>
    <m/>
    <x v="5"/>
    <d v="1899-12-30T10:36:00"/>
    <d v="1899-12-30T10:41:00"/>
    <n v="8.3333333333333329E-2"/>
    <s v="Programada"/>
    <s v="Arranque planta"/>
    <x v="1"/>
    <x v="12"/>
    <s v="CAMBIO DE ENERGIA"/>
    <m/>
  </r>
  <r>
    <x v="120"/>
    <m/>
    <x v="5"/>
    <d v="1899-12-30T16:32:00"/>
    <d v="1899-12-30T19:16:00"/>
    <n v="2.7333333333333334"/>
    <s v="Operativa"/>
    <s v="Falla mecánica"/>
    <x v="0"/>
    <x v="37"/>
    <s v="DAÑO EN TAMIZ DE LA PRENSA P15 Y DESALINEACION DE CADENA DEL REDLER #1"/>
    <m/>
  </r>
  <r>
    <x v="120"/>
    <m/>
    <x v="5"/>
    <d v="1899-12-30T20:41:00"/>
    <d v="1899-12-30T20:45:00"/>
    <n v="6.6666666666666666E-2"/>
    <s v="Programada"/>
    <s v="Arranque planta"/>
    <x v="1"/>
    <x v="12"/>
    <s v="CAMBIO DE ENERGIA"/>
    <m/>
  </r>
  <r>
    <x v="121"/>
    <m/>
    <x v="5"/>
    <d v="1899-12-30T09:11:00"/>
    <d v="1899-12-30T09:15:00"/>
    <n v="6.6666666666666666E-2"/>
    <s v="Programada"/>
    <s v="Arranque planta"/>
    <x v="1"/>
    <x v="12"/>
    <s v="CAMBIO DE ENERGIA"/>
    <m/>
  </r>
  <r>
    <x v="122"/>
    <m/>
    <x v="5"/>
    <d v="1899-12-30T03:07:00"/>
    <d v="1899-12-30T03:10:00"/>
    <n v="0.05"/>
    <s v="Programada"/>
    <s v="Arranque planta"/>
    <x v="1"/>
    <x v="12"/>
    <s v="CAMBIO DE ENERGIA"/>
    <m/>
  </r>
  <r>
    <x v="122"/>
    <m/>
    <x v="5"/>
    <d v="1899-12-30T10:53:00"/>
    <d v="1899-12-30T10:58:00"/>
    <n v="8.3333333333333329E-2"/>
    <s v="Programada"/>
    <s v="Arranque planta"/>
    <x v="1"/>
    <x v="12"/>
    <s v="CAMBIO DE ENERGIA"/>
    <m/>
  </r>
  <r>
    <x v="123"/>
    <m/>
    <x v="5"/>
    <d v="1899-12-30T02:50:00"/>
    <d v="1899-12-30T03:42:00"/>
    <n v="0.8666666666666667"/>
    <s v="Operativa"/>
    <s v="Atascamiento"/>
    <x v="0"/>
    <x v="8"/>
    <s v="ATASCAMIENTO EN ELEVADOR DE FRUTO "/>
    <m/>
  </r>
  <r>
    <x v="124"/>
    <m/>
    <x v="5"/>
    <d v="1899-12-30T06:00:00"/>
    <d v="1899-12-30T14:00:00"/>
    <n v="8"/>
    <s v="Programada"/>
    <s v="Mantenimiento programado"/>
    <x v="6"/>
    <x v="28"/>
    <s v="MANTENIMIENTO PROGRAMADO EN LA PLANTA "/>
    <m/>
  </r>
  <r>
    <x v="125"/>
    <m/>
    <x v="5"/>
    <d v="1899-12-30T00:52:00"/>
    <d v="1899-12-30T00:56:00"/>
    <n v="6.6666666666666666E-2"/>
    <s v="Programada"/>
    <s v="Arranque planta"/>
    <x v="1"/>
    <x v="12"/>
    <s v="CAMBIO DE ENERGIA"/>
    <m/>
  </r>
  <r>
    <x v="126"/>
    <m/>
    <x v="5"/>
    <d v="1899-12-30T20:10:00"/>
    <d v="1899-12-30T21:59:00"/>
    <n v="1.8166666666666667"/>
    <s v="Operativa"/>
    <s v="Falla mecánica"/>
    <x v="2"/>
    <x v="2"/>
    <s v="SE DOBLO Y SE DESPRENDIO  EL ALAVE DEL SINFÍN OBLICUO DEL ESTERILIZADOR "/>
    <m/>
  </r>
  <r>
    <x v="127"/>
    <m/>
    <x v="5"/>
    <d v="1899-12-30T01:44:00"/>
    <d v="1899-12-30T01:49:00"/>
    <n v="8.3333333333333329E-2"/>
    <s v="Programada"/>
    <s v="Arranque planta"/>
    <x v="1"/>
    <x v="12"/>
    <s v="CAMBIO DE ENERGIA"/>
    <m/>
  </r>
  <r>
    <x v="127"/>
    <m/>
    <x v="5"/>
    <d v="1899-12-30T03:09:00"/>
    <d v="1899-12-30T03:12:00"/>
    <n v="0.05"/>
    <s v="Programada"/>
    <s v="Arranque planta"/>
    <x v="1"/>
    <x v="12"/>
    <s v="CAMBIO DE ENERGIA"/>
    <m/>
  </r>
  <r>
    <x v="128"/>
    <m/>
    <x v="5"/>
    <d v="1899-12-30T10:34:00"/>
    <d v="1899-12-30T10:39:00"/>
    <n v="8.3333333333333329E-2"/>
    <s v="Programada"/>
    <s v="Arranque planta"/>
    <x v="1"/>
    <x v="12"/>
    <s v="CAMBIO DE ENERGIA"/>
    <m/>
  </r>
  <r>
    <x v="129"/>
    <m/>
    <x v="5"/>
    <d v="1899-12-30T02:05:00"/>
    <d v="1899-12-30T02:10:00"/>
    <n v="8.3333333333333329E-2"/>
    <s v="Programada"/>
    <s v="Arranque planta"/>
    <x v="1"/>
    <x v="12"/>
    <s v="CAMBIO DE ENERGIA"/>
    <m/>
  </r>
  <r>
    <x v="129"/>
    <m/>
    <x v="5"/>
    <d v="1899-12-30T10:04:00"/>
    <d v="1899-12-30T10:09:00"/>
    <n v="8.3333333333333329E-2"/>
    <s v="Programada"/>
    <s v="Arranque planta"/>
    <x v="1"/>
    <x v="12"/>
    <s v="CAMBIO DE ENERGIA"/>
    <m/>
  </r>
  <r>
    <x v="130"/>
    <m/>
    <x v="5"/>
    <d v="1899-12-30T07:51:00"/>
    <d v="1899-12-30T07:53:00"/>
    <n v="3.3333333333333333E-2"/>
    <s v="Operativa"/>
    <s v="Falla eléctrica"/>
    <x v="10"/>
    <x v="26"/>
    <s v="FALLA ELECTRICA EN ELLEVADOR DE NUEZ"/>
    <m/>
  </r>
  <r>
    <x v="131"/>
    <m/>
    <x v="5"/>
    <d v="1899-12-30T02:52:00"/>
    <d v="1899-12-30T02:56:00"/>
    <n v="6.6666666666666666E-2"/>
    <s v="Programada"/>
    <s v="Arranque planta"/>
    <x v="1"/>
    <x v="12"/>
    <s v="CAMBIO DE ENERGIA"/>
    <m/>
  </r>
  <r>
    <x v="131"/>
    <m/>
    <x v="5"/>
    <d v="1899-12-30T06:00:00"/>
    <d v="1899-12-30T14:00:00"/>
    <n v="8"/>
    <s v="Programada"/>
    <s v="Mantenimiento programado"/>
    <x v="6"/>
    <x v="28"/>
    <s v="MANTENIMIENTO PROGRAMADO EN LA PLANTA "/>
    <m/>
  </r>
  <r>
    <x v="132"/>
    <m/>
    <x v="5"/>
    <d v="1899-12-30T12:34:00"/>
    <d v="1899-12-30T12:39:00"/>
    <n v="8.3333333333333329E-2"/>
    <s v="Programada"/>
    <s v="Arranque planta"/>
    <x v="1"/>
    <x v="12"/>
    <s v="CAMBIO DE ENERGIA"/>
    <m/>
  </r>
  <r>
    <x v="132"/>
    <m/>
    <x v="5"/>
    <d v="1899-12-30T22:56:00"/>
    <d v="1899-12-31T00:00:00"/>
    <n v="1.0666666666666667"/>
    <s v="Operativa"/>
    <s v="Falla eléctrica"/>
    <x v="0"/>
    <x v="8"/>
    <s v="FALLA EN ELEVADOR DE FRUTO "/>
    <m/>
  </r>
  <r>
    <x v="133"/>
    <m/>
    <x v="5"/>
    <d v="1899-12-30T09:42:00"/>
    <d v="1899-12-30T10:06:00"/>
    <n v="0.4"/>
    <s v="Operativa"/>
    <s v="Atascamiento"/>
    <x v="0"/>
    <x v="8"/>
    <s v="ATASCAMIENTO EN ELEVADOR DE FRUTO "/>
    <m/>
  </r>
  <r>
    <x v="134"/>
    <m/>
    <x v="5"/>
    <d v="1899-12-30T02:08:00"/>
    <d v="1899-12-30T02:12:00"/>
    <n v="6.6666666666666666E-2"/>
    <s v="Programada"/>
    <s v="Arranque planta"/>
    <x v="1"/>
    <x v="12"/>
    <s v="CAMBIO DE ENERGIA"/>
    <m/>
  </r>
  <r>
    <x v="135"/>
    <m/>
    <x v="5"/>
    <d v="1899-12-30T11:10:00"/>
    <d v="1899-12-30T11:14:00"/>
    <n v="6.6666666666666666E-2"/>
    <s v="Programada"/>
    <s v="Arranque planta"/>
    <x v="1"/>
    <x v="12"/>
    <s v="CAMBIO DE ENERGIA"/>
    <m/>
  </r>
  <r>
    <x v="135"/>
    <m/>
    <x v="5"/>
    <d v="1899-12-30T13:39:00"/>
    <d v="1899-12-30T15:33:00"/>
    <n v="1.9"/>
    <s v="Operativa"/>
    <s v="Atascamiento"/>
    <x v="8"/>
    <x v="38"/>
    <s v="SE TAPO EL DESARENADOR #1"/>
    <m/>
  </r>
  <r>
    <x v="135"/>
    <m/>
    <x v="5"/>
    <d v="1899-12-30T15:55:00"/>
    <d v="1899-12-30T15:58:00"/>
    <n v="0.05"/>
    <s v="Programada"/>
    <s v="Arranque planta"/>
    <x v="1"/>
    <x v="12"/>
    <s v="CAMBIO DE ENERGIA"/>
    <m/>
  </r>
  <r>
    <x v="136"/>
    <m/>
    <x v="5"/>
    <d v="1899-12-30T03:56:00"/>
    <d v="1899-12-30T04:22:00"/>
    <n v="0.43333333333333335"/>
    <s v="Operativa"/>
    <s v="Falla eléctrica"/>
    <x v="3"/>
    <x v="27"/>
    <s v="FALLA EN EL SENSOR DE LA ESCLUSA DE FIBRA"/>
    <m/>
  </r>
  <r>
    <x v="137"/>
    <m/>
    <x v="5"/>
    <d v="1899-12-30T02:56:00"/>
    <d v="1899-12-30T03:03:00"/>
    <n v="0.11666666666666667"/>
    <s v="Programada"/>
    <s v="Arranque planta"/>
    <x v="1"/>
    <x v="12"/>
    <s v="CAMBIO DE ENERGIA"/>
    <m/>
  </r>
  <r>
    <x v="137"/>
    <m/>
    <x v="5"/>
    <d v="1899-12-30T14:38:00"/>
    <d v="1899-12-30T14:41:00"/>
    <n v="0.05"/>
    <s v="Programada"/>
    <s v="Arranque planta"/>
    <x v="1"/>
    <x v="12"/>
    <s v="CAMBIO DE ENERGIA"/>
    <m/>
  </r>
  <r>
    <x v="138"/>
    <m/>
    <x v="5"/>
    <d v="1899-12-30T15:00:00"/>
    <d v="1899-12-30T15:08:00"/>
    <n v="0.13333333333333333"/>
    <s v="Operativa"/>
    <s v="Atascamiento"/>
    <x v="2"/>
    <x v="29"/>
    <s v="ATASCAMIENTO EN DOSIFICADOR"/>
    <m/>
  </r>
  <r>
    <x v="138"/>
    <m/>
    <x v="5"/>
    <d v="1899-12-30T15:43:00"/>
    <d v="1899-12-30T16:02:00"/>
    <n v="0.31666666666666665"/>
    <s v="Operativa"/>
    <s v="Falla eléctrica"/>
    <x v="10"/>
    <x v="26"/>
    <s v="FALLA EN ELEVADOR DE NUECES "/>
    <m/>
  </r>
  <r>
    <x v="139"/>
    <m/>
    <x v="5"/>
    <d v="1899-12-30T01:51:00"/>
    <d v="1899-12-30T01:56:00"/>
    <n v="8.3333333333333329E-2"/>
    <s v="Programada"/>
    <s v="Arranque planta"/>
    <x v="1"/>
    <x v="12"/>
    <s v="CAMBIO DE ENERGIA"/>
    <m/>
  </r>
  <r>
    <x v="139"/>
    <m/>
    <x v="5"/>
    <d v="1899-12-30T02:02:00"/>
    <d v="1899-12-30T02:12:00"/>
    <n v="0.16666666666666666"/>
    <s v="Operativa"/>
    <s v="Falla eléctrica"/>
    <x v="1"/>
    <x v="1"/>
    <s v="FALLA EN EL GENERADOR "/>
    <m/>
  </r>
  <r>
    <x v="139"/>
    <m/>
    <x v="5"/>
    <d v="1899-12-30T05:08:00"/>
    <d v="1899-12-30T05:09:00"/>
    <n v="1.6666666666666666E-2"/>
    <s v="Operativa"/>
    <s v="Falla eléctrica"/>
    <x v="10"/>
    <x v="26"/>
    <s v="FALLA EN ELEVADOR DE NUECES "/>
    <m/>
  </r>
  <r>
    <x v="139"/>
    <s v="lunes"/>
    <x v="5"/>
    <d v="1899-12-30T06:00:00"/>
    <d v="1899-12-30T16:00:00"/>
    <n v="10"/>
    <s v="Programada"/>
    <s v="Mantenimiento programado"/>
    <x v="6"/>
    <x v="28"/>
    <s v="MANTENIMIENTO PROGRAMADO EN LA PLANTA "/>
    <m/>
  </r>
  <r>
    <x v="140"/>
    <s v="martes"/>
    <x v="5"/>
    <d v="1899-12-30T06:00:00"/>
    <d v="1899-12-30T16:00:00"/>
    <n v="10"/>
    <s v="Programada"/>
    <s v="Mantenimiento programado"/>
    <x v="6"/>
    <x v="28"/>
    <s v="MANTENIMIENTO PROGRAMADO EN LA PLANTA "/>
    <m/>
  </r>
  <r>
    <x v="141"/>
    <m/>
    <x v="5"/>
    <d v="1899-12-30T09:26:00"/>
    <d v="1899-12-30T09:31:00"/>
    <n v="8.3333333333333329E-2"/>
    <s v="Programada"/>
    <s v="Arranque planta"/>
    <x v="1"/>
    <x v="12"/>
    <s v="CAMBIO DE ENERGIA"/>
    <m/>
  </r>
  <r>
    <x v="141"/>
    <m/>
    <x v="5"/>
    <d v="1899-12-30T23:02:00"/>
    <d v="1899-12-30T23:08:00"/>
    <n v="0.1"/>
    <s v="Mantenimiento"/>
    <s v="Falla mecánica"/>
    <x v="10"/>
    <x v="32"/>
    <s v="AJUSTE DE RIPPLE MILL"/>
    <m/>
  </r>
  <r>
    <x v="142"/>
    <m/>
    <x v="5"/>
    <d v="1899-12-30T02:42:00"/>
    <d v="1899-12-30T02:45:00"/>
    <n v="0.05"/>
    <s v="Operativa"/>
    <s v="Falla eléctrica"/>
    <x v="10"/>
    <x v="26"/>
    <s v="FALLA EN ELEVADOR DE NUECES "/>
    <m/>
  </r>
  <r>
    <x v="142"/>
    <m/>
    <x v="5"/>
    <d v="1899-12-30T14:34:00"/>
    <d v="1899-12-30T14:36:00"/>
    <n v="3.3333333333333333E-2"/>
    <s v="Operativa"/>
    <s v="Falla eléctrica"/>
    <x v="10"/>
    <x v="26"/>
    <s v="FALLA EN ELEVADOR DE NUECES "/>
    <m/>
  </r>
  <r>
    <x v="143"/>
    <m/>
    <x v="5"/>
    <d v="1899-12-30T19:19:00"/>
    <d v="1899-12-30T20:34:00"/>
    <n v="1.25"/>
    <s v="Operativa"/>
    <s v="Falla mecánica"/>
    <x v="9"/>
    <x v="17"/>
    <s v="SE ROMPIO ACOPLE DEL SINFÍN BAJO DESFRUTADOR"/>
    <m/>
  </r>
  <r>
    <x v="143"/>
    <m/>
    <x v="5"/>
    <d v="1899-12-30T21:04:00"/>
    <d v="1899-12-30T21:08:00"/>
    <n v="6.6666666666666666E-2"/>
    <s v="Programada"/>
    <s v="Arranque planta"/>
    <x v="1"/>
    <x v="12"/>
    <s v="CAMBIO DE ENERGIA"/>
    <m/>
  </r>
  <r>
    <x v="144"/>
    <m/>
    <x v="5"/>
    <d v="1899-12-30T12:47:00"/>
    <d v="1899-12-30T13:30:00"/>
    <n v="0.71666666666666667"/>
    <s v="Operativa"/>
    <s v="Atascamiento"/>
    <x v="0"/>
    <x v="8"/>
    <s v="ATASCAMIENTO EN ELEVADOR DE FRUTO "/>
    <m/>
  </r>
  <r>
    <x v="145"/>
    <m/>
    <x v="5"/>
    <d v="1899-12-30T03:02:00"/>
    <d v="1899-12-30T03:08:00"/>
    <n v="0.1"/>
    <s v="Programada"/>
    <s v="Arranque planta"/>
    <x v="1"/>
    <x v="12"/>
    <s v="CAMBIO DE ENERGIA"/>
    <m/>
  </r>
  <r>
    <x v="146"/>
    <m/>
    <x v="5"/>
    <d v="1899-12-30T13:57:00"/>
    <d v="1899-12-30T14:02:00"/>
    <n v="8.3333333333333329E-2"/>
    <s v="Programada"/>
    <s v="Arranque planta"/>
    <x v="1"/>
    <x v="12"/>
    <s v="CAMBIO DE ENERGIA"/>
    <m/>
  </r>
  <r>
    <x v="147"/>
    <m/>
    <x v="5"/>
    <d v="1899-12-30T12:52:00"/>
    <d v="1899-12-30T12:56:00"/>
    <n v="6.6666666666666666E-2"/>
    <s v="Programada"/>
    <s v="Arranque planta"/>
    <x v="1"/>
    <x v="12"/>
    <s v="CAMBIO DE ENERGIA"/>
    <m/>
  </r>
  <r>
    <x v="148"/>
    <m/>
    <x v="6"/>
    <d v="1899-12-30T07:05:00"/>
    <d v="1899-12-30T07:09:00"/>
    <n v="6.6666666666666666E-2"/>
    <s v="Programada"/>
    <s v="Arranque planta"/>
    <x v="1"/>
    <x v="12"/>
    <s v="CAMBIO DE ENERGIA"/>
    <m/>
  </r>
  <r>
    <x v="148"/>
    <m/>
    <x v="6"/>
    <d v="1899-12-30T09:34:00"/>
    <d v="1899-12-30T09:39:00"/>
    <n v="8.3333333333333329E-2"/>
    <s v="Programada"/>
    <s v="Arranque planta"/>
    <x v="1"/>
    <x v="1"/>
    <s v="CAMBIO DE ENERGIA"/>
    <m/>
  </r>
  <r>
    <x v="148"/>
    <m/>
    <x v="6"/>
    <d v="1899-12-30T09:56:00"/>
    <d v="1899-12-30T10:41:00"/>
    <n v="0.75"/>
    <s v="Operativa"/>
    <s v="Falta de fruta esterilizada"/>
    <x v="2"/>
    <x v="2"/>
    <s v="FALTA DE FRUTO ESTERILIZADO"/>
    <m/>
  </r>
  <r>
    <x v="149"/>
    <m/>
    <x v="6"/>
    <d v="1899-12-30T04:10:00"/>
    <d v="1899-12-30T04:15:00"/>
    <n v="8.3333333333333329E-2"/>
    <s v="Programada"/>
    <s v="Apagado planta"/>
    <x v="1"/>
    <x v="12"/>
    <s v="CAMBIO DE ENERGIA"/>
    <m/>
  </r>
  <r>
    <x v="149"/>
    <s v="jueves"/>
    <x v="6"/>
    <d v="1899-12-30T12:00:00"/>
    <d v="1899-12-30T18:00:00"/>
    <n v="6"/>
    <s v="Programada"/>
    <s v="Mantenimiento programado"/>
    <x v="6"/>
    <x v="28"/>
    <s v="MANTENIMIENTO PROGRAMADO EN LA PLANTA "/>
    <m/>
  </r>
  <r>
    <x v="150"/>
    <s v="viernes"/>
    <x v="6"/>
    <d v="1899-12-30T06:00:00"/>
    <d v="1899-12-30T16:00:00"/>
    <n v="10"/>
    <s v="Programada"/>
    <s v="Mantenimiento programado"/>
    <x v="6"/>
    <x v="28"/>
    <s v="MANTENIMIENTO PROGRAMADO EN LA PLANTA "/>
    <m/>
  </r>
  <r>
    <x v="151"/>
    <s v="sábado"/>
    <x v="6"/>
    <d v="1899-12-30T06:00:00"/>
    <d v="1899-12-30T18:00:00"/>
    <n v="12"/>
    <s v="Programada"/>
    <s v="Mantenimiento programado"/>
    <x v="6"/>
    <x v="28"/>
    <s v="MANTENIMIENTO PROGRAMADO EN LA PLANTA "/>
    <m/>
  </r>
  <r>
    <x v="152"/>
    <s v="domingo"/>
    <x v="6"/>
    <d v="1899-12-30T06:00:00"/>
    <d v="1899-12-30T16:00:00"/>
    <n v="10"/>
    <s v="Programada"/>
    <s v="Mantenimiento programado"/>
    <x v="6"/>
    <x v="28"/>
    <s v="MANTENIMIENTO PROGRAMADO EN LA PLANTA "/>
    <m/>
  </r>
  <r>
    <x v="153"/>
    <s v="lunes"/>
    <x v="6"/>
    <d v="1899-12-30T06:00:00"/>
    <d v="1899-12-30T18:00:00"/>
    <n v="12"/>
    <s v="Programada"/>
    <s v="Mantenimiento programado"/>
    <x v="6"/>
    <x v="28"/>
    <s v="MANTENIMIENTO PROGRAMADO EN LA PLANTA "/>
    <m/>
  </r>
  <r>
    <x v="154"/>
    <m/>
    <x v="6"/>
    <d v="1899-12-30T04:42:00"/>
    <d v="1899-12-30T04:46:00"/>
    <n v="6.6666666666666666E-2"/>
    <s v="Operativa"/>
    <s v="Falla eléctrica"/>
    <x v="10"/>
    <x v="26"/>
    <s v="FALLA EN EL SENSOR DEL ELEVADOR DE NUECES "/>
    <m/>
  </r>
  <r>
    <x v="154"/>
    <m/>
    <x v="6"/>
    <d v="1899-12-30T05:11:00"/>
    <d v="1899-12-30T05:14:00"/>
    <n v="0.05"/>
    <s v="Programada"/>
    <s v="Arranque planta"/>
    <x v="1"/>
    <x v="1"/>
    <s v="CAMBIO DE ENERGIA"/>
    <m/>
  </r>
  <r>
    <x v="154"/>
    <m/>
    <x v="6"/>
    <d v="1899-12-30T05:38:00"/>
    <d v="1899-12-30T05:40:00"/>
    <n v="3.3333333333333333E-2"/>
    <s v="Operativa"/>
    <s v="Falla eléctrica"/>
    <x v="10"/>
    <x v="26"/>
    <s v="FALLA EN EL SENSOR DEL ELEVADOR DE NUECES "/>
    <m/>
  </r>
  <r>
    <x v="154"/>
    <m/>
    <x v="6"/>
    <d v="1899-12-30T19:35:00"/>
    <d v="1899-12-30T19:40:00"/>
    <n v="8.3333333333333329E-2"/>
    <s v="Programada"/>
    <s v="Arranque planta"/>
    <x v="1"/>
    <x v="12"/>
    <s v="CAMBIO DE ENERGIA"/>
    <m/>
  </r>
  <r>
    <x v="154"/>
    <m/>
    <x v="6"/>
    <d v="1899-12-30T21:34:00"/>
    <d v="1899-12-30T22:14:00"/>
    <n v="0.66666666666666663"/>
    <s v="Operativa"/>
    <s v="Falla mecánica"/>
    <x v="0"/>
    <x v="8"/>
    <s v="SE ROMPIO CADENA DE TRASMISION DEL ELEVADOR DE FRUTO"/>
    <m/>
  </r>
  <r>
    <x v="155"/>
    <m/>
    <x v="6"/>
    <d v="1899-12-30T08:33:00"/>
    <d v="1899-12-30T11:52:00"/>
    <n v="3.3166666666666664"/>
    <s v="Operativa"/>
    <s v="Falla mecánica"/>
    <x v="0"/>
    <x v="0"/>
    <s v="SE ROMPIERON LOS TORNILLOS FUSIBLES DE LA PRENSA P15"/>
    <m/>
  </r>
  <r>
    <x v="155"/>
    <m/>
    <x v="6"/>
    <d v="1899-12-30T14:13:00"/>
    <d v="1899-12-30T14:16:00"/>
    <n v="0.05"/>
    <s v="Programada"/>
    <s v="Arranque planta"/>
    <x v="1"/>
    <x v="1"/>
    <s v="CAMBIO DE ENERGIA"/>
    <m/>
  </r>
  <r>
    <x v="155"/>
    <m/>
    <x v="6"/>
    <d v="1899-12-30T22:00:00"/>
    <d v="1899-12-30T23:17:00"/>
    <n v="1.2833333333333332"/>
    <s v="Operativa"/>
    <s v="Falla mecánica"/>
    <x v="0"/>
    <x v="8"/>
    <s v="SE ROMPIO CADENA DE CANGILONES DEL ELEVADOR DE FRUTO"/>
    <m/>
  </r>
  <r>
    <x v="156"/>
    <m/>
    <x v="6"/>
    <d v="1899-12-30T22:24:00"/>
    <d v="1899-12-30T23:07:00"/>
    <n v="0.71666666666666667"/>
    <s v="Operativa"/>
    <s v="Falta de fruta esterilizada"/>
    <x v="2"/>
    <x v="2"/>
    <s v="FALTA DE FRUTO ESTERILIZADO"/>
    <m/>
  </r>
  <r>
    <x v="157"/>
    <m/>
    <x v="6"/>
    <d v="1899-12-30T11:14:00"/>
    <d v="1899-12-30T12:32:00"/>
    <n v="1.3"/>
    <s v="Operativa"/>
    <s v="Falla mecánica"/>
    <x v="8"/>
    <x v="23"/>
    <s v="SE ROMPIO EL SELLO MECANICO DE LA BOMBA DE LODOS DESARENADOS "/>
    <m/>
  </r>
  <r>
    <x v="157"/>
    <m/>
    <x v="6"/>
    <d v="1899-12-30T14:29:00"/>
    <d v="1899-12-30T14:34:00"/>
    <n v="8.3333333333333329E-2"/>
    <s v="Programada"/>
    <s v="Arranque planta"/>
    <x v="1"/>
    <x v="12"/>
    <s v="CAMBIO DE ENERGIA"/>
    <m/>
  </r>
  <r>
    <x v="157"/>
    <m/>
    <x v="6"/>
    <d v="1899-12-30T21:18:00"/>
    <d v="1899-12-30T21:59:00"/>
    <n v="0.68333333333333335"/>
    <s v="Operativa"/>
    <s v="Falla mecánica"/>
    <x v="0"/>
    <x v="8"/>
    <s v="SE SAFO CADENA DE CANGILONES DEL ELEVADOR DE FRUTO"/>
    <m/>
  </r>
  <r>
    <x v="158"/>
    <m/>
    <x v="6"/>
    <d v="1899-12-30T05:31:00"/>
    <d v="1899-12-30T05:43:00"/>
    <n v="0.2"/>
    <s v="Operativa"/>
    <s v="Atascamiento"/>
    <x v="0"/>
    <x v="8"/>
    <s v="SE ATASCO EL ELEVADOR DE FRUTO "/>
    <m/>
  </r>
  <r>
    <x v="158"/>
    <m/>
    <x v="6"/>
    <d v="1899-12-30T11:23:00"/>
    <d v="1899-12-30T11:56:00"/>
    <n v="0.55000000000000004"/>
    <s v="Operativa"/>
    <s v="Atascamiento"/>
    <x v="0"/>
    <x v="8"/>
    <s v="SE ATASCO EL ELEVADOR DE FRUTO "/>
    <m/>
  </r>
  <r>
    <x v="159"/>
    <m/>
    <x v="6"/>
    <d v="1899-12-30T02:42:00"/>
    <d v="1899-12-30T03:08:00"/>
    <n v="0.43333333333333335"/>
    <s v="Operativa"/>
    <s v="Atascamiento"/>
    <x v="0"/>
    <x v="8"/>
    <s v="SE ATASCO EL ELEVADOR DE FRUTO "/>
    <m/>
  </r>
  <r>
    <x v="159"/>
    <m/>
    <x v="6"/>
    <d v="1899-12-30T05:50:00"/>
    <d v="1899-12-30T05:53:00"/>
    <n v="0.05"/>
    <s v="Programada"/>
    <s v="Arranque planta"/>
    <x v="1"/>
    <x v="1"/>
    <s v="CAMBIO DE ENERGIA"/>
    <m/>
  </r>
  <r>
    <x v="159"/>
    <m/>
    <x v="6"/>
    <d v="1899-12-30T23:46:00"/>
    <d v="1899-12-30T23:50:00"/>
    <n v="6.6666666666666666E-2"/>
    <s v="Programada"/>
    <s v="Arranque planta"/>
    <x v="1"/>
    <x v="12"/>
    <s v="CAMBIO DE ENERGIA"/>
    <m/>
  </r>
  <r>
    <x v="160"/>
    <s v="lunes"/>
    <x v="6"/>
    <d v="1899-12-30T06:00:00"/>
    <d v="1899-12-30T12:00:00"/>
    <n v="6"/>
    <s v="Programada"/>
    <s v="Mantenimiento programado"/>
    <x v="6"/>
    <x v="28"/>
    <s v="MANTENIMIENTO PROGRAMADO EN LA PLANTA "/>
    <m/>
  </r>
  <r>
    <x v="160"/>
    <m/>
    <x v="6"/>
    <d v="1899-12-30T16:15:00"/>
    <d v="1899-12-30T16:17:00"/>
    <n v="3.3333333333333333E-2"/>
    <s v="Programada"/>
    <s v="Arranque planta"/>
    <x v="1"/>
    <x v="1"/>
    <s v="CAMBIO DE ENERGIA"/>
    <m/>
  </r>
  <r>
    <x v="161"/>
    <m/>
    <x v="6"/>
    <d v="1899-12-30T08:59:00"/>
    <d v="1899-12-30T09:04:00"/>
    <n v="8.3333333333333329E-2"/>
    <s v="Programada"/>
    <s v="Arranque planta"/>
    <x v="1"/>
    <x v="12"/>
    <s v="CAMBIO DE ENERGIA"/>
    <m/>
  </r>
  <r>
    <x v="161"/>
    <m/>
    <x v="6"/>
    <d v="1899-12-30T14:46:00"/>
    <d v="1899-12-30T14:51:00"/>
    <n v="8.3333333333333329E-2"/>
    <s v="Programada"/>
    <s v="Arranque planta"/>
    <x v="1"/>
    <x v="1"/>
    <s v="CAMBIO DE ENERGIA"/>
    <m/>
  </r>
  <r>
    <x v="161"/>
    <m/>
    <x v="6"/>
    <d v="1899-12-30T20:17:00"/>
    <d v="1899-12-30T20:46:00"/>
    <n v="0.48333333333333334"/>
    <s v="Operativa"/>
    <s v="Atascamiento"/>
    <x v="0"/>
    <x v="8"/>
    <s v="SE ATASCO EL ELEVADOR DE FRUTO "/>
    <m/>
  </r>
  <r>
    <x v="162"/>
    <s v="miércoles"/>
    <x v="6"/>
    <d v="1899-12-30T11:46:00"/>
    <d v="1899-12-30T12:36:00"/>
    <n v="0.83333333333333337"/>
    <s v="Operativa"/>
    <s v="Falla operativa"/>
    <x v="8"/>
    <x v="21"/>
    <s v="SATURACION DE LODOS EN TANQUE DE LODOS DESARENADOS "/>
    <m/>
  </r>
  <r>
    <x v="162"/>
    <s v="miércoles"/>
    <x v="6"/>
    <d v="1899-12-30T20:20:00"/>
    <d v="1899-12-30T20:25:00"/>
    <n v="8.3333333333333329E-2"/>
    <s v="Programada"/>
    <s v="Arranque planta"/>
    <x v="1"/>
    <x v="12"/>
    <s v="CAMBIO DE ENERGIA"/>
    <m/>
  </r>
  <r>
    <x v="163"/>
    <s v="jueves"/>
    <x v="6"/>
    <d v="1899-12-30T06:17:00"/>
    <d v="1899-12-30T06:47:00"/>
    <n v="0.5"/>
    <s v="Operativa"/>
    <s v="Falta de fruta esterilizada"/>
    <x v="2"/>
    <x v="2"/>
    <s v="FALTA DE FRUTO ESTERILIZADO"/>
    <m/>
  </r>
  <r>
    <x v="163"/>
    <s v="jueves"/>
    <x v="6"/>
    <d v="1899-12-30T10:26:00"/>
    <d v="1899-12-30T10:33:00"/>
    <n v="0.11666666666666667"/>
    <s v="Operativa"/>
    <s v="Falla eléctrica"/>
    <x v="10"/>
    <x v="26"/>
    <s v="FALLA EN ELEVADOR DE NUECES "/>
    <m/>
  </r>
  <r>
    <x v="163"/>
    <s v="jueves"/>
    <x v="6"/>
    <d v="1899-12-30T10:46:00"/>
    <d v="1899-12-30T10:49:00"/>
    <n v="0.05"/>
    <s v="Operativa"/>
    <s v="Falla eléctrica"/>
    <x v="10"/>
    <x v="26"/>
    <s v="FALLA EN ELEVADOR DE NUECES "/>
    <m/>
  </r>
  <r>
    <x v="163"/>
    <s v="jueves"/>
    <x v="6"/>
    <d v="1899-12-30T16:16:00"/>
    <d v="1899-12-30T16:20:00"/>
    <n v="6.6666666666666666E-2"/>
    <s v="Programada"/>
    <s v="Arranque planta"/>
    <x v="1"/>
    <x v="1"/>
    <s v="CAMBIO DE ENERGIA"/>
    <m/>
  </r>
  <r>
    <x v="163"/>
    <s v="jueves"/>
    <x v="6"/>
    <d v="1899-12-30T16:33:00"/>
    <d v="1899-12-30T16:42:00"/>
    <n v="0.15"/>
    <s v="Programada"/>
    <s v="Arranque planta"/>
    <x v="1"/>
    <x v="12"/>
    <s v="CAMBIO DE ENERGIA"/>
    <m/>
  </r>
  <r>
    <x v="164"/>
    <s v="viernes"/>
    <x v="6"/>
    <d v="1899-12-30T08:01:00"/>
    <d v="1899-12-30T08:05:00"/>
    <n v="6.6666666666666666E-2"/>
    <s v="Programada"/>
    <s v="Arranque planta"/>
    <x v="1"/>
    <x v="1"/>
    <s v="CAMBIO DE ENERGIA"/>
    <m/>
  </r>
  <r>
    <x v="164"/>
    <m/>
    <x v="6"/>
    <d v="1899-12-30T13:17:00"/>
    <d v="1899-12-30T13:20:00"/>
    <n v="0.05"/>
    <s v="Operativa"/>
    <s v="Falla eléctrica"/>
    <x v="1"/>
    <x v="39"/>
    <s v="FALLA ELECTRICA EN CCM"/>
    <m/>
  </r>
  <r>
    <x v="164"/>
    <m/>
    <x v="6"/>
    <d v="1899-12-30T18:12:00"/>
    <d v="1899-12-30T19:09:00"/>
    <n v="0.95"/>
    <s v="Operativa"/>
    <s v="Falla mecánica"/>
    <x v="9"/>
    <x v="17"/>
    <s v="SE ROMPIO LA CADENA DEL ACOPLE TIPO PIÑON DEL SINFÍN BAJO DESFRUTAODR"/>
    <m/>
  </r>
  <r>
    <x v="164"/>
    <m/>
    <x v="6"/>
    <d v="1899-12-30T21:33:00"/>
    <d v="1899-12-30T21:37:00"/>
    <n v="6.6666666666666666E-2"/>
    <s v="Programada"/>
    <s v="Arranque planta"/>
    <x v="1"/>
    <x v="12"/>
    <s v="CAMBIO DE ENERGIA"/>
    <m/>
  </r>
  <r>
    <x v="165"/>
    <m/>
    <x v="6"/>
    <d v="1899-12-30T08:36:00"/>
    <d v="1899-12-30T09:01:00"/>
    <n v="0.41666666666666669"/>
    <s v="Operativa"/>
    <s v="Falla eléctrica"/>
    <x v="8"/>
    <x v="38"/>
    <s v="DAÑO EN ELCTROVALVULA DEL DESARENADOR #1"/>
    <m/>
  </r>
  <r>
    <x v="165"/>
    <m/>
    <x v="6"/>
    <d v="1899-12-30T09:44:00"/>
    <d v="1899-12-30T10:03:00"/>
    <n v="0.31666666666666665"/>
    <s v="Operativa"/>
    <s v="Falla eléctrica"/>
    <x v="10"/>
    <x v="26"/>
    <s v="FALLA EN ELEVADOR DE NUECES "/>
    <m/>
  </r>
  <r>
    <x v="165"/>
    <m/>
    <x v="6"/>
    <d v="1899-12-30T10:55:00"/>
    <d v="1899-12-30T10:58:00"/>
    <n v="0.05"/>
    <s v="Programada"/>
    <s v="Arranque planta"/>
    <x v="1"/>
    <x v="1"/>
    <s v="CAMBIO DE ENERGIA"/>
    <m/>
  </r>
  <r>
    <x v="165"/>
    <m/>
    <x v="6"/>
    <d v="1899-12-30T12:41:00"/>
    <d v="1899-12-30T12:44:00"/>
    <n v="0.05"/>
    <s v="Programada"/>
    <s v="Arranque planta"/>
    <x v="1"/>
    <x v="12"/>
    <s v="CAMBIO DE ENERGIA"/>
    <m/>
  </r>
  <r>
    <x v="166"/>
    <m/>
    <x v="6"/>
    <d v="1899-12-30T06:00:00"/>
    <d v="1899-12-30T16:00:00"/>
    <n v="10"/>
    <s v="Programada"/>
    <s v="Mantenimiento programado"/>
    <x v="6"/>
    <x v="28"/>
    <s v="MANTENIMIENTO PROGRAMADO EN LA PLANTA "/>
    <m/>
  </r>
  <r>
    <x v="167"/>
    <m/>
    <x v="6"/>
    <d v="1899-12-30T14:15:00"/>
    <d v="1899-12-30T14:20:00"/>
    <n v="8.3333333333333329E-2"/>
    <s v="Programada"/>
    <s v="Arranque planta"/>
    <x v="1"/>
    <x v="1"/>
    <s v="CAMBIO DE ENERGIA"/>
    <m/>
  </r>
  <r>
    <x v="168"/>
    <m/>
    <x v="6"/>
    <d v="1899-12-30T01:58:00"/>
    <d v="1899-12-30T04:23:00"/>
    <n v="2.4166666666666665"/>
    <s v="Operativa"/>
    <s v="Falla mecánica"/>
    <x v="9"/>
    <x v="17"/>
    <s v="SE ROMPIO LA CADENA DEL ACOPLE TIPO PIÑON DEL SINFÍN BAJO DESFRUTAODR"/>
    <m/>
  </r>
  <r>
    <x v="168"/>
    <m/>
    <x v="6"/>
    <d v="1899-12-30T11:54:00"/>
    <d v="1899-12-30T11:57:00"/>
    <n v="0.05"/>
    <s v="Programada"/>
    <s v="Arranque planta"/>
    <x v="1"/>
    <x v="12"/>
    <s v="CAMBIO DE ENERGIA"/>
    <m/>
  </r>
  <r>
    <x v="168"/>
    <m/>
    <x v="6"/>
    <d v="1899-12-30T13:21:00"/>
    <d v="1899-12-30T13:29:00"/>
    <n v="0.13333333333333333"/>
    <s v="Operativa"/>
    <s v="Falla mecánica"/>
    <x v="10"/>
    <x v="32"/>
    <s v="SE LE REALIZO AJUSTE A LA MORDAZA DEL MOLINO RIPPLE MILL"/>
    <m/>
  </r>
  <r>
    <x v="169"/>
    <m/>
    <x v="6"/>
    <d v="1899-12-30T18:08:00"/>
    <d v="1899-12-30T18:23:00"/>
    <n v="0.25"/>
    <s v="Operativa"/>
    <s v="Falta de fruta esterilizada"/>
    <x v="2"/>
    <x v="2"/>
    <s v="FALTA DE FRUTA ESTERILIZADA"/>
    <m/>
  </r>
  <r>
    <x v="170"/>
    <m/>
    <x v="6"/>
    <d v="1899-12-30T02:45:00"/>
    <d v="1899-12-30T03:17:00"/>
    <n v="0.53333333333333333"/>
    <s v="Operativa"/>
    <s v="Falla mecánica"/>
    <x v="9"/>
    <x v="40"/>
    <s v="SE RECALENTO HIDRO FLOW DEL DESFRUTADOR"/>
    <m/>
  </r>
  <r>
    <x v="170"/>
    <m/>
    <x v="6"/>
    <d v="1899-12-30T09:39:00"/>
    <d v="1899-12-30T12:26:00"/>
    <n v="2.7833333333333332"/>
    <s v="Externa"/>
    <s v="Falta de fruta fresca"/>
    <x v="7"/>
    <x v="24"/>
    <s v="FALTA DE FRUTA FRESCA EN PLANTA"/>
    <m/>
  </r>
  <r>
    <x v="170"/>
    <m/>
    <x v="6"/>
    <d v="1899-12-30T14:47:00"/>
    <d v="1899-12-30T14:54:00"/>
    <n v="0.11666666666666667"/>
    <s v="Programada"/>
    <s v="Arranque planta"/>
    <x v="1"/>
    <x v="1"/>
    <s v="CAMBIO DE ENERGIA"/>
    <m/>
  </r>
  <r>
    <x v="170"/>
    <m/>
    <x v="6"/>
    <d v="1899-12-30T18:03:00"/>
    <d v="1899-12-30T18:40:00"/>
    <n v="0.6166666666666667"/>
    <s v="Operativa"/>
    <s v="Atascamiento"/>
    <x v="0"/>
    <x v="8"/>
    <s v="SE ATASCO EL ELEVADOR DE FRUTO "/>
    <m/>
  </r>
  <r>
    <x v="170"/>
    <m/>
    <x v="6"/>
    <d v="1899-12-30T21:28:00"/>
    <d v="1899-12-30T21:32:00"/>
    <n v="6.6666666666666666E-2"/>
    <s v="Operativa"/>
    <s v="Falla eléctrica"/>
    <x v="3"/>
    <x v="6"/>
    <s v="FALLA EN EL SENSOR DEL REDLER #4"/>
    <m/>
  </r>
  <r>
    <x v="170"/>
    <m/>
    <x v="6"/>
    <d v="1899-12-30T23:56:00"/>
    <d v="1899-12-31T00:00:00"/>
    <n v="6.6666666666666666E-2"/>
    <s v="Programada"/>
    <s v="Arranque planta"/>
    <x v="1"/>
    <x v="12"/>
    <s v="CAMBIO DE ENERGIA"/>
    <m/>
  </r>
  <r>
    <x v="171"/>
    <m/>
    <x v="6"/>
    <d v="1899-12-30T02:00:00"/>
    <d v="1899-12-30T02:04:00"/>
    <n v="6.6666666666666666E-2"/>
    <s v="Operativa"/>
    <s v="Falla eléctrica"/>
    <x v="3"/>
    <x v="6"/>
    <s v="FALLA EN EL SENSOR DEL REDLER #4"/>
    <m/>
  </r>
  <r>
    <x v="171"/>
    <m/>
    <x v="6"/>
    <d v="1899-12-30T04:27:00"/>
    <d v="1899-12-30T04:31:00"/>
    <n v="6.6666666666666666E-2"/>
    <s v="Programada"/>
    <s v="Arranque planta"/>
    <x v="1"/>
    <x v="1"/>
    <s v="CAMBIO DE ENERGIA"/>
    <m/>
  </r>
  <r>
    <x v="172"/>
    <m/>
    <x v="6"/>
    <d v="1899-12-30T06:31:00"/>
    <d v="1899-12-30T08:28:00"/>
    <n v="1.95"/>
    <s v="Operativa"/>
    <s v="Falla mecánica"/>
    <x v="8"/>
    <x v="38"/>
    <s v="SE ROMPÍO MANGUERA DE AIRE DEL DESARENADOR #1"/>
    <m/>
  </r>
  <r>
    <x v="172"/>
    <m/>
    <x v="6"/>
    <d v="1899-12-30T10:15:00"/>
    <d v="1899-12-30T12:31:00"/>
    <n v="2.2666666666666666"/>
    <s v="Operativa"/>
    <s v="Falla operativa"/>
    <x v="8"/>
    <x v="41"/>
    <s v="SE REBOSO FOSO DE PURGAS DE CLARIFICACION"/>
    <m/>
  </r>
  <r>
    <x v="172"/>
    <m/>
    <x v="6"/>
    <d v="1899-12-30T17:24:00"/>
    <d v="1899-12-30T17:32:00"/>
    <n v="0.13333333333333333"/>
    <s v="Programada"/>
    <s v="Arranque planta"/>
    <x v="1"/>
    <x v="12"/>
    <s v="CAMBIO DE ENERGIA"/>
    <m/>
  </r>
  <r>
    <x v="173"/>
    <m/>
    <x v="6"/>
    <d v="1899-12-30T01:02:00"/>
    <d v="1899-12-30T01:05:00"/>
    <n v="0.05"/>
    <s v="Programada"/>
    <s v="Arranque planta"/>
    <x v="1"/>
    <x v="1"/>
    <s v="CAMBIO DE ENERGIA"/>
    <m/>
  </r>
  <r>
    <x v="173"/>
    <m/>
    <x v="6"/>
    <d v="1899-12-30T06:00:00"/>
    <d v="1899-12-30T16:00:00"/>
    <n v="10"/>
    <s v="Programada"/>
    <s v="Mantenimiento programado"/>
    <x v="6"/>
    <x v="28"/>
    <s v="MANTENIMIENTO PROGRAMADO EN LA PLANTA "/>
    <m/>
  </r>
  <r>
    <x v="174"/>
    <m/>
    <x v="6"/>
    <d v="1899-12-30T21:01:00"/>
    <d v="1899-12-30T21:05:00"/>
    <n v="6.6666666666666666E-2"/>
    <s v="Programada"/>
    <s v="Arranque planta"/>
    <x v="1"/>
    <x v="12"/>
    <s v="CAMBIO DE ENERGIA"/>
    <m/>
  </r>
  <r>
    <x v="175"/>
    <m/>
    <x v="6"/>
    <d v="1899-12-30T01:46:00"/>
    <d v="1899-12-30T02:04:00"/>
    <n v="0.3"/>
    <s v="Operativa"/>
    <s v="Falta de fruta esterilizada"/>
    <x v="2"/>
    <x v="2"/>
    <s v="FALTA DE FRUTO ESTERILIZADO"/>
    <m/>
  </r>
  <r>
    <x v="175"/>
    <m/>
    <x v="6"/>
    <d v="1899-12-30T22:56:00"/>
    <d v="1899-12-31T00:00:00"/>
    <n v="1.0666666666666667"/>
    <s v="Externa"/>
    <s v="Falla mecánica"/>
    <x v="0"/>
    <x v="0"/>
    <s v="SE PARTIERON TORNILLOS FUSIBLES DEL ACOPLE GALLETA DE LA PRENSA P15"/>
    <m/>
  </r>
  <r>
    <x v="176"/>
    <m/>
    <x v="6"/>
    <d v="1899-12-30T00:01:00"/>
    <d v="1899-12-30T15:31:00"/>
    <n v="15.5"/>
    <s v="Externa"/>
    <s v="Falla mecánica"/>
    <x v="0"/>
    <x v="0"/>
    <s v="SE CAMBIO TORNILLOS, CANASTA Y EJE CORTO DE LA PRENSA P15"/>
    <m/>
  </r>
  <r>
    <x v="176"/>
    <m/>
    <x v="6"/>
    <d v="1899-12-30T22:56:00"/>
    <d v="1899-12-30T23:55:00"/>
    <n v="0.98333333333333328"/>
    <s v="Operativa"/>
    <s v="Falla mecánica"/>
    <x v="10"/>
    <x v="42"/>
    <s v="SE ROMPIO CADENA DEL ACOPLE DEL SINFÍN ROMPETROTA"/>
    <m/>
  </r>
  <r>
    <x v="177"/>
    <m/>
    <x v="6"/>
    <d v="1899-12-30T07:31:00"/>
    <d v="1899-12-30T07:34:00"/>
    <n v="0.05"/>
    <s v="Programada"/>
    <s v="Arranque planta"/>
    <x v="1"/>
    <x v="1"/>
    <s v="CAMBIO DE ENERGIA"/>
    <m/>
  </r>
  <r>
    <x v="177"/>
    <m/>
    <x v="6"/>
    <d v="1899-12-30T08:27:00"/>
    <d v="1899-12-30T08:44:00"/>
    <n v="0.28333333333333333"/>
    <s v="Programada"/>
    <s v="Arranque planta"/>
    <x v="1"/>
    <x v="12"/>
    <s v="CAMBIO DE ENERGIA"/>
    <m/>
  </r>
  <r>
    <x v="177"/>
    <m/>
    <x v="6"/>
    <d v="1899-12-30T09:14:00"/>
    <d v="1899-12-30T10:52:00"/>
    <n v="1.6333333333333333"/>
    <s v="Operativa"/>
    <s v="Falla mecánica"/>
    <x v="5"/>
    <x v="7"/>
    <s v="SE ROMPIO EL RODAMEINTO DE LA BOMBA DE ALIMENTACION DE AGUA A CALDERA"/>
    <m/>
  </r>
  <r>
    <x v="177"/>
    <m/>
    <x v="6"/>
    <d v="1899-12-30T11:50:00"/>
    <d v="1899-12-30T11:53:00"/>
    <n v="0.05"/>
    <s v="Programada"/>
    <s v="Arranque planta"/>
    <x v="1"/>
    <x v="1"/>
    <s v="CAMBIO DE ENERGIA"/>
    <m/>
  </r>
  <r>
    <x v="178"/>
    <m/>
    <x v="7"/>
    <d v="1899-12-30T06:00:00"/>
    <d v="1899-12-30T16:00:00"/>
    <n v="10"/>
    <s v="Programada"/>
    <s v="Mantenimiento programado"/>
    <x v="6"/>
    <x v="28"/>
    <s v="MANTENIMIENTO PROGRAMADO EN LA PLANTA "/>
    <m/>
  </r>
  <r>
    <x v="179"/>
    <m/>
    <x v="7"/>
    <d v="1899-12-30T06:00:00"/>
    <d v="1899-12-30T16:00:00"/>
    <n v="10"/>
    <s v="Programada"/>
    <s v="Mantenimiento programado"/>
    <x v="6"/>
    <x v="28"/>
    <s v="MANTENIMIENTO PROGRAMADO EN LA PLANTA "/>
    <m/>
  </r>
  <r>
    <x v="180"/>
    <m/>
    <x v="7"/>
    <d v="1899-12-30T18:10:00"/>
    <d v="1899-12-30T18:14:00"/>
    <n v="6.6666666666666666E-2"/>
    <s v="Programada"/>
    <s v="Arranque planta"/>
    <x v="1"/>
    <x v="12"/>
    <s v="CAMBIO DE ENERGIA"/>
    <m/>
  </r>
  <r>
    <x v="180"/>
    <m/>
    <x v="7"/>
    <d v="1899-12-30T18:24:00"/>
    <d v="1899-12-30T18:28:00"/>
    <n v="6.6666666666666666E-2"/>
    <s v="Programada"/>
    <s v="Arranque planta"/>
    <x v="1"/>
    <x v="1"/>
    <s v="CAMBIO DE ENERGIA"/>
    <m/>
  </r>
  <r>
    <x v="180"/>
    <m/>
    <x v="7"/>
    <d v="1899-12-30T18:52:00"/>
    <d v="1899-12-30T18:57:00"/>
    <n v="8.3333333333333329E-2"/>
    <s v="Programada"/>
    <s v="Arranque planta"/>
    <x v="1"/>
    <x v="12"/>
    <s v="CAMBIO DE ENERGIA"/>
    <m/>
  </r>
  <r>
    <x v="181"/>
    <m/>
    <x v="7"/>
    <d v="1899-12-30T04:01:00"/>
    <d v="1899-12-30T05:37:00"/>
    <n v="1.6"/>
    <s v="Operativa"/>
    <s v="Falta de fruta esterilizada"/>
    <x v="2"/>
    <x v="2"/>
    <s v="FALTA DE FRUTO ESTERILIZADO"/>
    <m/>
  </r>
  <r>
    <x v="181"/>
    <m/>
    <x v="7"/>
    <d v="1899-12-30T19:24:00"/>
    <d v="1899-12-30T19:27:00"/>
    <n v="0.05"/>
    <s v="Programada"/>
    <s v="Arranque planta"/>
    <x v="1"/>
    <x v="1"/>
    <s v="CAMBIO DE ENERGIA"/>
    <m/>
  </r>
  <r>
    <x v="182"/>
    <m/>
    <x v="7"/>
    <d v="1899-12-30T01:19:00"/>
    <d v="1899-12-30T01:22:00"/>
    <n v="0.05"/>
    <s v="Programada"/>
    <s v="Arranque planta"/>
    <x v="1"/>
    <x v="12"/>
    <s v="CAMBIO DE ENERGIA"/>
    <m/>
  </r>
  <r>
    <x v="182"/>
    <m/>
    <x v="7"/>
    <d v="1899-12-30T01:35:00"/>
    <d v="1899-12-30T01:37:00"/>
    <n v="3.3333333333333333E-2"/>
    <s v="Programada"/>
    <s v="Arranque planta"/>
    <x v="1"/>
    <x v="1"/>
    <s v="CAMBIO DE ENERGIA"/>
    <m/>
  </r>
  <r>
    <x v="182"/>
    <m/>
    <x v="7"/>
    <d v="1899-12-30T04:04:00"/>
    <d v="1899-12-30T05:49:00"/>
    <n v="1.75"/>
    <s v="Operativa"/>
    <s v="Falla mecánica"/>
    <x v="5"/>
    <x v="7"/>
    <s v="SE DAÑO EL RODAMEINTO DE LA BOMBA MULTIETAPAS"/>
    <m/>
  </r>
  <r>
    <x v="182"/>
    <m/>
    <x v="7"/>
    <d v="1899-12-30T05:58:00"/>
    <d v="1899-12-30T06:29:00"/>
    <n v="0.51666666666666672"/>
    <s v="Operativa"/>
    <s v="Falla operativa"/>
    <x v="10"/>
    <x v="32"/>
    <s v="PASO DE FIBRA HUMEDA EN MOLINO RIPPLE MILL "/>
    <m/>
  </r>
  <r>
    <x v="182"/>
    <m/>
    <x v="7"/>
    <d v="1899-12-30T19:32:00"/>
    <d v="1899-12-30T19:36:00"/>
    <n v="6.6666666666666666E-2"/>
    <s v="Programada"/>
    <s v="Arranque planta"/>
    <x v="1"/>
    <x v="12"/>
    <s v="CAMBIO DE ENERGIA"/>
    <m/>
  </r>
  <r>
    <x v="183"/>
    <m/>
    <x v="7"/>
    <d v="1899-12-30T01:05:00"/>
    <d v="1899-12-30T01:08:00"/>
    <n v="0.05"/>
    <s v="Programada"/>
    <s v="Arranque planta"/>
    <x v="1"/>
    <x v="1"/>
    <s v="CAMBIO DE ENERGIA"/>
    <m/>
  </r>
  <r>
    <x v="183"/>
    <m/>
    <x v="7"/>
    <d v="1899-12-30T12:24:00"/>
    <d v="1899-12-30T12:35:00"/>
    <n v="0.18333333333333332"/>
    <s v="Programada"/>
    <s v="Arranque planta"/>
    <x v="1"/>
    <x v="12"/>
    <s v="CAMBIO DE ENERGIA"/>
    <m/>
  </r>
  <r>
    <x v="183"/>
    <m/>
    <x v="7"/>
    <d v="1899-12-30T23:22:00"/>
    <d v="1899-12-30T23:38:00"/>
    <n v="0.26666666666666666"/>
    <s v="Operativa"/>
    <s v="Falla mecánica"/>
    <x v="10"/>
    <x v="32"/>
    <s v="SE AJUSTO MORDAZA DEL MOLINO RIPPLE MILL"/>
    <m/>
  </r>
  <r>
    <x v="184"/>
    <m/>
    <x v="7"/>
    <d v="1899-12-30T12:24:00"/>
    <d v="1899-12-30T12:26:00"/>
    <n v="3.3333333333333333E-2"/>
    <s v="Operativa"/>
    <s v="Falla eléctrica"/>
    <x v="6"/>
    <x v="39"/>
    <s v="FALLA EN EL PLC"/>
    <m/>
  </r>
  <r>
    <x v="184"/>
    <m/>
    <x v="7"/>
    <d v="1899-12-30T13:31:00"/>
    <d v="1899-12-30T13:58:00"/>
    <n v="0.45"/>
    <s v="Operativa"/>
    <s v="Atascamiento"/>
    <x v="0"/>
    <x v="8"/>
    <s v="SE ATASCO EL ELEVADOR DE FRUTO "/>
    <m/>
  </r>
  <r>
    <x v="184"/>
    <m/>
    <x v="7"/>
    <d v="1899-12-30T21:55:00"/>
    <d v="1899-12-30T22:03:00"/>
    <n v="0.13333333333333333"/>
    <s v="Operativa"/>
    <s v="Atascamiento"/>
    <x v="4"/>
    <x v="11"/>
    <s v="ATASCAMIENTO EN DUCTO DE DESCARGA DE LA PRENSA DE TUSAS"/>
    <m/>
  </r>
  <r>
    <x v="184"/>
    <m/>
    <x v="7"/>
    <d v="1899-12-30T23:54:00"/>
    <d v="1899-12-31T00:00:00"/>
    <n v="0.1"/>
    <s v="Operativa"/>
    <s v="Atascamiento"/>
    <x v="4"/>
    <x v="11"/>
    <s v="ATASCAMIENTO EN DUCTO DE DESCARGA DE LA PRENSA DE TUSAS"/>
    <m/>
  </r>
  <r>
    <x v="185"/>
    <m/>
    <x v="7"/>
    <d v="1899-12-30T23:08:00"/>
    <d v="1899-12-30T23:11:00"/>
    <n v="0.05"/>
    <s v="Programada"/>
    <s v="Arranque planta"/>
    <x v="1"/>
    <x v="1"/>
    <s v="CAMBIO DE ENERGIA"/>
    <m/>
  </r>
  <r>
    <x v="186"/>
    <m/>
    <x v="7"/>
    <d v="1899-12-30T08:01:00"/>
    <d v="1899-12-30T08:08:00"/>
    <n v="0.11666666666666667"/>
    <s v="Programada"/>
    <s v="Arranque planta"/>
    <x v="1"/>
    <x v="12"/>
    <s v="CAMBIO DE ENERGIA"/>
    <m/>
  </r>
  <r>
    <x v="186"/>
    <m/>
    <x v="7"/>
    <d v="1899-12-30T08:30:00"/>
    <d v="1899-12-30T08:37:00"/>
    <n v="0.11666666666666667"/>
    <s v="Operativa"/>
    <s v="Falla eléctrica"/>
    <x v="10"/>
    <x v="26"/>
    <s v="FALLA EN SENSOR DEL ELEVADOR DE NUEZ"/>
    <m/>
  </r>
  <r>
    <x v="187"/>
    <m/>
    <x v="7"/>
    <d v="1899-12-30T12:56:00"/>
    <d v="1899-12-30T13:00:00"/>
    <n v="6.6666666666666666E-2"/>
    <s v="Programada"/>
    <s v="Arranque planta"/>
    <x v="1"/>
    <x v="1"/>
    <s v="CAMBIO DE ENERGIA"/>
    <m/>
  </r>
  <r>
    <x v="188"/>
    <m/>
    <x v="7"/>
    <d v="1899-12-30T01:11:00"/>
    <d v="1899-12-30T01:15:00"/>
    <n v="6.6666666666666666E-2"/>
    <s v="Programada"/>
    <s v="Arranque planta"/>
    <x v="1"/>
    <x v="12"/>
    <s v="CAMBIO DE ENERGIA"/>
    <m/>
  </r>
  <r>
    <x v="188"/>
    <m/>
    <x v="7"/>
    <d v="1899-12-30T10:42:00"/>
    <d v="1899-12-30T10:45:00"/>
    <n v="0.05"/>
    <s v="Programada"/>
    <s v="Arranque planta"/>
    <x v="1"/>
    <x v="1"/>
    <s v="CAMBIO DE ENERGIA"/>
    <m/>
  </r>
  <r>
    <x v="188"/>
    <m/>
    <x v="7"/>
    <d v="1899-12-30T10:59:00"/>
    <d v="1899-12-30T11:02:00"/>
    <n v="0.05"/>
    <s v="Programada"/>
    <s v="Arranque planta"/>
    <x v="1"/>
    <x v="12"/>
    <s v="CAMBIO DE ENERGIA"/>
    <m/>
  </r>
  <r>
    <x v="188"/>
    <m/>
    <x v="7"/>
    <d v="1899-12-30T11:12:00"/>
    <d v="1899-12-30T11:16:00"/>
    <n v="6.6666666666666666E-2"/>
    <s v="Programada"/>
    <s v="Arranque planta"/>
    <x v="1"/>
    <x v="1"/>
    <s v="CAMBIO DE ENERGIA"/>
    <m/>
  </r>
  <r>
    <x v="188"/>
    <m/>
    <x v="7"/>
    <d v="1899-12-30T22:58:00"/>
    <d v="1899-12-30T23:00:00"/>
    <n v="3.3333333333333333E-2"/>
    <s v="Programada"/>
    <s v="Arranque planta"/>
    <x v="1"/>
    <x v="12"/>
    <s v="CAMBIO DE ENERGIA"/>
    <m/>
  </r>
  <r>
    <x v="189"/>
    <m/>
    <x v="7"/>
    <d v="1899-12-30T09:03:00"/>
    <d v="1899-12-30T09:07:00"/>
    <n v="6.6666666666666666E-2"/>
    <s v="Programada"/>
    <s v="Arranque planta"/>
    <x v="1"/>
    <x v="1"/>
    <s v="CAMBIO DE ENERGIA"/>
    <m/>
  </r>
  <r>
    <x v="190"/>
    <m/>
    <x v="7"/>
    <d v="1899-12-30T02:53:00"/>
    <d v="1899-12-30T02:57:00"/>
    <n v="6.6666666666666666E-2"/>
    <s v="Programada"/>
    <s v="Arranque planta"/>
    <x v="1"/>
    <x v="12"/>
    <s v="CAMBIO DE ENERGIA"/>
    <m/>
  </r>
  <r>
    <x v="190"/>
    <m/>
    <x v="7"/>
    <d v="1899-12-30T09:08:00"/>
    <d v="1899-12-30T09:13:00"/>
    <n v="8.3333333333333329E-2"/>
    <s v="Programada"/>
    <s v="Arranque planta"/>
    <x v="1"/>
    <x v="1"/>
    <s v="CAMBIO DE ENERGIA"/>
    <m/>
  </r>
  <r>
    <x v="191"/>
    <m/>
    <x v="7"/>
    <d v="1899-12-30T02:48:00"/>
    <d v="1899-12-30T02:51:00"/>
    <n v="0.05"/>
    <s v="Programada"/>
    <s v="Arranque planta"/>
    <x v="1"/>
    <x v="12"/>
    <s v="CAMBIO DE ENERGIA"/>
    <m/>
  </r>
  <r>
    <x v="191"/>
    <m/>
    <x v="7"/>
    <d v="1899-12-30T09:08:00"/>
    <d v="1899-12-30T09:13:00"/>
    <n v="8.3333333333333329E-2"/>
    <s v="Operativa"/>
    <s v="Atascamiento"/>
    <x v="4"/>
    <x v="11"/>
    <s v="ATASCAMIENTO EN LA PRENSA RAQUIS"/>
    <m/>
  </r>
  <r>
    <x v="191"/>
    <m/>
    <x v="7"/>
    <d v="1899-12-30T09:16:00"/>
    <d v="1899-12-30T09:28:00"/>
    <n v="0.2"/>
    <s v="Programada"/>
    <s v="Arranque planta"/>
    <x v="1"/>
    <x v="1"/>
    <s v="CAMBIO DE ENERGIA"/>
    <m/>
  </r>
  <r>
    <x v="191"/>
    <m/>
    <x v="7"/>
    <d v="1899-12-30T09:30:00"/>
    <d v="1899-12-30T09:36:00"/>
    <n v="0.1"/>
    <s v="Operativa"/>
    <s v="Falla eléctrica"/>
    <x v="3"/>
    <x v="3"/>
    <s v="FALLA EN EL SENSOR DEL REDLER #3"/>
    <m/>
  </r>
  <r>
    <x v="191"/>
    <m/>
    <x v="7"/>
    <d v="1899-12-30T09:38:00"/>
    <d v="1899-12-30T09:41:00"/>
    <n v="0.05"/>
    <s v="Programada"/>
    <s v="Arranque planta"/>
    <x v="1"/>
    <x v="12"/>
    <s v="CAMBIO DE ENERGIA"/>
    <m/>
  </r>
  <r>
    <x v="192"/>
    <m/>
    <x v="7"/>
    <d v="1899-12-30T05:06:00"/>
    <d v="1899-12-30T05:08:00"/>
    <n v="3.3333333333333333E-2"/>
    <s v="Programada"/>
    <s v="Arranque planta"/>
    <x v="1"/>
    <x v="1"/>
    <s v="CAMBIO DE ENERGIA"/>
    <m/>
  </r>
  <r>
    <x v="193"/>
    <m/>
    <x v="7"/>
    <d v="1899-12-30T06:00:00"/>
    <d v="1899-12-30T16:00:00"/>
    <n v="10"/>
    <s v="Programada"/>
    <s v="Mantenimiento programado"/>
    <x v="6"/>
    <x v="28"/>
    <s v="MANTENIMIENTO PROGRAMADO EN LA PLANTA "/>
    <m/>
  </r>
  <r>
    <x v="194"/>
    <m/>
    <x v="7"/>
    <d v="1899-12-30T06:00:00"/>
    <d v="1899-12-30T12:00:00"/>
    <n v="6"/>
    <s v="Programada"/>
    <s v="Mantenimiento programado"/>
    <x v="6"/>
    <x v="28"/>
    <s v="MANTENIMIENTO PROGRAMADO EN LA PLANTA "/>
    <m/>
  </r>
  <r>
    <x v="147"/>
    <s v="martes"/>
    <x v="5"/>
    <d v="1899-12-30T07:05:00"/>
    <d v="1899-12-30T07:09:00"/>
    <n v="6.6666666666666666E-2"/>
    <s v="Programada"/>
    <s v="Arranque planta"/>
    <x v="1"/>
    <x v="12"/>
    <s v="CAMBIO DE ENERGIA"/>
    <m/>
  </r>
  <r>
    <x v="147"/>
    <s v="martes"/>
    <x v="5"/>
    <d v="1899-12-30T09:56:00"/>
    <d v="1899-12-30T10:41:00"/>
    <n v="0.75"/>
    <s v="Programada"/>
    <s v="Arranque planta"/>
    <x v="1"/>
    <x v="12"/>
    <s v="CAMBIO DE ENERGIA"/>
    <m/>
  </r>
  <r>
    <x v="147"/>
    <s v="martes"/>
    <x v="5"/>
    <d v="1899-12-30T16:10:00"/>
    <d v="1899-12-30T16:15:00"/>
    <n v="8.3333333333333329E-2"/>
    <s v="Programada"/>
    <s v="Arranque planta"/>
    <x v="1"/>
    <x v="12"/>
    <s v="CAMBIO DE ENERGIA"/>
    <m/>
  </r>
  <r>
    <x v="195"/>
    <s v="miércoles"/>
    <x v="7"/>
    <d v="1899-12-30T04:06:00"/>
    <d v="1899-12-30T04:09:00"/>
    <n v="0.05"/>
    <s v="Programada"/>
    <s v="Arranque planta"/>
    <x v="1"/>
    <x v="12"/>
    <s v="CAMBIO DE ENERGIA"/>
    <m/>
  </r>
  <r>
    <x v="195"/>
    <s v="miércoles"/>
    <x v="7"/>
    <d v="1899-12-30T05:20:00"/>
    <d v="1899-12-30T05:42:00"/>
    <n v="0.36666666666666664"/>
    <s v="Operativa"/>
    <s v="Falla mecánica"/>
    <x v="0"/>
    <x v="8"/>
    <s v="DAÑO EN LA CADENA DE TRASMISION DEL ELEVADOR DE FRUTO"/>
    <m/>
  </r>
  <r>
    <x v="196"/>
    <s v="jueves"/>
    <x v="7"/>
    <d v="1899-12-30T07:46:00"/>
    <d v="1899-12-30T09:19:00"/>
    <n v="1.55"/>
    <s v="Operativa"/>
    <s v="Falla mecánica"/>
    <x v="8"/>
    <x v="43"/>
    <s v="SE CAMBIO LA BOMBA DEL TANQUE DE LODOS DEL PRECLARIFICADOR"/>
    <m/>
  </r>
  <r>
    <x v="196"/>
    <s v="jueves"/>
    <x v="7"/>
    <d v="1899-12-30T23:04:00"/>
    <d v="1899-12-30T23:11:00"/>
    <n v="0.11666666666666667"/>
    <s v="Operativa"/>
    <s v="Atascamiento"/>
    <x v="4"/>
    <x v="11"/>
    <s v="ATASCAMIENTO EN LA PRENSA RAQUIS"/>
    <m/>
  </r>
  <r>
    <x v="197"/>
    <s v="sábado"/>
    <x v="7"/>
    <d v="1899-12-30T06:31:00"/>
    <d v="1899-12-30T07:40:00"/>
    <n v="1.1499999999999999"/>
    <s v="Operativa"/>
    <s v="Falta de fruta esterilizada"/>
    <x v="7"/>
    <x v="44"/>
    <s v="FALLA EN LA BOMBA DE LA UNIDAD HIDRAULICA DE TOLVA"/>
    <m/>
  </r>
  <r>
    <x v="197"/>
    <s v="sábado"/>
    <x v="7"/>
    <d v="1899-12-30T13:08:00"/>
    <d v="1899-12-31T00:00:00"/>
    <n v="10.866666666666667"/>
    <s v="Operativa"/>
    <s v="Falla mecánica"/>
    <x v="0"/>
    <x v="0"/>
    <s v="SE ROMPIO EL EJE LARGO DE LA PRENSA P15"/>
    <m/>
  </r>
  <r>
    <x v="198"/>
    <s v="lunes"/>
    <x v="7"/>
    <d v="1899-12-30T11:26:00"/>
    <d v="1899-12-30T11:29:00"/>
    <n v="0.05"/>
    <s v="Programada"/>
    <s v="Arranque planta"/>
    <x v="1"/>
    <x v="1"/>
    <s v="CAMBIO DE ENERGIA"/>
    <m/>
  </r>
  <r>
    <x v="199"/>
    <s v="martes"/>
    <x v="7"/>
    <d v="1899-12-30T03:42:00"/>
    <d v="1899-12-30T03:57:00"/>
    <n v="0.25"/>
    <s v="Operativa"/>
    <s v="Falla eléctrica"/>
    <x v="2"/>
    <x v="2"/>
    <s v="FALLA EN LOS CENSORES DE LA PUERTA SUPERIOR DEL ESTERILIZADOR"/>
    <m/>
  </r>
  <r>
    <x v="199"/>
    <s v="martes"/>
    <x v="7"/>
    <d v="1899-12-30T08:03:00"/>
    <d v="1899-12-30T08:39:00"/>
    <n v="0.6"/>
    <s v="Operativa"/>
    <s v="Falta de fruta esterilizada"/>
    <x v="2"/>
    <x v="2"/>
    <s v="FALTA DE FRUTO ESTERILIZADO, SE ATRAZO LA ESTERILIZADA DE FRUTO POR LA FALLA EN LOS SENSORES DE LA PUERTA DEL ESTERILIZADOR "/>
    <m/>
  </r>
  <r>
    <x v="199"/>
    <s v="martes"/>
    <x v="7"/>
    <d v="1899-12-30T19:40:00"/>
    <d v="1899-12-30T21:57:00"/>
    <n v="2.2833333333333332"/>
    <s v="Operativa"/>
    <s v="Falta de fruta esterilizada"/>
    <x v="2"/>
    <x v="2"/>
    <s v="FALTA DE FRUTO ESTERILIZADO"/>
    <m/>
  </r>
  <r>
    <x v="199"/>
    <s v="martes"/>
    <x v="7"/>
    <d v="1899-12-30T23:00:00"/>
    <d v="1899-12-30T23:05:00"/>
    <n v="8.3333333333333329E-2"/>
    <s v="Programada"/>
    <s v="Arranque planta"/>
    <x v="1"/>
    <x v="12"/>
    <s v="CAMBIO DE ENERGIA"/>
    <m/>
  </r>
  <r>
    <x v="200"/>
    <s v="miércoles"/>
    <x v="7"/>
    <d v="1899-12-30T22:28:00"/>
    <d v="1899-12-30T23:00:00"/>
    <n v="0.53333333333333333"/>
    <s v="Operativa"/>
    <s v="Falla mecánica"/>
    <x v="0"/>
    <x v="8"/>
    <s v="SE ROMPIO EL  CANDADO DE LA CADENA DEL ELEVADOR DE FRUTO "/>
    <m/>
  </r>
  <r>
    <x v="201"/>
    <s v="viernes"/>
    <x v="7"/>
    <d v="1899-12-30T03:34:00"/>
    <d v="1899-12-30T03:37:00"/>
    <n v="0.05"/>
    <s v="Programada"/>
    <s v="Arranque planta"/>
    <x v="1"/>
    <x v="1"/>
    <s v="CAMBIO DE ENERGIA"/>
    <m/>
  </r>
  <r>
    <x v="201"/>
    <s v="viernes"/>
    <x v="7"/>
    <d v="1899-12-30T22:35:00"/>
    <d v="1899-12-30T23:09:00"/>
    <n v="0.56666666666666665"/>
    <s v="Operativa"/>
    <s v="Atascamiento"/>
    <x v="2"/>
    <x v="45"/>
    <s v="ATASCAMIENTO EN DUCTO DEL REDLER #2"/>
    <m/>
  </r>
  <r>
    <x v="202"/>
    <s v="sábado"/>
    <x v="7"/>
    <d v="1899-12-30T02:19:00"/>
    <d v="1899-12-30T02:22:00"/>
    <n v="0.05"/>
    <s v="Programada"/>
    <s v="Arranque planta"/>
    <x v="1"/>
    <x v="12"/>
    <s v="CAMBIO DE ENERGIA"/>
    <m/>
  </r>
  <r>
    <x v="202"/>
    <s v="sábado"/>
    <x v="7"/>
    <d v="1899-12-30T08:35:00"/>
    <d v="1899-12-30T08:40:00"/>
    <n v="8.3333333333333329E-2"/>
    <s v="Programada"/>
    <s v="Arranque planta"/>
    <x v="1"/>
    <x v="1"/>
    <s v="CAMBIO DE ENERGIA"/>
    <m/>
  </r>
  <r>
    <x v="202"/>
    <s v="sábado"/>
    <x v="7"/>
    <d v="1899-12-30T15:46:00"/>
    <d v="1899-12-30T16:00:00"/>
    <n v="0.23333333333333334"/>
    <s v="Operativa"/>
    <s v="Falta de fruta esterilizada"/>
    <x v="2"/>
    <x v="2"/>
    <s v="FALTA DE FRUTO ESTERILIZADO"/>
    <m/>
  </r>
  <r>
    <x v="202"/>
    <s v="sábado"/>
    <x v="7"/>
    <d v="1899-12-30T17:32:00"/>
    <d v="1899-12-30T17:35:00"/>
    <n v="0.05"/>
    <s v="Programada"/>
    <s v="Arranque planta"/>
    <x v="1"/>
    <x v="12"/>
    <s v="CAMBIO DE ENERGIA"/>
    <m/>
  </r>
  <r>
    <x v="203"/>
    <s v="lunes"/>
    <x v="8"/>
    <d v="1899-12-30T18:25:00"/>
    <d v="1899-12-30T18:28:00"/>
    <n v="0.05"/>
    <s v="Programada"/>
    <s v="Arranque planta"/>
    <x v="1"/>
    <x v="12"/>
    <s v="CAMBIO DE ENERGIA"/>
    <m/>
  </r>
  <r>
    <x v="204"/>
    <s v="martes"/>
    <x v="8"/>
    <d v="1899-12-30T01:16:00"/>
    <d v="1899-12-30T01:19:00"/>
    <n v="0.05"/>
    <s v="Programada"/>
    <s v="Arranque planta"/>
    <x v="1"/>
    <x v="12"/>
    <s v="CAMBIO DE ENERGIA"/>
    <m/>
  </r>
  <r>
    <x v="204"/>
    <s v="martes"/>
    <x v="8"/>
    <d v="1899-12-30T11:20:00"/>
    <d v="1899-12-30T11:27:00"/>
    <n v="0.11666666666666667"/>
    <s v="Programada"/>
    <s v="Arranque planta"/>
    <x v="1"/>
    <x v="12"/>
    <s v="CAMBIO DE ENERGIA"/>
    <m/>
  </r>
  <r>
    <x v="204"/>
    <s v="martes"/>
    <x v="8"/>
    <d v="1899-12-30T11:51:00"/>
    <d v="1899-12-30T12:05:00"/>
    <n v="0.23333333333333334"/>
    <s v="Mantenimiento"/>
    <s v="Falla mecánica"/>
    <x v="0"/>
    <x v="8"/>
    <s v="SE ROMPIO CADENA DE TRASMISION DEL ELEVADOR DE FRUTO"/>
    <m/>
  </r>
  <r>
    <x v="204"/>
    <s v="martes"/>
    <x v="8"/>
    <d v="1899-12-30T21:47:00"/>
    <d v="1899-12-30T21:59:00"/>
    <n v="0.2"/>
    <s v="Operativa"/>
    <s v="Atascamiento"/>
    <x v="10"/>
    <x v="32"/>
    <s v="SE ATASCO EL DUCTO DEL RIPPLE MILL"/>
    <m/>
  </r>
  <r>
    <x v="204"/>
    <s v="martes"/>
    <x v="8"/>
    <d v="1899-12-30T22:01:00"/>
    <d v="1899-12-30T22:29:00"/>
    <n v="0.46666666666666667"/>
    <s v="Operativa"/>
    <s v="Falta de fruta esterilizada"/>
    <x v="2"/>
    <x v="2"/>
    <s v="FALTA DE FRUTO ESTERILIZADO"/>
    <m/>
  </r>
  <r>
    <x v="205"/>
    <s v="miércoles"/>
    <x v="8"/>
    <d v="1899-12-30T00:46:00"/>
    <d v="1899-12-30T00:48:00"/>
    <n v="3.3333333333333333E-2"/>
    <s v="Programada"/>
    <s v="Arranque planta"/>
    <x v="1"/>
    <x v="12"/>
    <s v="CAMBIO DE ENERGIA"/>
    <m/>
  </r>
  <r>
    <x v="205"/>
    <s v="miércoles"/>
    <x v="8"/>
    <d v="1899-12-30T09:36:00"/>
    <d v="1899-12-30T09:40:00"/>
    <n v="6.6666666666666666E-2"/>
    <s v="Programada"/>
    <s v="Arranque planta"/>
    <x v="1"/>
    <x v="12"/>
    <s v="CAMBIO DE ENERGIA"/>
    <m/>
  </r>
  <r>
    <x v="205"/>
    <s v="miércoles"/>
    <x v="8"/>
    <d v="1899-12-30T10:39:00"/>
    <d v="1899-12-30T11:49:00"/>
    <n v="1.1666666666666667"/>
    <s v="Mantenimiento"/>
    <s v="Falla mecánica"/>
    <x v="0"/>
    <x v="8"/>
    <s v="SE ROMPIO CADENA DE TRASMISION DEL ELEVADOR DE FRUTO"/>
    <m/>
  </r>
  <r>
    <x v="205"/>
    <s v="miércoles"/>
    <x v="8"/>
    <d v="1899-12-30T13:41:00"/>
    <d v="1899-12-30T13:43:00"/>
    <n v="3.3333333333333333E-2"/>
    <s v="Programada"/>
    <s v="Arranque planta"/>
    <x v="1"/>
    <x v="12"/>
    <s v="CAMBIO DE ENERGIA"/>
    <m/>
  </r>
  <r>
    <x v="206"/>
    <s v="jueves"/>
    <x v="8"/>
    <d v="1899-12-30T09:33:00"/>
    <d v="1899-12-30T09:37:00"/>
    <n v="6.6666666666666666E-2"/>
    <s v="Programada"/>
    <s v="Arranque planta"/>
    <x v="1"/>
    <x v="12"/>
    <s v="CAMBIO DE ENERGIA"/>
    <m/>
  </r>
  <r>
    <x v="206"/>
    <s v="jueves"/>
    <x v="8"/>
    <d v="1899-12-30T09:52:00"/>
    <d v="1899-12-30T09:56:00"/>
    <n v="6.6666666666666666E-2"/>
    <s v="Programada"/>
    <s v="Arranque planta"/>
    <x v="1"/>
    <x v="12"/>
    <s v="CAMBIO DE ENERGIA"/>
    <m/>
  </r>
  <r>
    <x v="206"/>
    <s v="jueves"/>
    <x v="8"/>
    <d v="1899-12-30T10:12:00"/>
    <d v="1899-12-30T10:16:00"/>
    <n v="6.6666666666666666E-2"/>
    <s v="Programada"/>
    <s v="Arranque planta"/>
    <x v="1"/>
    <x v="12"/>
    <s v="CAMBIO DE ENERGIA"/>
    <m/>
  </r>
  <r>
    <x v="206"/>
    <s v="jueves"/>
    <x v="8"/>
    <d v="1899-12-30T15:07:00"/>
    <d v="1899-12-30T15:43:00"/>
    <n v="0.6"/>
    <s v="Operativa"/>
    <s v="Falta de fruta esterilizada"/>
    <x v="2"/>
    <x v="2"/>
    <s v="FALTA DE FRUTO ESTERILIZADO"/>
    <m/>
  </r>
  <r>
    <x v="206"/>
    <s v="jueves"/>
    <x v="8"/>
    <d v="1899-12-30T23:17:00"/>
    <d v="1899-12-30T23:48:00"/>
    <n v="0.51666666666666672"/>
    <s v="Operativa"/>
    <s v="Falta de fruta esterilizada"/>
    <x v="2"/>
    <x v="2"/>
    <s v="FALTA DE FRUTO ESTERILIZADO"/>
    <m/>
  </r>
  <r>
    <x v="207"/>
    <s v="viernes"/>
    <x v="8"/>
    <d v="1899-12-30T02:43:00"/>
    <d v="1899-12-30T03:29:00"/>
    <n v="0.76666666666666672"/>
    <s v="Operativa"/>
    <s v="Falta de fruta esterilizada"/>
    <x v="2"/>
    <x v="2"/>
    <s v="FALTA DE FRUTO ESTERILIZADO"/>
    <m/>
  </r>
  <r>
    <x v="207"/>
    <s v="viernes"/>
    <x v="8"/>
    <d v="1899-12-30T04:34:00"/>
    <d v="1899-12-30T05:15:00"/>
    <n v="0.68333333333333335"/>
    <s v="Operativa"/>
    <s v="Falta de fruta esterilizada"/>
    <x v="2"/>
    <x v="2"/>
    <s v="FALTA DE FRUTO ESTERILIZADO"/>
    <m/>
  </r>
  <r>
    <x v="207"/>
    <s v="viernes"/>
    <x v="8"/>
    <d v="1899-12-30T09:11:00"/>
    <d v="1899-12-30T09:25:00"/>
    <n v="0.23333333333333334"/>
    <s v="Programada"/>
    <s v="Mantenimiento programado"/>
    <x v="0"/>
    <x v="0"/>
    <s v="AJUSTE DE PARAMETROS DEL VARIADOR DE LA PRENSA P15"/>
    <m/>
  </r>
  <r>
    <x v="207"/>
    <s v="viernes"/>
    <x v="8"/>
    <d v="1899-12-30T10:11:00"/>
    <d v="1899-12-30T10:52:00"/>
    <n v="0.68333333333333335"/>
    <s v="Operativa"/>
    <s v="Falta de fruta esterilizada"/>
    <x v="2"/>
    <x v="2"/>
    <s v="FALTA DE FRUTO ESTERILIZADO"/>
    <m/>
  </r>
  <r>
    <x v="207"/>
    <s v="viernes"/>
    <x v="8"/>
    <d v="1899-12-30T14:37:00"/>
    <d v="1899-12-30T15:56:00"/>
    <n v="1.3166666666666667"/>
    <s v="Mantenimiento"/>
    <s v="Falla eléctrica"/>
    <x v="2"/>
    <x v="2"/>
    <s v="FALLA EN LOS CENSORES DE LA PUERTA INFERIOR DEL ESTERILIZADOR"/>
    <m/>
  </r>
  <r>
    <x v="207"/>
    <s v="viernes"/>
    <x v="8"/>
    <d v="1899-12-30T16:49:00"/>
    <d v="1899-12-30T17:55:00"/>
    <n v="1.1000000000000001"/>
    <s v="Operativa"/>
    <s v="Atascamiento"/>
    <x v="0"/>
    <x v="8"/>
    <s v="ATASCAMIENTO DEL ELEVADOR DE FRUTO "/>
    <m/>
  </r>
  <r>
    <x v="208"/>
    <s v="sábado"/>
    <x v="8"/>
    <d v="1899-12-30T10:04:00"/>
    <d v="1899-12-30T10:10:00"/>
    <n v="0.1"/>
    <s v="Programada"/>
    <s v="Arranque planta"/>
    <x v="1"/>
    <x v="12"/>
    <s v="CAMBIO DE ENERGIA"/>
    <m/>
  </r>
  <r>
    <x v="208"/>
    <s v="sábado"/>
    <x v="8"/>
    <d v="1899-12-30T12:00:00"/>
    <d v="1899-12-30T18:00:00"/>
    <n v="6"/>
    <s v="Programada"/>
    <s v="Mantenimiento programado"/>
    <x v="6"/>
    <x v="28"/>
    <s v="MANTENIMIENTO PROGRAMADO EN LA PLANTA "/>
    <m/>
  </r>
  <r>
    <x v="209"/>
    <s v="domingo"/>
    <x v="8"/>
    <d v="1899-12-30T06:00:00"/>
    <d v="1899-12-30T18:00:00"/>
    <n v="12"/>
    <s v="Programada"/>
    <s v="Mantenimiento programado"/>
    <x v="6"/>
    <x v="28"/>
    <s v="MANTENIMIENTO PROGRAMADO EN LA PLANTA "/>
    <m/>
  </r>
  <r>
    <x v="210"/>
    <s v="lunes"/>
    <x v="8"/>
    <d v="1899-12-30T06:00:00"/>
    <d v="1899-12-30T18:00:00"/>
    <n v="12"/>
    <s v="Programada"/>
    <s v="Mantenimiento programado"/>
    <x v="6"/>
    <x v="28"/>
    <s v="MANTENIMIENTO PROGRAMADO EN LA PLANTA "/>
    <m/>
  </r>
  <r>
    <x v="211"/>
    <s v="martes"/>
    <x v="8"/>
    <d v="1899-12-30T06:00:00"/>
    <d v="1899-12-30T18:00:00"/>
    <n v="12"/>
    <s v="Programada"/>
    <s v="Mantenimiento programado"/>
    <x v="6"/>
    <x v="28"/>
    <s v="MANTENIMIENTO PROGRAMADO EN LA PLANTA "/>
    <m/>
  </r>
  <r>
    <x v="212"/>
    <s v="miércoles"/>
    <x v="8"/>
    <d v="1899-12-30T06:27:00"/>
    <d v="1899-12-30T07:03:00"/>
    <n v="0.6"/>
    <s v="Mantenimiento"/>
    <s v="Falla mecánica"/>
    <x v="8"/>
    <x v="46"/>
    <s v="SE ROMPIO EL FILTRO CEPILLO"/>
    <m/>
  </r>
  <r>
    <x v="212"/>
    <s v="miércoles"/>
    <x v="8"/>
    <d v="1899-12-30T07:59:00"/>
    <d v="1899-12-30T08:03:00"/>
    <n v="6.6666666666666666E-2"/>
    <s v="Mantenimiento"/>
    <s v="Falla eléctrica"/>
    <x v="6"/>
    <x v="12"/>
    <s v="APAGON DE TODOS LOS EQUIPOS DE LA PLANTA"/>
    <m/>
  </r>
  <r>
    <x v="212"/>
    <s v="miércoles"/>
    <x v="8"/>
    <d v="1899-12-30T08:10:00"/>
    <d v="1899-12-30T08:17:00"/>
    <n v="0.11666666666666667"/>
    <s v="Programada"/>
    <s v="Arranque planta"/>
    <x v="1"/>
    <x v="12"/>
    <s v="CAMBIO DE ENERGIA"/>
    <m/>
  </r>
  <r>
    <x v="212"/>
    <s v="miércoles"/>
    <x v="8"/>
    <d v="1899-12-30T12:48:00"/>
    <d v="1899-12-30T13:50:00"/>
    <n v="1.0333333333333334"/>
    <s v="Mantenimiento"/>
    <s v="Falla eléctrica"/>
    <x v="1"/>
    <x v="1"/>
    <s v="SE APAGO EL GENERADOR POR BAJO NIVEL DE REFRIGERANTE "/>
    <m/>
  </r>
  <r>
    <x v="213"/>
    <s v="jueves"/>
    <x v="8"/>
    <d v="1899-12-30T01:34:00"/>
    <d v="1899-12-30T01:39:00"/>
    <n v="8.3333333333333329E-2"/>
    <s v="Programada"/>
    <s v="Arranque planta"/>
    <x v="1"/>
    <x v="12"/>
    <s v="CAMBIO DE ENERGIA"/>
    <m/>
  </r>
  <r>
    <x v="214"/>
    <s v="sábado"/>
    <x v="8"/>
    <d v="1899-12-30T04:05:00"/>
    <d v="1899-12-30T04:09:00"/>
    <n v="6.6666666666666666E-2"/>
    <s v="Programada"/>
    <s v="Arranque planta"/>
    <x v="1"/>
    <x v="12"/>
    <s v="CAMBIO DE ENERGIA"/>
    <m/>
  </r>
  <r>
    <x v="215"/>
    <s v="domingo"/>
    <x v="8"/>
    <d v="1899-12-30T06:00:00"/>
    <d v="1899-12-30T16:00:00"/>
    <n v="10"/>
    <s v="Programada"/>
    <s v="Mantenimiento programado"/>
    <x v="6"/>
    <x v="28"/>
    <s v="MANTENIMIENTO PROGRAMADO EN LA PLANTA "/>
    <m/>
  </r>
  <r>
    <x v="216"/>
    <s v="lunes"/>
    <x v="8"/>
    <d v="1899-12-30T06:00:00"/>
    <d v="1899-12-30T16:00:00"/>
    <n v="10"/>
    <s v="Programada"/>
    <s v="Mantenimiento programado"/>
    <x v="6"/>
    <x v="28"/>
    <s v="MANTENIMIENTO PROGRAMADO EN LA PLANTA "/>
    <m/>
  </r>
  <r>
    <x v="217"/>
    <s v="miércoles"/>
    <x v="8"/>
    <d v="1899-12-30T08:21:00"/>
    <d v="1899-12-30T08:23:00"/>
    <n v="3.3333333333333333E-2"/>
    <s v="Programada"/>
    <s v="Mantenimiento programado"/>
    <x v="0"/>
    <x v="0"/>
    <s v="AJUSTE DE PARAMETROS DEL VARIADOR DE LA PRENSA P15"/>
    <m/>
  </r>
  <r>
    <x v="218"/>
    <s v="jueves"/>
    <x v="8"/>
    <d v="1899-12-30T08:15:00"/>
    <d v="1899-12-30T08:18:00"/>
    <n v="0.05"/>
    <s v="Programada"/>
    <s v="Arranque planta"/>
    <x v="1"/>
    <x v="12"/>
    <s v="CAMBIO DE ENERGIA"/>
    <m/>
  </r>
  <r>
    <x v="219"/>
    <s v="viernes"/>
    <x v="8"/>
    <d v="1899-12-30T10:00:00"/>
    <d v="1899-12-30T15:36:00"/>
    <n v="5.6"/>
    <s v="Mantenimiento"/>
    <s v="Falla mecánica"/>
    <x v="4"/>
    <x v="11"/>
    <s v="SE ROMPIERON LOS RODAMEINTOS DE LA PRENSA RAQUIS "/>
    <m/>
  </r>
  <r>
    <x v="219"/>
    <s v="viernes"/>
    <x v="8"/>
    <d v="1899-12-30T15:36:00"/>
    <d v="1899-12-31T00:00:00"/>
    <n v="8.4"/>
    <s v="Mantenimiento"/>
    <s v="Falla mecánica"/>
    <x v="0"/>
    <x v="0"/>
    <s v="SE ROMPIO EL EJE LARGO DE LA PRENSA P 15"/>
    <m/>
  </r>
  <r>
    <x v="220"/>
    <s v="lunes"/>
    <x v="8"/>
    <d v="1899-12-30T12:47:00"/>
    <d v="1899-12-30T12:49:00"/>
    <n v="3.3333333333333333E-2"/>
    <s v="Programada"/>
    <s v="Arranque planta"/>
    <x v="1"/>
    <x v="12"/>
    <s v="CAMBIO DE ENERGIA"/>
    <m/>
  </r>
  <r>
    <x v="221"/>
    <s v="martes"/>
    <x v="8"/>
    <d v="1899-12-30T01:19:00"/>
    <d v="1899-12-30T01:22:00"/>
    <n v="0.05"/>
    <s v="Programada"/>
    <s v="Arranque planta"/>
    <x v="1"/>
    <x v="12"/>
    <s v="CAMBIO DE ENERGIA"/>
    <m/>
  </r>
  <r>
    <x v="221"/>
    <s v="martes"/>
    <x v="8"/>
    <d v="1899-12-30T08:55:00"/>
    <d v="1899-12-30T08:58:00"/>
    <n v="0.05"/>
    <s v="Programada"/>
    <s v="Arranque planta"/>
    <x v="1"/>
    <x v="12"/>
    <s v="CAMBIO DE ENERGIA"/>
    <m/>
  </r>
  <r>
    <x v="222"/>
    <s v="miércoles"/>
    <x v="8"/>
    <d v="1899-12-30T10:24:00"/>
    <d v="1899-12-30T10:26:00"/>
    <n v="3.3333333333333333E-2"/>
    <s v="Programada"/>
    <s v="Arranque planta"/>
    <x v="1"/>
    <x v="12"/>
    <s v="CAMBIO DE ENERGIA"/>
    <m/>
  </r>
  <r>
    <x v="223"/>
    <s v="jueves"/>
    <x v="8"/>
    <d v="1899-12-30T10:35:00"/>
    <d v="1899-12-30T10:37:00"/>
    <n v="3.3333333333333333E-2"/>
    <s v="Programada"/>
    <s v="Arranque planta"/>
    <x v="1"/>
    <x v="12"/>
    <s v="CAMBIO DE ENERGIA"/>
    <m/>
  </r>
  <r>
    <x v="224"/>
    <s v="viernes"/>
    <x v="8"/>
    <d v="1899-12-30T11:23:00"/>
    <d v="1899-12-30T11:25:00"/>
    <n v="3.3333333333333333E-2"/>
    <s v="Programada"/>
    <s v="Arranque planta"/>
    <x v="1"/>
    <x v="12"/>
    <s v="CAMBIO DE ENERGIA"/>
    <m/>
  </r>
  <r>
    <x v="224"/>
    <s v="viernes"/>
    <x v="8"/>
    <d v="1899-12-30T19:35:00"/>
    <d v="1899-12-30T21:59:00"/>
    <n v="2.4"/>
    <s v="Operativa"/>
    <s v="Atascamiento"/>
    <x v="9"/>
    <x v="17"/>
    <s v="FALLA EN SINFÍN BAJO DESFRUTADOR, SE ATAZCO FIBRA Y LONA Y CABUYA EN EL PUENTE DEL SINFÍN"/>
    <m/>
  </r>
  <r>
    <x v="224"/>
    <s v="viernes"/>
    <x v="8"/>
    <d v="1899-12-30T22:37:00"/>
    <d v="1899-12-30T22:41:00"/>
    <n v="6.6666666666666666E-2"/>
    <s v="Programada"/>
    <s v="Arranque planta"/>
    <x v="1"/>
    <x v="12"/>
    <s v="CAMBIO DE ENERGIA"/>
    <m/>
  </r>
  <r>
    <x v="225"/>
    <s v="sábado"/>
    <x v="8"/>
    <d v="1899-12-30T02:52:00"/>
    <d v="1899-12-30T02:55:00"/>
    <n v="0.05"/>
    <s v="Programada"/>
    <s v="Arranque planta"/>
    <x v="1"/>
    <x v="12"/>
    <s v="CAMBIO DE ENERGIA"/>
    <m/>
  </r>
  <r>
    <x v="225"/>
    <s v="sábado"/>
    <x v="8"/>
    <d v="1899-12-30T09:28:00"/>
    <d v="1899-12-30T09:32:00"/>
    <n v="6.6666666666666666E-2"/>
    <s v="Programada"/>
    <s v="Arranque planta"/>
    <x v="1"/>
    <x v="12"/>
    <s v="CAMBIO DE ENERGIA"/>
    <m/>
  </r>
  <r>
    <x v="226"/>
    <s v="domingo"/>
    <x v="8"/>
    <d v="1899-12-30T02:35:00"/>
    <d v="1899-12-30T02:39:00"/>
    <n v="6.6666666666666666E-2"/>
    <s v="Programada"/>
    <s v="Arranque planta"/>
    <x v="1"/>
    <x v="12"/>
    <s v="CAMBIO DE ENERGIA"/>
    <m/>
  </r>
  <r>
    <x v="227"/>
    <s v="martes"/>
    <x v="8"/>
    <d v="1899-12-30T06:14:00"/>
    <d v="1899-12-30T06:18:00"/>
    <n v="6.6666666666666666E-2"/>
    <s v="Programada"/>
    <s v="Arranque planta"/>
    <x v="1"/>
    <x v="12"/>
    <s v="CAMBIO DE ENERGIA"/>
    <m/>
  </r>
  <r>
    <x v="227"/>
    <s v="martes"/>
    <x v="8"/>
    <d v="1899-12-30T09:26:00"/>
    <d v="1899-12-30T09:44:00"/>
    <n v="0.3"/>
    <s v="Operativa"/>
    <s v="Atascamiento"/>
    <x v="4"/>
    <x v="4"/>
    <s v="ATASCAMIENTO EN LA BANDA DE RACIMOS VACIOS "/>
    <m/>
  </r>
  <r>
    <x v="227"/>
    <s v="martes"/>
    <x v="8"/>
    <d v="1899-12-30T10:53:00"/>
    <d v="1899-12-30T13:50:00"/>
    <n v="2.95"/>
    <s v="Mantenimiento"/>
    <s v="Falla mecánica"/>
    <x v="9"/>
    <x v="17"/>
    <s v="SE ROMPIO ALAVE DEL SINFÍN BAJJO DESFRUTADOR"/>
    <m/>
  </r>
  <r>
    <x v="228"/>
    <s v=""/>
    <x v="9"/>
    <m/>
    <m/>
    <n v="0"/>
    <m/>
    <m/>
    <x v="11"/>
    <x v="47"/>
    <m/>
    <m/>
  </r>
  <r>
    <x v="228"/>
    <s v=""/>
    <x v="9"/>
    <m/>
    <m/>
    <n v="0"/>
    <m/>
    <m/>
    <x v="11"/>
    <x v="47"/>
    <m/>
    <m/>
  </r>
  <r>
    <x v="228"/>
    <s v=""/>
    <x v="9"/>
    <m/>
    <m/>
    <n v="0"/>
    <m/>
    <m/>
    <x v="11"/>
    <x v="47"/>
    <m/>
    <m/>
  </r>
  <r>
    <x v="228"/>
    <s v=""/>
    <x v="9"/>
    <m/>
    <m/>
    <n v="0"/>
    <m/>
    <m/>
    <x v="11"/>
    <x v="47"/>
    <m/>
    <m/>
  </r>
  <r>
    <x v="228"/>
    <s v=""/>
    <x v="9"/>
    <m/>
    <m/>
    <n v="0"/>
    <m/>
    <m/>
    <x v="11"/>
    <x v="47"/>
    <m/>
    <m/>
  </r>
  <r>
    <x v="228"/>
    <s v=""/>
    <x v="9"/>
    <m/>
    <m/>
    <n v="0"/>
    <m/>
    <m/>
    <x v="11"/>
    <x v="47"/>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1.3166666666666667"/>
    <x v="0"/>
  </r>
  <r>
    <x v="0"/>
    <n v="6.6666666666666666E-2"/>
    <x v="1"/>
  </r>
  <r>
    <x v="0"/>
    <n v="1.0333333333333334"/>
    <x v="2"/>
  </r>
  <r>
    <x v="1"/>
    <n v="1.4"/>
    <x v="3"/>
  </r>
  <r>
    <x v="1"/>
    <n v="0.6"/>
    <x v="4"/>
  </r>
  <r>
    <x v="1"/>
    <n v="5.6"/>
    <x v="5"/>
  </r>
  <r>
    <x v="1"/>
    <n v="8.4"/>
    <x v="6"/>
  </r>
  <r>
    <x v="1"/>
    <n v="2.95"/>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Tabla dinámica2" cacheId="0" applyNumberFormats="0" applyBorderFormats="0" applyFontFormats="0" applyPatternFormats="0" applyAlignmentFormats="0" applyWidthHeightFormats="1" dataCaption="Valores" updatedVersion="4" minRefreshableVersion="3" useAutoFormatting="1" itemPrintTitles="1" createdVersion="4" indent="0" outline="1" outlineData="1" multipleFieldFilters="0" chartFormat="29">
  <location ref="B42:D56" firstHeaderRow="1" firstDataRow="2" firstDataCol="1" rowPageCount="3" colPageCount="1"/>
  <pivotFields count="14">
    <pivotField showAll="0">
      <items count="15">
        <item x="0"/>
        <item x="1"/>
        <item x="2"/>
        <item x="3"/>
        <item x="4"/>
        <item x="5"/>
        <item x="6"/>
        <item x="7"/>
        <item x="8"/>
        <item x="9"/>
        <item x="10"/>
        <item x="11"/>
        <item x="12"/>
        <item x="13"/>
        <item t="default"/>
      </items>
    </pivotField>
    <pivotField axis="axisPage" numFmtId="1" multipleItemSelectionAllowed="1" showAll="0">
      <items count="7">
        <item h="1" m="1" x="4"/>
        <item h="1" m="1" x="5"/>
        <item h="1" x="0"/>
        <item h="1" x="1"/>
        <item x="2"/>
        <item h="1" x="3"/>
        <item t="default"/>
      </items>
    </pivotField>
    <pivotField axis="axisCol" multipleItemSelectionAllowed="1" showAll="0">
      <items count="13">
        <item h="1" x="6"/>
        <item h="1" x="7"/>
        <item h="1" x="8"/>
        <item h="1" x="9"/>
        <item h="1" x="10"/>
        <item h="1" x="11"/>
        <item x="0"/>
        <item h="1" x="1"/>
        <item h="1" x="2"/>
        <item h="1" x="3"/>
        <item h="1" x="4"/>
        <item h="1" x="5"/>
        <item t="default"/>
      </items>
    </pivotField>
    <pivotField showAll="0"/>
    <pivotField showAll="0"/>
    <pivotField dataField="1" showAll="0"/>
    <pivotField axis="axisPage" multipleItemSelectionAllowed="1" showAll="0" defaultSubtotal="0">
      <items count="4">
        <item x="0"/>
        <item h="1" x="1"/>
        <item h="1" m="1" x="2"/>
        <item h="1" m="1" x="3"/>
      </items>
    </pivotField>
    <pivotField axis="axisPage" multipleItemSelectionAllowed="1" showAll="0">
      <items count="12">
        <item h="1" m="1" x="10"/>
        <item h="1" x="3"/>
        <item h="1" x="5"/>
        <item m="1" x="8"/>
        <item h="1" x="1"/>
        <item h="1" x="4"/>
        <item x="0"/>
        <item h="1" x="2"/>
        <item h="1" m="1" x="6"/>
        <item h="1" m="1" x="7"/>
        <item h="1" m="1" x="9"/>
        <item t="default"/>
      </items>
    </pivotField>
    <pivotField showAll="0"/>
    <pivotField showAll="0"/>
    <pivotField axis="axisRow" showAll="0" sortType="descending">
      <items count="352">
        <item sd="0" m="1" x="244"/>
        <item sd="0" m="1" x="283"/>
        <item sd="0" m="1" x="310"/>
        <item m="1" x="183"/>
        <item sd="0" m="1" x="263"/>
        <item sd="0" m="1" x="129"/>
        <item sd="0" m="1" x="248"/>
        <item sd="0" m="1" x="303"/>
        <item sd="0" x="33"/>
        <item sd="0" m="1" x="259"/>
        <item sd="0" m="1" x="122"/>
        <item sd="0" m="1" x="254"/>
        <item sd="0" m="1" x="231"/>
        <item sd="0" m="1" x="309"/>
        <item sd="0" m="1" x="222"/>
        <item sd="0" m="1" x="176"/>
        <item sd="0" m="1" x="215"/>
        <item sd="0" m="1" x="296"/>
        <item sd="0" m="1" x="151"/>
        <item sd="0" m="1" x="203"/>
        <item sd="0" m="1" x="306"/>
        <item sd="0" m="1" x="286"/>
        <item sd="0" m="1" x="179"/>
        <item sd="0" m="1" x="204"/>
        <item sd="0" x="60"/>
        <item sd="0" m="1" x="128"/>
        <item sd="0" m="1" x="165"/>
        <item sd="0" m="1" x="227"/>
        <item sd="0" m="1" x="338"/>
        <item sd="0" m="1" x="133"/>
        <item sd="0" m="1" x="241"/>
        <item sd="0" m="1" x="332"/>
        <item sd="0" m="1" x="290"/>
        <item sd="0" m="1" x="114"/>
        <item sd="0" m="1" x="164"/>
        <item sd="0" m="1" x="185"/>
        <item sd="0" m="1" x="264"/>
        <item sd="0" m="1" x="230"/>
        <item sd="0" m="1" x="153"/>
        <item sd="0" m="1" x="245"/>
        <item sd="0" m="1" x="298"/>
        <item sd="0" m="1" x="322"/>
        <item sd="0" x="68"/>
        <item sd="0" m="1" x="134"/>
        <item sd="0" m="1" x="155"/>
        <item sd="0" m="1" x="343"/>
        <item sd="0" m="1" x="130"/>
        <item sd="0" m="1" x="211"/>
        <item sd="0" m="1" x="319"/>
        <item sd="0" m="1" x="289"/>
        <item sd="0" m="1" x="188"/>
        <item sd="0" m="1" x="195"/>
        <item sd="0" m="1" x="207"/>
        <item sd="0" m="1" x="189"/>
        <item sd="0" m="1" x="148"/>
        <item sd="0" m="1" x="124"/>
        <item sd="0" m="1" x="223"/>
        <item sd="0" m="1" x="233"/>
        <item sd="0" m="1" x="317"/>
        <item sd="0" m="1" x="321"/>
        <item sd="0" m="1" x="276"/>
        <item sd="0" m="1" x="257"/>
        <item sd="0" m="1" x="182"/>
        <item sd="0" m="1" x="113"/>
        <item sd="0" m="1" x="288"/>
        <item sd="0" m="1" x="282"/>
        <item sd="0" m="1" x="131"/>
        <item sd="0" m="1" x="200"/>
        <item sd="0" m="1" x="174"/>
        <item sd="0" m="1" x="119"/>
        <item sd="0" m="1" x="240"/>
        <item sd="0" m="1" x="295"/>
        <item sd="0" m="1" x="281"/>
        <item sd="0" m="1" x="336"/>
        <item sd="0" x="45"/>
        <item sd="0" m="1" x="228"/>
        <item sd="0" m="1" x="328"/>
        <item sd="0" m="1" x="260"/>
        <item sd="0" m="1" x="346"/>
        <item sd="0" m="1" x="190"/>
        <item sd="0" m="1" x="181"/>
        <item sd="0" m="1" x="329"/>
        <item sd="0" m="1" x="274"/>
        <item sd="0" m="1" x="340"/>
        <item sd="0" m="1" x="308"/>
        <item sd="0" m="1" x="177"/>
        <item sd="0" m="1" x="237"/>
        <item sd="0" m="1" x="184"/>
        <item sd="0" m="1" x="304"/>
        <item sd="0" m="1" x="297"/>
        <item sd="0" m="1" x="178"/>
        <item sd="0" m="1" x="347"/>
        <item sd="0" x="69"/>
        <item sd="0" m="1" x="320"/>
        <item sd="0" m="1" x="197"/>
        <item sd="0" m="1" x="139"/>
        <item sd="0" x="105"/>
        <item sd="0" m="1" x="168"/>
        <item sd="0" m="1" x="132"/>
        <item sd="0" m="1" x="300"/>
        <item sd="0" m="1" x="180"/>
        <item sd="0" m="1" x="127"/>
        <item sd="0" m="1" x="198"/>
        <item sd="0" m="1" x="235"/>
        <item sd="0" m="1" x="221"/>
        <item sd="0" m="1" x="206"/>
        <item sd="0" x="0"/>
        <item sd="0" m="1" x="234"/>
        <item sd="0" m="1" x="160"/>
        <item sd="0" m="1" x="271"/>
        <item sd="0" m="1" x="156"/>
        <item sd="0" m="1" x="350"/>
        <item sd="0" m="1" x="167"/>
        <item sd="0" m="1" x="191"/>
        <item sd="0" m="1" x="275"/>
        <item sd="0" m="1" x="262"/>
        <item sd="0" m="1" x="327"/>
        <item sd="0" m="1" x="172"/>
        <item sd="0" m="1" x="323"/>
        <item sd="0" m="1" x="111"/>
        <item sd="0" m="1" x="302"/>
        <item sd="0" m="1" x="312"/>
        <item sd="0" m="1" x="253"/>
        <item sd="0" m="1" x="146"/>
        <item sd="0" m="1" x="307"/>
        <item sd="0" m="1" x="326"/>
        <item sd="0" m="1" x="291"/>
        <item sd="0" m="1" x="115"/>
        <item sd="0" m="1" x="117"/>
        <item sd="0" m="1" x="337"/>
        <item sd="0" m="1" x="250"/>
        <item sd="0" m="1" x="202"/>
        <item sd="0" m="1" x="268"/>
        <item sd="0" m="1" x="212"/>
        <item sd="0" m="1" x="125"/>
        <item sd="0" m="1" x="121"/>
        <item sd="0" m="1" x="159"/>
        <item sd="0" m="1" x="335"/>
        <item sd="0" m="1" x="214"/>
        <item sd="0" x="74"/>
        <item sd="0" m="1" x="251"/>
        <item sd="0" m="1" x="293"/>
        <item m="1" x="277"/>
        <item sd="0" m="1" x="252"/>
        <item m="1" x="135"/>
        <item m="1" x="225"/>
        <item sd="0" m="1" x="169"/>
        <item sd="0" m="1" x="272"/>
        <item sd="0" m="1" x="218"/>
        <item sd="0" m="1" x="348"/>
        <item m="1" x="342"/>
        <item m="1" x="330"/>
        <item m="1" x="349"/>
        <item m="1" x="285"/>
        <item m="1" x="236"/>
        <item m="1" x="331"/>
        <item m="1" x="201"/>
        <item m="1" x="287"/>
        <item m="1" x="219"/>
        <item sd="0" m="1" x="149"/>
        <item m="1" x="249"/>
        <item m="1" x="220"/>
        <item m="1" x="224"/>
        <item m="1" x="292"/>
        <item m="1" x="333"/>
        <item m="1" x="166"/>
        <item m="1" x="255"/>
        <item m="1" x="232"/>
        <item m="1" x="316"/>
        <item m="1" x="305"/>
        <item sd="0" m="1" x="278"/>
        <item m="1" x="270"/>
        <item sd="0" m="1" x="208"/>
        <item sd="0" m="1" x="279"/>
        <item sd="0" m="1" x="144"/>
        <item sd="0" m="1" x="280"/>
        <item sd="0" x="13"/>
        <item sd="0" x="86"/>
        <item sd="0" m="1" x="170"/>
        <item sd="0" m="1" x="213"/>
        <item sd="0" m="1" x="162"/>
        <item sd="0" m="1" x="324"/>
        <item sd="0" m="1" x="123"/>
        <item sd="0" m="1" x="269"/>
        <item m="1" x="209"/>
        <item sd="0" x="57"/>
        <item sd="0" m="1" x="175"/>
        <item sd="0" m="1" x="154"/>
        <item m="1" x="273"/>
        <item m="1" x="136"/>
        <item m="1" x="145"/>
        <item m="1" x="247"/>
        <item m="1" x="334"/>
        <item m="1" x="313"/>
        <item m="1" x="311"/>
        <item m="1" x="192"/>
        <item m="1" x="143"/>
        <item m="1" x="141"/>
        <item m="1" x="341"/>
        <item m="1" x="314"/>
        <item m="1" x="157"/>
        <item m="1" x="318"/>
        <item m="1" x="193"/>
        <item m="1" x="116"/>
        <item m="1" x="161"/>
        <item m="1" x="187"/>
        <item m="1" x="186"/>
        <item x="16"/>
        <item m="1" x="315"/>
        <item m="1" x="238"/>
        <item x="80"/>
        <item m="1" x="246"/>
        <item m="1" x="239"/>
        <item m="1" x="299"/>
        <item m="1" x="261"/>
        <item m="1" x="229"/>
        <item m="1" x="325"/>
        <item m="1" x="118"/>
        <item m="1" x="120"/>
        <item m="1" x="158"/>
        <item m="1" x="194"/>
        <item m="1" x="163"/>
        <item m="1" x="137"/>
        <item m="1" x="138"/>
        <item m="1" x="294"/>
        <item m="1" x="266"/>
        <item m="1" x="140"/>
        <item m="1" x="205"/>
        <item m="1" x="284"/>
        <item m="1" x="217"/>
        <item m="1" x="142"/>
        <item m="1" x="126"/>
        <item m="1" x="196"/>
        <item m="1" x="344"/>
        <item m="1" x="216"/>
        <item m="1" x="226"/>
        <item x="82"/>
        <item m="1" x="256"/>
        <item m="1" x="152"/>
        <item m="1" x="173"/>
        <item m="1" x="267"/>
        <item m="1" x="210"/>
        <item m="1" x="265"/>
        <item m="1" x="339"/>
        <item m="1" x="147"/>
        <item m="1" x="243"/>
        <item m="1" x="345"/>
        <item m="1" x="258"/>
        <item x="5"/>
        <item m="1" x="171"/>
        <item m="1" x="301"/>
        <item m="1" x="199"/>
        <item m="1" x="112"/>
        <item m="1" x="242"/>
        <item m="1" x="150"/>
        <item x="67"/>
        <item x="1"/>
        <item x="2"/>
        <item x="3"/>
        <item x="6"/>
        <item x="7"/>
        <item x="8"/>
        <item x="9"/>
        <item x="10"/>
        <item x="11"/>
        <item x="12"/>
        <item x="14"/>
        <item x="15"/>
        <item x="17"/>
        <item x="18"/>
        <item x="19"/>
        <item x="20"/>
        <item x="21"/>
        <item x="22"/>
        <item x="23"/>
        <item x="24"/>
        <item x="25"/>
        <item x="26"/>
        <item x="27"/>
        <item x="28"/>
        <item x="29"/>
        <item x="30"/>
        <item x="31"/>
        <item x="32"/>
        <item x="34"/>
        <item x="35"/>
        <item x="36"/>
        <item x="37"/>
        <item x="38"/>
        <item x="39"/>
        <item x="40"/>
        <item x="41"/>
        <item x="42"/>
        <item x="43"/>
        <item x="44"/>
        <item x="46"/>
        <item x="47"/>
        <item x="48"/>
        <item x="49"/>
        <item x="50"/>
        <item x="51"/>
        <item x="52"/>
        <item x="53"/>
        <item x="54"/>
        <item x="55"/>
        <item x="56"/>
        <item x="58"/>
        <item x="59"/>
        <item x="61"/>
        <item x="62"/>
        <item x="63"/>
        <item x="64"/>
        <item x="65"/>
        <item x="66"/>
        <item x="70"/>
        <item x="71"/>
        <item x="72"/>
        <item x="73"/>
        <item x="75"/>
        <item x="76"/>
        <item x="77"/>
        <item x="78"/>
        <item x="79"/>
        <item x="81"/>
        <item x="83"/>
        <item x="84"/>
        <item x="85"/>
        <item x="87"/>
        <item x="88"/>
        <item x="89"/>
        <item x="90"/>
        <item x="91"/>
        <item x="92"/>
        <item x="93"/>
        <item x="94"/>
        <item x="95"/>
        <item x="96"/>
        <item x="97"/>
        <item x="98"/>
        <item x="99"/>
        <item x="100"/>
        <item x="101"/>
        <item x="102"/>
        <item x="4"/>
        <item x="103"/>
        <item x="104"/>
        <item x="106"/>
        <item x="107"/>
        <item x="108"/>
        <item x="109"/>
        <item x="110"/>
        <item t="default" sd="0"/>
      </items>
      <autoSortScope>
        <pivotArea dataOnly="0" outline="0" fieldPosition="0">
          <references count="1">
            <reference field="4294967294" count="1" selected="0">
              <x v="0"/>
            </reference>
          </references>
        </pivotArea>
      </autoSortScope>
    </pivotField>
    <pivotField showAll="0"/>
    <pivotField showAll="0">
      <items count="7">
        <item x="1"/>
        <item x="2"/>
        <item x="3"/>
        <item x="4"/>
        <item x="5"/>
        <item x="0"/>
        <item t="default"/>
      </items>
    </pivotField>
    <pivotField showAll="0">
      <items count="7">
        <item x="1"/>
        <item x="2"/>
        <item x="3"/>
        <item x="4"/>
        <item x="5"/>
        <item x="0"/>
        <item t="default"/>
      </items>
    </pivotField>
  </pivotFields>
  <rowFields count="1">
    <field x="10"/>
  </rowFields>
  <rowItems count="13">
    <i>
      <x v="273"/>
    </i>
    <i>
      <x v="301"/>
    </i>
    <i>
      <x v="305"/>
    </i>
    <i>
      <x v="295"/>
    </i>
    <i>
      <x v="262"/>
    </i>
    <i>
      <x v="264"/>
    </i>
    <i>
      <x v="289"/>
    </i>
    <i>
      <x v="266"/>
    </i>
    <i>
      <x v="328"/>
    </i>
    <i>
      <x v="306"/>
    </i>
    <i>
      <x v="282"/>
    </i>
    <i>
      <x v="269"/>
    </i>
    <i t="grand">
      <x/>
    </i>
  </rowItems>
  <colFields count="1">
    <field x="2"/>
  </colFields>
  <colItems count="2">
    <i>
      <x v="6"/>
    </i>
    <i t="grand">
      <x/>
    </i>
  </colItems>
  <pageFields count="3">
    <pageField fld="1" hier="-1"/>
    <pageField fld="6" hier="-1"/>
    <pageField fld="7" hier="-1"/>
  </pageFields>
  <dataFields count="1">
    <dataField name="Suma de DURACIÓN (h)" fld="5" baseField="9" baseItem="0" numFmtId="2"/>
  </dataFields>
  <formats count="105">
    <format dxfId="163">
      <pivotArea collapsedLevelsAreSubtotals="1" fieldPosition="0">
        <references count="1">
          <reference field="10" count="23">
            <x v="3"/>
            <x v="15"/>
            <x v="18"/>
            <x v="21"/>
            <x v="22"/>
            <x v="28"/>
            <x v="29"/>
            <x v="31"/>
            <x v="40"/>
            <x v="41"/>
            <x v="51"/>
            <x v="70"/>
            <x v="71"/>
            <x v="77"/>
            <x v="90"/>
            <x v="93"/>
            <x v="94"/>
            <x v="95"/>
            <x v="106"/>
            <x v="118"/>
            <x v="119"/>
            <x v="124"/>
            <x v="127"/>
          </reference>
        </references>
      </pivotArea>
    </format>
    <format dxfId="162">
      <pivotArea collapsedLevelsAreSubtotals="1" fieldPosition="0">
        <references count="1">
          <reference field="10" count="23">
            <x v="3"/>
            <x v="15"/>
            <x v="18"/>
            <x v="21"/>
            <x v="22"/>
            <x v="28"/>
            <x v="29"/>
            <x v="31"/>
            <x v="40"/>
            <x v="41"/>
            <x v="51"/>
            <x v="70"/>
            <x v="71"/>
            <x v="77"/>
            <x v="90"/>
            <x v="93"/>
            <x v="94"/>
            <x v="95"/>
            <x v="106"/>
            <x v="118"/>
            <x v="119"/>
            <x v="124"/>
            <x v="127"/>
          </reference>
        </references>
      </pivotArea>
    </format>
    <format dxfId="161">
      <pivotArea collapsedLevelsAreSubtotals="1" fieldPosition="0">
        <references count="1">
          <reference field="10" count="7">
            <x v="14"/>
            <x v="18"/>
            <x v="28"/>
            <x v="53"/>
            <x v="82"/>
            <x v="106"/>
            <x v="130"/>
          </reference>
        </references>
      </pivotArea>
    </format>
    <format dxfId="160">
      <pivotArea collapsedLevelsAreSubtotals="1" fieldPosition="0">
        <references count="1">
          <reference field="10" count="1">
            <x v="95"/>
          </reference>
        </references>
      </pivotArea>
    </format>
    <format dxfId="159">
      <pivotArea collapsedLevelsAreSubtotals="1" fieldPosition="0">
        <references count="1">
          <reference field="10" count="1">
            <x v="18"/>
          </reference>
        </references>
      </pivotArea>
    </format>
    <format dxfId="158">
      <pivotArea collapsedLevelsAreSubtotals="1" fieldPosition="0">
        <references count="1">
          <reference field="10" count="1">
            <x v="130"/>
          </reference>
        </references>
      </pivotArea>
    </format>
    <format dxfId="157">
      <pivotArea collapsedLevelsAreSubtotals="1" fieldPosition="0">
        <references count="1">
          <reference field="10" count="1">
            <x v="107"/>
          </reference>
        </references>
      </pivotArea>
    </format>
    <format dxfId="156">
      <pivotArea collapsedLevelsAreSubtotals="1" fieldPosition="0">
        <references count="1">
          <reference field="10" count="1">
            <x v="55"/>
          </reference>
        </references>
      </pivotArea>
    </format>
    <format dxfId="155">
      <pivotArea collapsedLevelsAreSubtotals="1" fieldPosition="0">
        <references count="1">
          <reference field="10" count="1">
            <x v="51"/>
          </reference>
        </references>
      </pivotArea>
    </format>
    <format dxfId="154">
      <pivotArea collapsedLevelsAreSubtotals="1" fieldPosition="0">
        <references count="1">
          <reference field="10" count="1">
            <x v="14"/>
          </reference>
        </references>
      </pivotArea>
    </format>
    <format dxfId="153">
      <pivotArea collapsedLevelsAreSubtotals="1" fieldPosition="0">
        <references count="1">
          <reference field="10" count="1">
            <x v="53"/>
          </reference>
        </references>
      </pivotArea>
    </format>
    <format dxfId="152">
      <pivotArea collapsedLevelsAreSubtotals="1" fieldPosition="0">
        <references count="1">
          <reference field="10" count="1">
            <x v="97"/>
          </reference>
        </references>
      </pivotArea>
    </format>
    <format dxfId="151">
      <pivotArea collapsedLevelsAreSubtotals="1" fieldPosition="0">
        <references count="1">
          <reference field="10" count="1">
            <x v="31"/>
          </reference>
        </references>
      </pivotArea>
    </format>
    <format dxfId="150">
      <pivotArea collapsedLevelsAreSubtotals="1" fieldPosition="0">
        <references count="1">
          <reference field="10" count="1">
            <x v="28"/>
          </reference>
        </references>
      </pivotArea>
    </format>
    <format dxfId="149">
      <pivotArea collapsedLevelsAreSubtotals="1" fieldPosition="0">
        <references count="1">
          <reference field="10" count="1">
            <x v="77"/>
          </reference>
        </references>
      </pivotArea>
    </format>
    <format dxfId="148">
      <pivotArea collapsedLevelsAreSubtotals="1" fieldPosition="0">
        <references count="1">
          <reference field="10" count="1">
            <x v="67"/>
          </reference>
        </references>
      </pivotArea>
    </format>
    <format dxfId="147">
      <pivotArea collapsedLevelsAreSubtotals="1" fieldPosition="0">
        <references count="1">
          <reference field="10" count="1">
            <x v="132"/>
          </reference>
        </references>
      </pivotArea>
    </format>
    <format dxfId="146">
      <pivotArea collapsedLevelsAreSubtotals="1" fieldPosition="0">
        <references count="1">
          <reference field="10" count="1">
            <x v="82"/>
          </reference>
        </references>
      </pivotArea>
    </format>
    <format dxfId="145">
      <pivotArea collapsedLevelsAreSubtotals="1" fieldPosition="0">
        <references count="1">
          <reference field="10" count="1">
            <x v="98"/>
          </reference>
        </references>
      </pivotArea>
    </format>
    <format dxfId="144">
      <pivotArea collapsedLevelsAreSubtotals="1" fieldPosition="0">
        <references count="1">
          <reference field="10" count="1">
            <x v="131"/>
          </reference>
        </references>
      </pivotArea>
    </format>
    <format dxfId="143">
      <pivotArea collapsedLevelsAreSubtotals="1" fieldPosition="0">
        <references count="1">
          <reference field="10" count="1">
            <x v="116"/>
          </reference>
        </references>
      </pivotArea>
    </format>
    <format dxfId="142">
      <pivotArea collapsedLevelsAreSubtotals="1" fieldPosition="0">
        <references count="1">
          <reference field="10" count="1">
            <x v="106"/>
          </reference>
        </references>
      </pivotArea>
    </format>
    <format dxfId="141">
      <pivotArea collapsedLevelsAreSubtotals="1" fieldPosition="0">
        <references count="1">
          <reference field="10" count="1">
            <x v="95"/>
          </reference>
        </references>
      </pivotArea>
    </format>
    <format dxfId="140">
      <pivotArea collapsedLevelsAreSubtotals="1" fieldPosition="0">
        <references count="1">
          <reference field="10" count="1">
            <x v="18"/>
          </reference>
        </references>
      </pivotArea>
    </format>
    <format dxfId="139">
      <pivotArea collapsedLevelsAreSubtotals="1" fieldPosition="0">
        <references count="1">
          <reference field="10" count="1">
            <x v="130"/>
          </reference>
        </references>
      </pivotArea>
    </format>
    <format dxfId="138">
      <pivotArea collapsedLevelsAreSubtotals="1" fieldPosition="0">
        <references count="1">
          <reference field="10" count="1">
            <x v="107"/>
          </reference>
        </references>
      </pivotArea>
    </format>
    <format dxfId="137">
      <pivotArea collapsedLevelsAreSubtotals="1" fieldPosition="0">
        <references count="1">
          <reference field="10" count="1">
            <x v="55"/>
          </reference>
        </references>
      </pivotArea>
    </format>
    <format dxfId="136">
      <pivotArea collapsedLevelsAreSubtotals="1" fieldPosition="0">
        <references count="1">
          <reference field="10" count="1">
            <x v="14"/>
          </reference>
        </references>
      </pivotArea>
    </format>
    <format dxfId="135">
      <pivotArea collapsedLevelsAreSubtotals="1" fieldPosition="0">
        <references count="1">
          <reference field="10" count="1">
            <x v="53"/>
          </reference>
        </references>
      </pivotArea>
    </format>
    <format dxfId="134">
      <pivotArea collapsedLevelsAreSubtotals="1" fieldPosition="0">
        <references count="1">
          <reference field="10" count="1">
            <x v="97"/>
          </reference>
        </references>
      </pivotArea>
    </format>
    <format dxfId="133">
      <pivotArea collapsedLevelsAreSubtotals="1" fieldPosition="0">
        <references count="1">
          <reference field="10" count="1">
            <x v="31"/>
          </reference>
        </references>
      </pivotArea>
    </format>
    <format dxfId="132">
      <pivotArea collapsedLevelsAreSubtotals="1" fieldPosition="0">
        <references count="1">
          <reference field="10" count="1">
            <x v="77"/>
          </reference>
        </references>
      </pivotArea>
    </format>
    <format dxfId="131">
      <pivotArea collapsedLevelsAreSubtotals="1" fieldPosition="0">
        <references count="1">
          <reference field="10" count="1">
            <x v="67"/>
          </reference>
        </references>
      </pivotArea>
    </format>
    <format dxfId="130">
      <pivotArea collapsedLevelsAreSubtotals="1" fieldPosition="0">
        <references count="1">
          <reference field="10" count="1">
            <x v="132"/>
          </reference>
        </references>
      </pivotArea>
    </format>
    <format dxfId="129">
      <pivotArea collapsedLevelsAreSubtotals="1" fieldPosition="0">
        <references count="1">
          <reference field="10" count="1">
            <x v="82"/>
          </reference>
        </references>
      </pivotArea>
    </format>
    <format dxfId="128">
      <pivotArea collapsedLevelsAreSubtotals="1" fieldPosition="0">
        <references count="1">
          <reference field="10" count="1">
            <x v="98"/>
          </reference>
        </references>
      </pivotArea>
    </format>
    <format dxfId="127">
      <pivotArea collapsedLevelsAreSubtotals="1" fieldPosition="0">
        <references count="1">
          <reference field="10" count="1">
            <x v="131"/>
          </reference>
        </references>
      </pivotArea>
    </format>
    <format dxfId="126">
      <pivotArea collapsedLevelsAreSubtotals="1" fieldPosition="0">
        <references count="1">
          <reference field="10" count="1">
            <x v="116"/>
          </reference>
        </references>
      </pivotArea>
    </format>
    <format dxfId="125">
      <pivotArea collapsedLevelsAreSubtotals="1" fieldPosition="0">
        <references count="1">
          <reference field="10" count="1">
            <x v="106"/>
          </reference>
        </references>
      </pivotArea>
    </format>
    <format dxfId="124">
      <pivotArea collapsedLevelsAreSubtotals="1" fieldPosition="0">
        <references count="1">
          <reference field="10" count="1">
            <x v="95"/>
          </reference>
        </references>
      </pivotArea>
    </format>
    <format dxfId="123">
      <pivotArea collapsedLevelsAreSubtotals="1" fieldPosition="0">
        <references count="1">
          <reference field="10" count="1">
            <x v="116"/>
          </reference>
        </references>
      </pivotArea>
    </format>
    <format dxfId="122">
      <pivotArea collapsedLevelsAreSubtotals="1" fieldPosition="0">
        <references count="1">
          <reference field="10" count="1">
            <x v="62"/>
          </reference>
        </references>
      </pivotArea>
    </format>
    <format dxfId="121">
      <pivotArea collapsedLevelsAreSubtotals="1" fieldPosition="0">
        <references count="1">
          <reference field="10" count="1">
            <x v="3"/>
          </reference>
        </references>
      </pivotArea>
    </format>
    <format dxfId="120">
      <pivotArea collapsedLevelsAreSubtotals="1" fieldPosition="0">
        <references count="1">
          <reference field="10" count="1">
            <x v="136"/>
          </reference>
        </references>
      </pivotArea>
    </format>
    <format dxfId="119">
      <pivotArea collapsedLevelsAreSubtotals="1" fieldPosition="0">
        <references count="1">
          <reference field="10" count="1">
            <x v="135"/>
          </reference>
        </references>
      </pivotArea>
    </format>
    <format dxfId="118">
      <pivotArea collapsedLevelsAreSubtotals="1" fieldPosition="0">
        <references count="1">
          <reference field="10" count="1">
            <x v="31"/>
          </reference>
        </references>
      </pivotArea>
    </format>
    <format dxfId="117">
      <pivotArea collapsedLevelsAreSubtotals="1" fieldPosition="0">
        <references count="1">
          <reference field="10" count="1">
            <x v="55"/>
          </reference>
        </references>
      </pivotArea>
    </format>
    <format dxfId="116">
      <pivotArea collapsedLevelsAreSubtotals="1" fieldPosition="0">
        <references count="1">
          <reference field="10" count="1">
            <x v="106"/>
          </reference>
        </references>
      </pivotArea>
    </format>
    <format dxfId="115">
      <pivotArea collapsedLevelsAreSubtotals="1" fieldPosition="0">
        <references count="1">
          <reference field="10" count="1">
            <x v="13"/>
          </reference>
        </references>
      </pivotArea>
    </format>
    <format dxfId="114">
      <pivotArea collapsedLevelsAreSubtotals="1" fieldPosition="0">
        <references count="1">
          <reference field="10" count="1">
            <x v="41"/>
          </reference>
        </references>
      </pivotArea>
    </format>
    <format dxfId="113">
      <pivotArea collapsedLevelsAreSubtotals="1" fieldPosition="0">
        <references count="1">
          <reference field="10" count="1">
            <x v="82"/>
          </reference>
        </references>
      </pivotArea>
    </format>
    <format dxfId="112">
      <pivotArea collapsedLevelsAreSubtotals="1" fieldPosition="0">
        <references count="1">
          <reference field="10" count="1">
            <x v="78"/>
          </reference>
        </references>
      </pivotArea>
    </format>
    <format dxfId="111">
      <pivotArea collapsedLevelsAreSubtotals="1" fieldPosition="0">
        <references count="1">
          <reference field="10" count="1">
            <x v="136"/>
          </reference>
        </references>
      </pivotArea>
    </format>
    <format dxfId="110">
      <pivotArea collapsedLevelsAreSubtotals="1" fieldPosition="0">
        <references count="1">
          <reference field="10" count="1">
            <x v="135"/>
          </reference>
        </references>
      </pivotArea>
    </format>
    <format dxfId="109">
      <pivotArea collapsedLevelsAreSubtotals="1" fieldPosition="0">
        <references count="1">
          <reference field="10" count="1">
            <x v="31"/>
          </reference>
        </references>
      </pivotArea>
    </format>
    <format dxfId="108">
      <pivotArea collapsedLevelsAreSubtotals="1" fieldPosition="0">
        <references count="1">
          <reference field="10" count="1">
            <x v="55"/>
          </reference>
        </references>
      </pivotArea>
    </format>
    <format dxfId="107">
      <pivotArea collapsedLevelsAreSubtotals="1" fieldPosition="0">
        <references count="1">
          <reference field="10" count="1">
            <x v="106"/>
          </reference>
        </references>
      </pivotArea>
    </format>
    <format dxfId="106">
      <pivotArea collapsedLevelsAreSubtotals="1" fieldPosition="0">
        <references count="1">
          <reference field="10" count="1">
            <x v="13"/>
          </reference>
        </references>
      </pivotArea>
    </format>
    <format dxfId="105">
      <pivotArea collapsedLevelsAreSubtotals="1" fieldPosition="0">
        <references count="1">
          <reference field="10" count="1">
            <x v="41"/>
          </reference>
        </references>
      </pivotArea>
    </format>
    <format dxfId="104">
      <pivotArea collapsedLevelsAreSubtotals="1" fieldPosition="0">
        <references count="1">
          <reference field="10" count="1">
            <x v="82"/>
          </reference>
        </references>
      </pivotArea>
    </format>
    <format dxfId="103">
      <pivotArea collapsedLevelsAreSubtotals="1" fieldPosition="0">
        <references count="1">
          <reference field="10" count="1">
            <x v="78"/>
          </reference>
        </references>
      </pivotArea>
    </format>
    <format dxfId="102">
      <pivotArea collapsedLevelsAreSubtotals="1" fieldPosition="0">
        <references count="1">
          <reference field="10" count="1">
            <x v="136"/>
          </reference>
        </references>
      </pivotArea>
    </format>
    <format dxfId="101">
      <pivotArea collapsedLevelsAreSubtotals="1" fieldPosition="0">
        <references count="1">
          <reference field="10" count="1">
            <x v="95"/>
          </reference>
        </references>
      </pivotArea>
    </format>
    <format dxfId="100">
      <pivotArea collapsedLevelsAreSubtotals="1" fieldPosition="0">
        <references count="1">
          <reference field="10" count="1">
            <x v="28"/>
          </reference>
        </references>
      </pivotArea>
    </format>
    <format dxfId="99">
      <pivotArea collapsedLevelsAreSubtotals="1" fieldPosition="0">
        <references count="1">
          <reference field="10" count="1">
            <x v="138"/>
          </reference>
        </references>
      </pivotArea>
    </format>
    <format dxfId="98">
      <pivotArea collapsedLevelsAreSubtotals="1" fieldPosition="0">
        <references count="1">
          <reference field="10" count="1">
            <x v="116"/>
          </reference>
        </references>
      </pivotArea>
    </format>
    <format dxfId="97">
      <pivotArea collapsedLevelsAreSubtotals="1" fieldPosition="0">
        <references count="1">
          <reference field="10" count="1">
            <x v="143"/>
          </reference>
        </references>
      </pivotArea>
    </format>
    <format dxfId="96">
      <pivotArea collapsedLevelsAreSubtotals="1" fieldPosition="0">
        <references count="1">
          <reference field="10" count="1">
            <x v="72"/>
          </reference>
        </references>
      </pivotArea>
    </format>
    <format dxfId="95">
      <pivotArea collapsedLevelsAreSubtotals="1" fieldPosition="0">
        <references count="1">
          <reference field="10" count="1">
            <x v="62"/>
          </reference>
        </references>
      </pivotArea>
    </format>
    <format dxfId="94">
      <pivotArea collapsedLevelsAreSubtotals="1" fieldPosition="0">
        <references count="1">
          <reference field="10" count="1">
            <x v="3"/>
          </reference>
        </references>
      </pivotArea>
    </format>
    <format dxfId="93">
      <pivotArea collapsedLevelsAreSubtotals="1" fieldPosition="0">
        <references count="1">
          <reference field="10" count="1">
            <x v="51"/>
          </reference>
        </references>
      </pivotArea>
    </format>
    <format dxfId="92">
      <pivotArea collapsedLevelsAreSubtotals="1" fieldPosition="0">
        <references count="1">
          <reference field="10" count="1">
            <x v="61"/>
          </reference>
        </references>
      </pivotArea>
    </format>
    <format dxfId="91">
      <pivotArea collapsedLevelsAreSubtotals="1" fieldPosition="0">
        <references count="1">
          <reference field="10" count="1">
            <x v="15"/>
          </reference>
        </references>
      </pivotArea>
    </format>
    <format dxfId="90">
      <pivotArea collapsedLevelsAreSubtotals="1" fieldPosition="0">
        <references count="1">
          <reference field="10" count="1">
            <x v="54"/>
          </reference>
        </references>
      </pivotArea>
    </format>
    <format dxfId="89">
      <pivotArea outline="0" collapsedLevelsAreSubtotals="1" fieldPosition="0"/>
    </format>
    <format dxfId="88">
      <pivotArea outline="0" collapsedLevelsAreSubtotals="1" fieldPosition="0"/>
    </format>
    <format dxfId="87">
      <pivotArea type="all" dataOnly="0" outline="0" fieldPosition="0"/>
    </format>
    <format dxfId="86">
      <pivotArea outline="0" collapsedLevelsAreSubtotals="1" fieldPosition="0"/>
    </format>
    <format dxfId="85">
      <pivotArea dataOnly="0" labelOnly="1" fieldPosition="0">
        <references count="1">
          <reference field="10" count="25">
            <x v="1"/>
            <x v="18"/>
            <x v="28"/>
            <x v="31"/>
            <x v="36"/>
            <x v="48"/>
            <x v="55"/>
            <x v="61"/>
            <x v="62"/>
            <x v="71"/>
            <x v="77"/>
            <x v="82"/>
            <x v="96"/>
            <x v="102"/>
            <x v="119"/>
            <x v="136"/>
            <x v="144"/>
            <x v="145"/>
            <x v="151"/>
            <x v="152"/>
            <x v="153"/>
            <x v="154"/>
            <x v="155"/>
            <x v="156"/>
            <x v="157"/>
          </reference>
        </references>
      </pivotArea>
    </format>
    <format dxfId="84">
      <pivotArea dataOnly="0" labelOnly="1" grandRow="1" outline="0" fieldPosition="0"/>
    </format>
    <format dxfId="83">
      <pivotArea dataOnly="0" labelOnly="1" grandCol="1" outline="0" fieldPosition="0"/>
    </format>
    <format dxfId="82">
      <pivotArea type="all" dataOnly="0" outline="0" fieldPosition="0"/>
    </format>
    <format dxfId="81">
      <pivotArea outline="0" collapsedLevelsAreSubtotals="1" fieldPosition="0"/>
    </format>
    <format dxfId="80">
      <pivotArea dataOnly="0" labelOnly="1" fieldPosition="0">
        <references count="1">
          <reference field="10" count="25">
            <x v="1"/>
            <x v="18"/>
            <x v="28"/>
            <x v="31"/>
            <x v="36"/>
            <x v="48"/>
            <x v="55"/>
            <x v="61"/>
            <x v="62"/>
            <x v="71"/>
            <x v="77"/>
            <x v="82"/>
            <x v="96"/>
            <x v="102"/>
            <x v="119"/>
            <x v="136"/>
            <x v="144"/>
            <x v="145"/>
            <x v="151"/>
            <x v="152"/>
            <x v="153"/>
            <x v="154"/>
            <x v="155"/>
            <x v="156"/>
            <x v="157"/>
          </reference>
        </references>
      </pivotArea>
    </format>
    <format dxfId="79">
      <pivotArea dataOnly="0" labelOnly="1" grandRow="1" outline="0" fieldPosition="0"/>
    </format>
    <format dxfId="78">
      <pivotArea dataOnly="0" labelOnly="1" grandCol="1" outline="0" fieldPosition="0"/>
    </format>
    <format dxfId="77">
      <pivotArea type="all" dataOnly="0" outline="0" fieldPosition="0"/>
    </format>
    <format dxfId="76">
      <pivotArea outline="0" collapsedLevelsAreSubtotals="1" fieldPosition="0"/>
    </format>
    <format dxfId="75">
      <pivotArea dataOnly="0" labelOnly="1" fieldPosition="0">
        <references count="1">
          <reference field="10" count="25">
            <x v="1"/>
            <x v="18"/>
            <x v="28"/>
            <x v="31"/>
            <x v="36"/>
            <x v="48"/>
            <x v="55"/>
            <x v="61"/>
            <x v="62"/>
            <x v="71"/>
            <x v="77"/>
            <x v="82"/>
            <x v="96"/>
            <x v="102"/>
            <x v="119"/>
            <x v="136"/>
            <x v="144"/>
            <x v="145"/>
            <x v="151"/>
            <x v="152"/>
            <x v="153"/>
            <x v="154"/>
            <x v="155"/>
            <x v="156"/>
            <x v="157"/>
          </reference>
        </references>
      </pivotArea>
    </format>
    <format dxfId="74">
      <pivotArea dataOnly="0" labelOnly="1" grandRow="1" outline="0" fieldPosition="0"/>
    </format>
    <format dxfId="73">
      <pivotArea dataOnly="0" labelOnly="1" grandCol="1" outline="0" fieldPosition="0"/>
    </format>
    <format dxfId="72">
      <pivotArea type="all" dataOnly="0" outline="0" fieldPosition="0"/>
    </format>
    <format dxfId="71">
      <pivotArea outline="0" collapsedLevelsAreSubtotals="1" fieldPosition="0"/>
    </format>
    <format dxfId="70">
      <pivotArea dataOnly="0" labelOnly="1" grandCol="1" outline="0" fieldPosition="0"/>
    </format>
    <format dxfId="69">
      <pivotArea type="all" dataOnly="0" outline="0" fieldPosition="0"/>
    </format>
    <format dxfId="68">
      <pivotArea outline="0" collapsedLevelsAreSubtotals="1" fieldPosition="0"/>
    </format>
    <format dxfId="67">
      <pivotArea dataOnly="0" labelOnly="1" fieldPosition="0">
        <references count="1">
          <reference field="10" count="25">
            <x v="1"/>
            <x v="18"/>
            <x v="28"/>
            <x v="31"/>
            <x v="36"/>
            <x v="48"/>
            <x v="55"/>
            <x v="61"/>
            <x v="62"/>
            <x v="71"/>
            <x v="77"/>
            <x v="82"/>
            <x v="96"/>
            <x v="102"/>
            <x v="119"/>
            <x v="136"/>
            <x v="144"/>
            <x v="145"/>
            <x v="151"/>
            <x v="152"/>
            <x v="153"/>
            <x v="154"/>
            <x v="155"/>
            <x v="156"/>
            <x v="157"/>
          </reference>
        </references>
      </pivotArea>
    </format>
    <format dxfId="66">
      <pivotArea dataOnly="0" labelOnly="1" grandRow="1" outline="0" fieldPosition="0"/>
    </format>
    <format dxfId="65">
      <pivotArea dataOnly="0" labelOnly="1" grandCol="1" outline="0" fieldPosition="0"/>
    </format>
    <format dxfId="64">
      <pivotArea dataOnly="0" labelOnly="1" fieldPosition="0">
        <references count="1">
          <reference field="10" count="25">
            <x v="1"/>
            <x v="18"/>
            <x v="28"/>
            <x v="31"/>
            <x v="36"/>
            <x v="48"/>
            <x v="55"/>
            <x v="61"/>
            <x v="62"/>
            <x v="71"/>
            <x v="77"/>
            <x v="82"/>
            <x v="96"/>
            <x v="102"/>
            <x v="119"/>
            <x v="136"/>
            <x v="144"/>
            <x v="145"/>
            <x v="151"/>
            <x v="152"/>
            <x v="153"/>
            <x v="154"/>
            <x v="155"/>
            <x v="156"/>
            <x v="157"/>
          </reference>
        </references>
      </pivotArea>
    </format>
    <format dxfId="63">
      <pivotArea dataOnly="0" labelOnly="1" grandRow="1" outline="0" fieldPosition="0"/>
    </format>
    <format dxfId="62">
      <pivotArea dataOnly="0" labelOnly="1" fieldPosition="0">
        <references count="1">
          <reference field="10" count="20">
            <x v="1"/>
            <x v="3"/>
            <x v="18"/>
            <x v="28"/>
            <x v="36"/>
            <x v="55"/>
            <x v="71"/>
            <x v="79"/>
            <x v="102"/>
            <x v="167"/>
            <x v="175"/>
            <x v="176"/>
            <x v="177"/>
            <x v="192"/>
            <x v="193"/>
            <x v="195"/>
            <x v="196"/>
            <x v="197"/>
            <x v="198"/>
            <x v="199"/>
          </reference>
        </references>
      </pivotArea>
    </format>
    <format dxfId="61">
      <pivotArea dataOnly="0" labelOnly="1" fieldPosition="0">
        <references count="1">
          <reference field="10" count="20">
            <x v="1"/>
            <x v="3"/>
            <x v="18"/>
            <x v="28"/>
            <x v="36"/>
            <x v="55"/>
            <x v="71"/>
            <x v="79"/>
            <x v="102"/>
            <x v="167"/>
            <x v="175"/>
            <x v="176"/>
            <x v="177"/>
            <x v="192"/>
            <x v="193"/>
            <x v="195"/>
            <x v="196"/>
            <x v="197"/>
            <x v="198"/>
            <x v="199"/>
          </reference>
        </references>
      </pivotArea>
    </format>
    <format dxfId="60">
      <pivotArea dataOnly="0" labelOnly="1" fieldPosition="0">
        <references count="1">
          <reference field="10" count="8">
            <x v="28"/>
            <x v="36"/>
            <x v="51"/>
            <x v="62"/>
            <x v="96"/>
            <x v="197"/>
            <x v="200"/>
            <x v="206"/>
          </reference>
        </references>
      </pivotArea>
    </format>
    <format dxfId="59">
      <pivotArea dataOnly="0" labelOnly="1" fieldPosition="0">
        <references count="1">
          <reference field="10" count="32">
            <x v="1"/>
            <x v="3"/>
            <x v="15"/>
            <x v="18"/>
            <x v="22"/>
            <x v="28"/>
            <x v="50"/>
            <x v="61"/>
            <x v="62"/>
            <x v="71"/>
            <x v="77"/>
            <x v="87"/>
            <x v="95"/>
            <x v="108"/>
            <x v="128"/>
            <x v="140"/>
            <x v="144"/>
            <x v="176"/>
            <x v="177"/>
            <x v="200"/>
            <x v="207"/>
            <x v="209"/>
            <x v="210"/>
            <x v="211"/>
            <x v="212"/>
            <x v="213"/>
            <x v="214"/>
            <x v="215"/>
            <x v="216"/>
            <x v="217"/>
            <x v="218"/>
            <x v="219"/>
          </reference>
        </references>
      </pivotArea>
    </format>
  </format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1" series="1">
      <pivotArea type="data" outline="0" fieldPosition="0">
        <references count="2">
          <reference field="4294967294" count="1" selected="0">
            <x v="0"/>
          </reference>
          <reference field="2" count="1" selected="0">
            <x v="1"/>
          </reference>
        </references>
      </pivotArea>
    </chartFormat>
    <chartFormat chart="1" format="12" series="1">
      <pivotArea type="data" outline="0" fieldPosition="0">
        <references count="2">
          <reference field="4294967294" count="1" selected="0">
            <x v="0"/>
          </reference>
          <reference field="2" count="1" selected="0">
            <x v="2"/>
          </reference>
        </references>
      </pivotArea>
    </chartFormat>
    <chartFormat chart="1" format="13" series="1">
      <pivotArea type="data" outline="0" fieldPosition="0">
        <references count="2">
          <reference field="4294967294" count="1" selected="0">
            <x v="0"/>
          </reference>
          <reference field="2" count="1" selected="0">
            <x v="3"/>
          </reference>
        </references>
      </pivotArea>
    </chartFormat>
    <chartFormat chart="1" format="14" series="1">
      <pivotArea type="data" outline="0" fieldPosition="0">
        <references count="2">
          <reference field="4294967294" count="1" selected="0">
            <x v="0"/>
          </reference>
          <reference field="2" count="1" selected="0">
            <x v="4"/>
          </reference>
        </references>
      </pivotArea>
    </chartFormat>
    <chartFormat chart="1" format="15" series="1">
      <pivotArea type="data" outline="0" fieldPosition="0">
        <references count="2">
          <reference field="4294967294" count="1" selected="0">
            <x v="0"/>
          </reference>
          <reference field="2" count="1" selected="0">
            <x v="5"/>
          </reference>
        </references>
      </pivotArea>
    </chartFormat>
    <chartFormat chart="1" format="16" series="1">
      <pivotArea type="data" outline="0" fieldPosition="0">
        <references count="2">
          <reference field="4294967294" count="1" selected="0">
            <x v="0"/>
          </reference>
          <reference field="2" count="1" selected="0">
            <x v="6"/>
          </reference>
        </references>
      </pivotArea>
    </chartFormat>
    <chartFormat chart="1" format="17"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9E13B8-3ECA-48BA-82FE-C593C2C759D7}" name="TablaDinámica8" cacheId="23" applyNumberFormats="0" applyBorderFormats="0" applyFontFormats="0" applyPatternFormats="0" applyAlignmentFormats="0" applyWidthHeightFormats="1" dataCaption="Valores" updatedVersion="8" minRefreshableVersion="3" itemPrintTitles="1" mergeItem="1" createdVersion="7" indent="0" showHeaders="0" outline="1" outlineData="1" multipleFieldFilters="0" chartFormat="10">
  <location ref="A12:B24" firstHeaderRow="1" firstDataRow="1" firstDataCol="1" rowPageCount="2" colPageCount="1"/>
  <pivotFields count="12">
    <pivotField axis="axisPage" numFmtId="14" multipleItemSelectionAllowed="1" showAll="0">
      <items count="230">
        <item x="182"/>
        <item x="0"/>
        <item x="1"/>
        <item x="2"/>
        <item x="3"/>
        <item x="4"/>
        <item x="5"/>
        <item x="6"/>
        <item x="7"/>
        <item x="8"/>
        <item x="9"/>
        <item x="10"/>
        <item x="11"/>
        <item x="12"/>
        <item x="13"/>
        <item x="14"/>
        <item x="228"/>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1"/>
        <item x="142"/>
        <item x="143"/>
        <item x="144"/>
        <item x="145"/>
        <item x="146"/>
        <item x="147"/>
        <item x="140"/>
        <item x="148"/>
        <item x="149"/>
        <item x="154"/>
        <item x="155"/>
        <item x="156"/>
        <item x="157"/>
        <item x="158"/>
        <item x="159"/>
        <item x="160"/>
        <item x="161"/>
        <item x="150"/>
        <item x="151"/>
        <item x="152"/>
        <item x="153"/>
        <item x="162"/>
        <item x="163"/>
        <item x="164"/>
        <item x="165"/>
        <item x="166"/>
        <item x="167"/>
        <item x="168"/>
        <item x="169"/>
        <item x="170"/>
        <item x="171"/>
        <item x="172"/>
        <item x="173"/>
        <item x="174"/>
        <item x="175"/>
        <item x="176"/>
        <item x="177"/>
        <item x="178"/>
        <item x="179"/>
        <item x="180"/>
        <item x="181"/>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t="default"/>
      </items>
    </pivotField>
    <pivotField showAll="0"/>
    <pivotField axis="axisPage" numFmtId="169" multipleItemSelectionAllowed="1" showAll="0">
      <items count="17">
        <item h="1" x="4"/>
        <item h="1" x="5"/>
        <item m="1" x="15"/>
        <item h="1" x="3"/>
        <item h="1" x="6"/>
        <item h="1" x="7"/>
        <item x="8"/>
        <item h="1" m="1" x="11"/>
        <item h="1" m="1" x="12"/>
        <item h="1" m="1" x="13"/>
        <item h="1" x="0"/>
        <item h="1" x="1"/>
        <item h="1" m="1" x="14"/>
        <item h="1" x="2"/>
        <item h="1" x="9"/>
        <item h="1" m="1" x="10"/>
        <item t="default"/>
      </items>
    </pivotField>
    <pivotField showAll="0"/>
    <pivotField showAll="0"/>
    <pivotField dataField="1" numFmtId="2" showAll="0"/>
    <pivotField name="Tipo de paro" multipleItemSelectionAllowed="1" showAll="0"/>
    <pivotField showAll="0"/>
    <pivotField showAll="0">
      <items count="27">
        <item m="1" x="17"/>
        <item x="8"/>
        <item m="1" x="24"/>
        <item x="3"/>
        <item x="9"/>
        <item x="0"/>
        <item x="10"/>
        <item x="11"/>
        <item x="6"/>
        <item m="1" x="12"/>
        <item x="7"/>
        <item x="5"/>
        <item x="2"/>
        <item m="1" x="13"/>
        <item m="1" x="14"/>
        <item m="1" x="23"/>
        <item m="1" x="21"/>
        <item m="1" x="22"/>
        <item m="1" x="18"/>
        <item m="1" x="25"/>
        <item m="1" x="19"/>
        <item m="1" x="20"/>
        <item m="1" x="15"/>
        <item m="1" x="16"/>
        <item x="1"/>
        <item x="4"/>
        <item t="default"/>
      </items>
    </pivotField>
    <pivotField axis="axisRow" showAll="0">
      <items count="239">
        <item m="1" x="206"/>
        <item m="1" x="231"/>
        <item m="1" x="177"/>
        <item m="1" x="195"/>
        <item m="1" x="233"/>
        <item m="1" x="229"/>
        <item m="1" x="217"/>
        <item m="1" x="230"/>
        <item m="1" x="180"/>
        <item m="1" x="201"/>
        <item m="1" x="179"/>
        <item m="1" x="107"/>
        <item x="47"/>
        <item m="1" x="123"/>
        <item m="1" x="118"/>
        <item m="1" x="136"/>
        <item x="42"/>
        <item m="1" x="51"/>
        <item m="1" x="52"/>
        <item m="1" x="54"/>
        <item m="1" x="56"/>
        <item m="1" x="55"/>
        <item m="1" x="128"/>
        <item m="1" x="53"/>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57"/>
        <item m="1" x="101"/>
        <item m="1" x="102"/>
        <item m="1" x="103"/>
        <item m="1" x="104"/>
        <item m="1" x="219"/>
        <item m="1" x="187"/>
        <item x="18"/>
        <item m="1" x="218"/>
        <item m="1" x="185"/>
        <item m="1" x="213"/>
        <item m="1" x="236"/>
        <item m="1" x="205"/>
        <item m="1" x="114"/>
        <item m="1" x="196"/>
        <item m="1" x="115"/>
        <item m="1" x="208"/>
        <item m="1" x="220"/>
        <item x="28"/>
        <item m="1" x="203"/>
        <item m="1" x="119"/>
        <item m="1" x="209"/>
        <item m="1" x="183"/>
        <item m="1" x="181"/>
        <item m="1" x="223"/>
        <item m="1" x="193"/>
        <item m="1" x="226"/>
        <item m="1" x="221"/>
        <item m="1" x="202"/>
        <item m="1" x="191"/>
        <item m="1" x="227"/>
        <item m="1" x="204"/>
        <item m="1" x="215"/>
        <item m="1" x="237"/>
        <item m="1" x="197"/>
        <item m="1" x="214"/>
        <item m="1" x="212"/>
        <item m="1" x="199"/>
        <item m="1" x="235"/>
        <item m="1" x="154"/>
        <item m="1" x="228"/>
        <item m="1" x="105"/>
        <item m="1" x="106"/>
        <item m="1" x="108"/>
        <item m="1" x="109"/>
        <item m="1" x="110"/>
        <item m="1" x="111"/>
        <item m="1" x="112"/>
        <item m="1" x="113"/>
        <item m="1" x="116"/>
        <item m="1" x="117"/>
        <item m="1" x="120"/>
        <item m="1" x="121"/>
        <item m="1" x="122"/>
        <item m="1" x="124"/>
        <item m="1" x="125"/>
        <item m="1" x="126"/>
        <item m="1" x="127"/>
        <item m="1" x="129"/>
        <item m="1" x="130"/>
        <item m="1" x="131"/>
        <item m="1" x="132"/>
        <item m="1" x="133"/>
        <item m="1" x="134"/>
        <item m="1" x="135"/>
        <item m="1" x="137"/>
        <item m="1" x="138"/>
        <item m="1" x="139"/>
        <item m="1" x="194"/>
        <item m="1" x="141"/>
        <item m="1" x="184"/>
        <item m="1" x="142"/>
        <item m="1" x="143"/>
        <item m="1" x="178"/>
        <item m="1" x="216"/>
        <item m="1" x="222"/>
        <item m="1" x="148"/>
        <item m="1" x="149"/>
        <item m="1" x="186"/>
        <item m="1" x="224"/>
        <item m="1" x="207"/>
        <item m="1" x="151"/>
        <item m="1" x="198"/>
        <item m="1" x="225"/>
        <item m="1" x="188"/>
        <item m="1" x="234"/>
        <item x="20"/>
        <item m="1" x="182"/>
        <item m="1" x="153"/>
        <item m="1" x="192"/>
        <item m="1" x="210"/>
        <item m="1" x="200"/>
        <item m="1" x="190"/>
        <item m="1" x="211"/>
        <item m="1" x="232"/>
        <item m="1" x="189"/>
        <item m="1" x="144"/>
        <item m="1" x="145"/>
        <item m="1" x="146"/>
        <item m="1" x="147"/>
        <item m="1" x="150"/>
        <item m="1" x="152"/>
        <item m="1" x="140"/>
        <item m="1" x="155"/>
        <item m="1" x="156"/>
        <item m="1" x="157"/>
        <item m="1" x="158"/>
        <item m="1" x="159"/>
        <item m="1" x="160"/>
        <item m="1" x="176"/>
        <item m="1" x="161"/>
        <item m="1" x="162"/>
        <item m="1" x="163"/>
        <item m="1" x="164"/>
        <item m="1" x="165"/>
        <item m="1" x="166"/>
        <item m="1" x="167"/>
        <item m="1" x="168"/>
        <item m="1" x="169"/>
        <item m="1" x="170"/>
        <item m="1" x="171"/>
        <item m="1" x="172"/>
        <item m="1" x="173"/>
        <item m="1" x="174"/>
        <item m="1" x="175"/>
        <item x="0"/>
        <item x="1"/>
        <item x="2"/>
        <item x="3"/>
        <item x="4"/>
        <item x="5"/>
        <item x="6"/>
        <item x="7"/>
        <item x="8"/>
        <item x="9"/>
        <item x="10"/>
        <item x="11"/>
        <item x="12"/>
        <item x="13"/>
        <item x="14"/>
        <item x="15"/>
        <item x="16"/>
        <item x="17"/>
        <item x="19"/>
        <item x="21"/>
        <item x="22"/>
        <item x="23"/>
        <item x="24"/>
        <item x="25"/>
        <item x="26"/>
        <item x="27"/>
        <item x="30"/>
        <item x="29"/>
        <item x="31"/>
        <item x="32"/>
        <item m="1" x="50"/>
        <item m="1" x="49"/>
        <item x="35"/>
        <item x="36"/>
        <item x="33"/>
        <item x="34"/>
        <item x="37"/>
        <item x="38"/>
        <item x="39"/>
        <item x="40"/>
        <item x="41"/>
        <item x="43"/>
        <item x="44"/>
        <item x="45"/>
        <item m="1" x="48"/>
        <item x="46"/>
        <item t="default"/>
      </items>
    </pivotField>
    <pivotField showAll="0"/>
    <pivotField showAll="0"/>
  </pivotFields>
  <rowFields count="1">
    <field x="9"/>
  </rowFields>
  <rowItems count="12">
    <i>
      <x v="85"/>
    </i>
    <i>
      <x v="192"/>
    </i>
    <i>
      <x v="193"/>
    </i>
    <i>
      <x v="194"/>
    </i>
    <i>
      <x v="196"/>
    </i>
    <i>
      <x v="200"/>
    </i>
    <i>
      <x v="203"/>
    </i>
    <i>
      <x v="204"/>
    </i>
    <i>
      <x v="209"/>
    </i>
    <i>
      <x v="221"/>
    </i>
    <i>
      <x v="237"/>
    </i>
    <i t="grand">
      <x/>
    </i>
  </rowItems>
  <colItems count="1">
    <i/>
  </colItems>
  <pageFields count="2">
    <pageField fld="2" hier="-1"/>
    <pageField fld="0" hier="-1"/>
  </pageFields>
  <dataFields count="1">
    <dataField name="Suma de Tiempo paro (horas)" fld="5" baseField="10" baseItem="13"/>
  </dataFields>
  <formats count="48">
    <format dxfId="58">
      <pivotArea type="all" dataOnly="0" outline="0" fieldPosition="0"/>
    </format>
    <format dxfId="57">
      <pivotArea outline="0" collapsedLevelsAreSubtotals="1" fieldPosition="0"/>
    </format>
    <format dxfId="56">
      <pivotArea field="8" type="button" dataOnly="0" labelOnly="1" outline="0"/>
    </format>
    <format dxfId="55">
      <pivotArea dataOnly="0" labelOnly="1" grandRow="1" outline="0" fieldPosition="0"/>
    </format>
    <format dxfId="54">
      <pivotArea dataOnly="0" labelOnly="1" outline="0" axis="axisValues" fieldPosition="0"/>
    </format>
    <format dxfId="53">
      <pivotArea field="8" type="button" dataOnly="0" labelOnly="1" outline="0"/>
    </format>
    <format dxfId="52">
      <pivotArea dataOnly="0" labelOnly="1" outline="0" axis="axisValues" fieldPosition="0"/>
    </format>
    <format dxfId="51">
      <pivotArea field="8" type="button" dataOnly="0" labelOnly="1" outline="0"/>
    </format>
    <format dxfId="50">
      <pivotArea dataOnly="0" labelOnly="1" outline="0" axis="axisValues" fieldPosition="0"/>
    </format>
    <format dxfId="49">
      <pivotArea grandRow="1" outline="0" collapsedLevelsAreSubtotals="1" fieldPosition="0"/>
    </format>
    <format dxfId="48">
      <pivotArea dataOnly="0" labelOnly="1" grandRow="1" outline="0" fieldPosition="0"/>
    </format>
    <format dxfId="47">
      <pivotArea grandRow="1" outline="0" collapsedLevelsAreSubtotals="1" fieldPosition="0"/>
    </format>
    <format dxfId="46">
      <pivotArea dataOnly="0" labelOnly="1" grandRow="1" outline="0" fieldPosition="0"/>
    </format>
    <format dxfId="45">
      <pivotArea grandRow="1" outline="0" collapsedLevelsAreSubtotals="1" fieldPosition="0"/>
    </format>
    <format dxfId="44">
      <pivotArea dataOnly="0" labelOnly="1" grandRow="1" outline="0" fieldPosition="0"/>
    </format>
    <format dxfId="43">
      <pivotArea field="8" type="button" dataOnly="0" labelOnly="1" outline="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8" type="button" dataOnly="0" labelOnly="1" outline="0"/>
    </format>
    <format dxfId="38">
      <pivotArea dataOnly="0" labelOnly="1" grandRow="1" outline="0"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8" type="button" dataOnly="0" labelOnly="1" outline="0"/>
    </format>
    <format dxfId="33">
      <pivotArea dataOnly="0" labelOnly="1" grandRow="1" outline="0" fieldPosition="0"/>
    </format>
    <format dxfId="32">
      <pivotArea dataOnly="0" labelOnly="1" outline="0" axis="axisValues" fieldPosition="0"/>
    </format>
    <format dxfId="31">
      <pivotArea field="2" type="button" dataOnly="0" labelOnly="1" outline="0" axis="axisPage" fieldPosition="0"/>
    </format>
    <format dxfId="30">
      <pivotArea field="2" type="button" dataOnly="0" labelOnly="1" outline="0" axis="axisPage" fieldPosition="0"/>
    </format>
    <format dxfId="29">
      <pivotArea field="0" type="button" dataOnly="0" labelOnly="1" outline="0" axis="axisPage" fieldPosition="1"/>
    </format>
    <format dxfId="28">
      <pivotArea field="0" type="button" dataOnly="0" labelOnly="1" outline="0" axis="axisPage" fieldPosition="1"/>
    </format>
    <format dxfId="27">
      <pivotArea outline="0" collapsedLevelsAreSubtotals="1" fieldPosition="0"/>
    </format>
    <format dxfId="26">
      <pivotArea dataOnly="0" labelOnly="1" grandRow="1" outline="0" fieldPosition="0"/>
    </format>
    <format dxfId="25">
      <pivotArea type="all" dataOnly="0" outline="0" fieldPosition="0"/>
    </format>
    <format dxfId="24">
      <pivotArea outline="0" collapsedLevelsAreSubtotals="1" fieldPosition="0"/>
    </format>
    <format dxfId="23">
      <pivotArea dataOnly="0" labelOnly="1" grandRow="1" outline="0"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dataOnly="0" labelOnly="1" grandRow="1" outline="0" fieldPosition="0"/>
    </format>
    <format dxfId="18">
      <pivotArea dataOnly="0" labelOnly="1" outline="0" axis="axisValues" fieldPosition="0"/>
    </format>
    <format dxfId="17">
      <pivotArea dataOnly="0" labelOnly="1" outline="0" axis="axisValues" fieldPosition="0"/>
    </format>
    <format dxfId="16">
      <pivotArea dataOnly="0" outline="0" axis="axisValues" fieldPosition="0"/>
    </format>
    <format dxfId="15">
      <pivotArea grandRow="1" outline="0" collapsedLevelsAreSubtotals="1" fieldPosition="0"/>
    </format>
    <format dxfId="14">
      <pivotArea dataOnly="0" labelOnly="1" grandRow="1" outline="0" fieldPosition="0"/>
    </format>
    <format dxfId="13">
      <pivotArea grandRow="1" outline="0" collapsedLevelsAreSubtotals="1" fieldPosition="0"/>
    </format>
    <format dxfId="12">
      <pivotArea dataOnly="0" labelOnly="1" grandRow="1" outline="0" fieldPosition="0"/>
    </format>
    <format dxfId="0">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DD7F37-E780-4DC5-A75F-322A8D995E56}" name="TablaDinámica4" cacheId="34"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1">
  <location ref="E16:H26" firstHeaderRow="1" firstDataRow="2" firstDataCol="1"/>
  <pivotFields count="3">
    <pivotField axis="axisCol" showAll="0" sortType="ascending">
      <items count="3">
        <item x="0"/>
        <item x="1"/>
        <item t="default"/>
      </items>
    </pivotField>
    <pivotField dataField="1" numFmtId="2" showAll="0"/>
    <pivotField axis="axisRow" showAll="0" sortType="descending">
      <items count="9">
        <item x="1"/>
        <item x="7"/>
        <item x="5"/>
        <item x="6"/>
        <item x="2"/>
        <item x="4"/>
        <item x="0"/>
        <item x="3"/>
        <item t="default"/>
      </items>
      <autoSortScope>
        <pivotArea dataOnly="0" outline="0" fieldPosition="0">
          <references count="2">
            <reference field="4294967294" count="1" selected="0">
              <x v="0"/>
            </reference>
            <reference field="0" count="1" selected="0">
              <x v="1"/>
            </reference>
          </references>
        </pivotArea>
      </autoSortScope>
    </pivotField>
  </pivotFields>
  <rowFields count="1">
    <field x="2"/>
  </rowFields>
  <rowItems count="9">
    <i>
      <x v="3"/>
    </i>
    <i>
      <x v="2"/>
    </i>
    <i>
      <x v="1"/>
    </i>
    <i>
      <x v="7"/>
    </i>
    <i>
      <x v="5"/>
    </i>
    <i>
      <x v="6"/>
    </i>
    <i>
      <x/>
    </i>
    <i>
      <x v="4"/>
    </i>
    <i t="grand">
      <x/>
    </i>
  </rowItems>
  <colFields count="1">
    <field x="0"/>
  </colFields>
  <colItems count="3">
    <i>
      <x/>
    </i>
    <i>
      <x v="1"/>
    </i>
    <i t="grand">
      <x/>
    </i>
  </colItems>
  <dataFields count="1">
    <dataField name="Suma de Tiempo paro (horas)" fld="1" baseField="0" baseItem="0" numFmtId="2"/>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6"/>
          </reference>
        </references>
      </pivotArea>
    </chartFormat>
    <chartFormat chart="0" format="2" series="1">
      <pivotArea type="data" outline="0" fieldPosition="0">
        <references count="2">
          <reference field="4294967294" count="1" selected="0">
            <x v="0"/>
          </reference>
          <reference field="2" count="1" selected="0">
            <x v="5"/>
          </reference>
        </references>
      </pivotArea>
    </chartFormat>
    <chartFormat chart="0" format="3" series="1">
      <pivotArea type="data" outline="0" fieldPosition="0">
        <references count="2">
          <reference field="4294967294" count="1" selected="0">
            <x v="0"/>
          </reference>
          <reference field="2" count="1" selected="0">
            <x v="4"/>
          </reference>
        </references>
      </pivotArea>
    </chartFormat>
    <chartFormat chart="0" format="4" series="1">
      <pivotArea type="data" outline="0" fieldPosition="0">
        <references count="2">
          <reference field="4294967294" count="1" selected="0">
            <x v="0"/>
          </reference>
          <reference field="2" count="1" selected="0">
            <x v="3"/>
          </reference>
        </references>
      </pivotArea>
    </chartFormat>
    <chartFormat chart="0" format="5" series="1">
      <pivotArea type="data" outline="0" fieldPosition="0">
        <references count="2">
          <reference field="4294967294" count="1" selected="0">
            <x v="0"/>
          </reference>
          <reference field="2" count="1" selected="0">
            <x v="2"/>
          </reference>
        </references>
      </pivotArea>
    </chartFormat>
    <chartFormat chart="0" format="6" series="1">
      <pivotArea type="data" outline="0" fieldPosition="0">
        <references count="2">
          <reference field="4294967294" count="1" selected="0">
            <x v="0"/>
          </reference>
          <reference field="2" count="1" selected="0">
            <x v="1"/>
          </reference>
        </references>
      </pivotArea>
    </chartFormat>
    <chartFormat chart="0" format="7" series="1">
      <pivotArea type="data" outline="0" fieldPosition="0">
        <references count="2">
          <reference field="4294967294" count="1" selected="0">
            <x v="0"/>
          </reference>
          <reference field="2" count="1" selected="0">
            <x v="0"/>
          </reference>
        </references>
      </pivotArea>
    </chartFormat>
    <chartFormat chart="0" format="8" series="1">
      <pivotArea type="data" outline="0" fieldPosition="0">
        <references count="2">
          <reference field="4294967294" count="1" selected="0">
            <x v="0"/>
          </reference>
          <reference field="0" count="1" selected="0">
            <x v="1"/>
          </reference>
        </references>
      </pivotArea>
    </chartFormat>
    <chartFormat chart="0" format="9"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v>Un dibujo de una cara feliz
Descripción generada automáticamente con confianza media</v>
  </rv>
  <rv s="0">
    <v>1</v>
    <v>5</v>
    <v>Un dibujo de una cara feliz
Descripción generada automáticamente con confianza media</v>
  </rv>
  <rv s="0">
    <v>2</v>
    <v>5</v>
    <v>Un dibujo de una cara feliz
Descripción generada automáticamente con confianza media</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D9EDC5-AA40-469F-9127-8CB1D2395C55}" name="Tabla13" displayName="Tabla13" ref="A6:L546" totalsRowShown="0" headerRowDxfId="188" dataDxfId="187">
  <autoFilter ref="A6:L546" xr:uid="{2AD9EDC5-AA40-469F-9127-8CB1D2395C55}">
    <filterColumn colId="2">
      <filters>
        <filter val="junio"/>
      </filters>
    </filterColumn>
  </autoFilter>
  <sortState xmlns:xlrd2="http://schemas.microsoft.com/office/spreadsheetml/2017/richdata2" ref="A511:L522">
    <sortCondition ref="G6:G546"/>
  </sortState>
  <tableColumns count="12">
    <tableColumn id="1" xr3:uid="{116ABB80-AF47-4818-B8A7-91B2501F52D9}" name="Fecha" dataDxfId="186" totalsRowDxfId="185"/>
    <tableColumn id="8" xr3:uid="{1809EB40-8C68-4E1B-9D2E-D5213C6B18E7}" name="Día" dataDxfId="184" totalsRowDxfId="183">
      <calculatedColumnFormula>IF(Tabla13[[#This Row],[Fecha]]="","",TEXT(Tabla13[[#This Row],[Fecha]],"aaaa"))</calculatedColumnFormula>
    </tableColumn>
    <tableColumn id="14" xr3:uid="{74D69BA8-075A-40CE-A7D0-1531BA426EF6}" name="Mes" dataDxfId="182" totalsRowDxfId="181">
      <calculatedColumnFormula>IF(Tabla13[[#This Row],[Fecha]]="","",TEXT(Tabla13[[#This Row],[Fecha]],"mmmm"))</calculatedColumnFormula>
    </tableColumn>
    <tableColumn id="4" xr3:uid="{FB09B139-2730-4545-B3DF-F7C217488407}" name="Hora inicio" dataDxfId="180" totalsRowDxfId="179"/>
    <tableColumn id="5" xr3:uid="{5FC82A76-6F47-42A7-8CDE-AF850169144D}" name="Hora fin " dataDxfId="178" totalsRowDxfId="177"/>
    <tableColumn id="12" xr3:uid="{889A4E9B-804B-401D-9C39-12E768ED2CF9}" name="Tiempo paro (horas)" dataDxfId="176">
      <calculatedColumnFormula>IF(#REF!=3,HOUR(Tabla13[[#This Row],[Hora fin ]]-Tabla13[[#This Row],[Hora inicio]])+MINUTE(Tabla13[[#This Row],[Hora fin ]]-Tabla13[[#This Row],[Hora inicio]])/60,IF(#REF!=2,(HOUR(Tabla13[[#This Row],[Hora fin ]]-Tabla13[[#This Row],[Hora inicio]])+MINUTE(Tabla13[[#This Row],[Hora fin ]]-Tabla13[[#This Row],[Hora inicio]])/60)*2/3,(HOUR(Tabla13[[#This Row],[Hora fin ]]-Tabla13[[#This Row],[Hora inicio]])+MINUTE(Tabla13[[#This Row],[Hora fin ]]-Tabla13[[#This Row],[Hora inicio]])/60)*1/3))</calculatedColumnFormula>
    </tableColumn>
    <tableColumn id="9" xr3:uid="{0338C45F-C37D-4B89-B3B8-8C83FC00A752}" name="Tipo I" dataDxfId="175" totalsRowDxfId="174"/>
    <tableColumn id="2" xr3:uid="{C47480D6-4F1F-451A-8593-5147687AAED1}" name="Tipo II" dataDxfId="173" totalsRowDxfId="172"/>
    <tableColumn id="11" xr3:uid="{80CDC8C0-BDA7-4341-8168-A6359A2626DE}" name="Sección" dataDxfId="171" totalsRowDxfId="170"/>
    <tableColumn id="6" xr3:uid="{792EF9CC-37AB-4382-8A82-EA6C78FF2A55}" name="Equipo" dataDxfId="169" totalsRowDxfId="168"/>
    <tableColumn id="7" xr3:uid="{C87C17C8-CF3D-4674-8C85-939263E071C4}" name="Causa de falla / Observación" dataDxfId="167" totalsRowDxfId="166"/>
    <tableColumn id="10" xr3:uid="{B908C2E3-95B1-4E37-96A5-E3449D597D17}" name="Responsable diligenciamiento" dataDxfId="165" totalsRowDxfId="164"/>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4DF5FD-C68F-40EF-9E9C-C23148897FAA}" name="Tabla2" displayName="Tabla2" ref="A3:L55" totalsRowShown="0">
  <autoFilter ref="A3:L55" xr:uid="{9D4DF5FD-C68F-40EF-9E9C-C23148897FAA}"/>
  <tableColumns count="12">
    <tableColumn id="1" xr3:uid="{69C19ECA-1EB4-49BE-8AA3-00636FF7C8CA}" name="Fecha" dataDxfId="3"/>
    <tableColumn id="2" xr3:uid="{7C2F991C-6053-4690-A539-90526D90C635}" name="Día"/>
    <tableColumn id="3" xr3:uid="{7256CBD8-B0C1-4C8A-A43F-11CFB8AC83C9}" name="Mes"/>
    <tableColumn id="4" xr3:uid="{522C475A-A3AE-41EB-A049-55464A78CB9B}" name="Hora inicio" dataDxfId="2"/>
    <tableColumn id="5" xr3:uid="{FDF78AD7-EFF8-4EA3-ADB1-E7A9A2B48DC5}" name="Hora fin " dataDxfId="1"/>
    <tableColumn id="6" xr3:uid="{D72E313E-AD77-42FC-A5C9-DDB3F164F698}" name="Tiempo paro (horas)"/>
    <tableColumn id="7" xr3:uid="{C82FCF8F-5F27-4159-A841-C901C17522B0}" name="Tipo I"/>
    <tableColumn id="8" xr3:uid="{92F9FAFC-4D79-47D4-B599-8EF724CAD7BF}" name="Tipo II"/>
    <tableColumn id="9" xr3:uid="{0E05CCE3-B379-49F6-9086-0CB3CED002A9}" name="Sección"/>
    <tableColumn id="10" xr3:uid="{724A2132-1AD0-4E8C-83CB-3A5276743334}" name="Equipo"/>
    <tableColumn id="11" xr3:uid="{8AD181F5-09DF-4B09-B46F-E2CC8F4C90FF}" name="Causa de falla / Observación"/>
    <tableColumn id="12" xr3:uid="{8BEB0B12-71AE-49A7-B9AC-DEBE092B40CF}" name="Responsable diligenciamient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EF6C14-263C-43E9-9DF4-F1B61733B62A}" name="Tabla1" displayName="Tabla1" ref="A36:B58" totalsRowCount="1" headerRowDxfId="11" headerRowBorderDxfId="10" tableBorderDxfId="9" totalsRowBorderDxfId="8">
  <autoFilter ref="A36:B57" xr:uid="{ABEF6C14-263C-43E9-9DF4-F1B61733B62A}"/>
  <sortState xmlns:xlrd2="http://schemas.microsoft.com/office/spreadsheetml/2017/richdata2" ref="A37:B57">
    <sortCondition descending="1" ref="B37:B57"/>
  </sortState>
  <tableColumns count="2">
    <tableColumn id="1" xr3:uid="{996F52FA-EE70-45C9-A155-DA05D75F51A8}" name="EQUIPO" totalsRowLabel="total" dataDxfId="7" totalsRowDxfId="5"/>
    <tableColumn id="2" xr3:uid="{D1249075-D416-4361-9C1E-8170C196F522}" name="HORAS" totalsRowFunction="sum" dataDxfId="6" totalsRowDxfId="4"/>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2.xml"/><Relationship Id="rId6" Type="http://schemas.openxmlformats.org/officeDocument/2006/relationships/comments" Target="../comments3.xml"/><Relationship Id="rId5" Type="http://schemas.openxmlformats.org/officeDocument/2006/relationships/table" Target="../tables/table3.xml"/><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ivotTable" Target="../pivotTables/pivotTable3.xml"/><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2:T92"/>
  <sheetViews>
    <sheetView showGridLines="0" defaultGridColor="0" topLeftCell="A7" colorId="22" zoomScaleNormal="100" workbookViewId="0">
      <selection activeCell="D2" sqref="D2:Q4"/>
    </sheetView>
  </sheetViews>
  <sheetFormatPr baseColWidth="10" defaultColWidth="11.44140625" defaultRowHeight="15.6"/>
  <cols>
    <col min="1" max="2" width="10.6640625" style="15" customWidth="1"/>
    <col min="3" max="3" width="19" style="15" customWidth="1"/>
    <col min="4" max="4" width="11.44140625" style="15"/>
    <col min="5" max="7" width="10.6640625" style="15" customWidth="1"/>
    <col min="8" max="8" width="11.44140625" style="15"/>
    <col min="9" max="11" width="10.6640625" style="15" customWidth="1"/>
    <col min="12" max="12" width="11.44140625" style="15"/>
    <col min="13" max="15" width="10.6640625" style="15" customWidth="1"/>
    <col min="16" max="16" width="11.44140625" style="15"/>
    <col min="17" max="17" width="13" style="15" customWidth="1"/>
    <col min="18" max="18" width="10.6640625" style="15" customWidth="1"/>
    <col min="19" max="19" width="13" style="15" customWidth="1"/>
    <col min="20" max="16384" width="11.44140625" style="15"/>
  </cols>
  <sheetData>
    <row r="2" spans="1:20" ht="29.4" customHeight="1">
      <c r="A2" s="139" t="e" vm="1">
        <v>#VALUE!</v>
      </c>
      <c r="B2" s="139"/>
      <c r="C2" s="139"/>
      <c r="D2" s="141" t="s">
        <v>396</v>
      </c>
      <c r="E2" s="141"/>
      <c r="F2" s="141"/>
      <c r="G2" s="141"/>
      <c r="H2" s="141"/>
      <c r="I2" s="141"/>
      <c r="J2" s="141"/>
      <c r="K2" s="141"/>
      <c r="L2" s="141"/>
      <c r="M2" s="141"/>
      <c r="N2" s="141"/>
      <c r="O2" s="141"/>
      <c r="P2" s="141"/>
      <c r="Q2" s="141"/>
      <c r="R2" s="140" t="s">
        <v>41</v>
      </c>
      <c r="S2" s="140"/>
      <c r="T2" s="140"/>
    </row>
    <row r="3" spans="1:20" ht="27.6" customHeight="1">
      <c r="A3" s="139"/>
      <c r="B3" s="139"/>
      <c r="C3" s="139"/>
      <c r="D3" s="141"/>
      <c r="E3" s="141"/>
      <c r="F3" s="141"/>
      <c r="G3" s="141"/>
      <c r="H3" s="141"/>
      <c r="I3" s="141"/>
      <c r="J3" s="141"/>
      <c r="K3" s="141"/>
      <c r="L3" s="141"/>
      <c r="M3" s="141"/>
      <c r="N3" s="141"/>
      <c r="O3" s="141"/>
      <c r="P3" s="141"/>
      <c r="Q3" s="141"/>
      <c r="R3" s="140" t="s">
        <v>42</v>
      </c>
      <c r="S3" s="140"/>
      <c r="T3" s="140"/>
    </row>
    <row r="4" spans="1:20" ht="30.6" customHeight="1">
      <c r="A4" s="139"/>
      <c r="B4" s="139"/>
      <c r="C4" s="139"/>
      <c r="D4" s="141"/>
      <c r="E4" s="141"/>
      <c r="F4" s="141"/>
      <c r="G4" s="141"/>
      <c r="H4" s="141"/>
      <c r="I4" s="141"/>
      <c r="J4" s="141"/>
      <c r="K4" s="141"/>
      <c r="L4" s="141"/>
      <c r="M4" s="141"/>
      <c r="N4" s="141"/>
      <c r="O4" s="141"/>
      <c r="P4" s="141"/>
      <c r="Q4" s="141"/>
      <c r="R4" s="140" t="s">
        <v>43</v>
      </c>
      <c r="S4" s="140"/>
      <c r="T4" s="140"/>
    </row>
    <row r="6" spans="1:20" ht="17.399999999999999">
      <c r="A6" s="43" t="s">
        <v>44</v>
      </c>
    </row>
    <row r="7" spans="1:20">
      <c r="A7" s="44" t="s">
        <v>45</v>
      </c>
    </row>
    <row r="10" spans="1:20" ht="17.399999999999999">
      <c r="A10" s="138" t="s">
        <v>46</v>
      </c>
      <c r="B10" s="138"/>
      <c r="C10" s="138"/>
      <c r="D10" s="42"/>
      <c r="E10" s="138" t="s">
        <v>47</v>
      </c>
      <c r="F10" s="138"/>
      <c r="G10" s="138"/>
      <c r="H10" s="42"/>
      <c r="I10" s="138" t="s">
        <v>48</v>
      </c>
      <c r="J10" s="138"/>
      <c r="K10" s="138"/>
      <c r="L10" s="42"/>
      <c r="M10" s="138" t="s">
        <v>49</v>
      </c>
      <c r="N10" s="138"/>
      <c r="O10" s="138"/>
      <c r="P10" s="42"/>
      <c r="Q10" s="138" t="s">
        <v>50</v>
      </c>
      <c r="R10" s="138"/>
      <c r="S10" s="138"/>
    </row>
    <row r="15" spans="1:20">
      <c r="C15" s="45"/>
    </row>
    <row r="17" spans="1:3">
      <c r="A17" s="136" t="s">
        <v>51</v>
      </c>
      <c r="B17" s="137"/>
      <c r="C17" s="137"/>
    </row>
    <row r="18" spans="1:3">
      <c r="A18" s="137"/>
      <c r="B18" s="137"/>
      <c r="C18" s="137"/>
    </row>
    <row r="19" spans="1:3">
      <c r="A19" s="137"/>
      <c r="B19" s="137"/>
      <c r="C19" s="137"/>
    </row>
    <row r="20" spans="1:3" ht="15.75" customHeight="1">
      <c r="A20" s="46"/>
      <c r="B20" s="46"/>
      <c r="C20" s="46"/>
    </row>
    <row r="21" spans="1:3">
      <c r="A21" s="46"/>
      <c r="B21" s="46"/>
      <c r="C21" s="46"/>
    </row>
    <row r="22" spans="1:3">
      <c r="A22" s="46"/>
      <c r="B22" s="46"/>
      <c r="C22" s="46"/>
    </row>
    <row r="23" spans="1:3">
      <c r="A23" s="46"/>
      <c r="B23" s="46"/>
      <c r="C23" s="46"/>
    </row>
    <row r="24" spans="1:3">
      <c r="A24" s="46"/>
      <c r="B24" s="46"/>
      <c r="C24" s="46"/>
    </row>
    <row r="25" spans="1:3">
      <c r="A25" s="46"/>
      <c r="B25" s="46"/>
      <c r="C25" s="46"/>
    </row>
    <row r="26" spans="1:3">
      <c r="A26" s="136" t="s">
        <v>51</v>
      </c>
      <c r="B26" s="137"/>
      <c r="C26" s="137"/>
    </row>
    <row r="27" spans="1:3">
      <c r="A27" s="137"/>
      <c r="B27" s="137"/>
      <c r="C27" s="137"/>
    </row>
    <row r="28" spans="1:3">
      <c r="A28" s="137"/>
      <c r="B28" s="137"/>
      <c r="C28" s="137"/>
    </row>
    <row r="29" spans="1:3">
      <c r="A29" s="137"/>
      <c r="B29" s="137"/>
      <c r="C29" s="137"/>
    </row>
    <row r="30" spans="1:3" ht="57" customHeight="1"/>
    <row r="32" spans="1:3" ht="54" customHeight="1"/>
    <row r="33" spans="1:3">
      <c r="A33" s="136"/>
      <c r="B33" s="137"/>
      <c r="C33" s="137"/>
    </row>
    <row r="34" spans="1:3">
      <c r="A34" s="137"/>
      <c r="B34" s="137"/>
      <c r="C34" s="137"/>
    </row>
    <row r="35" spans="1:3">
      <c r="A35" s="137"/>
      <c r="B35" s="137"/>
      <c r="C35" s="137"/>
    </row>
    <row r="36" spans="1:3">
      <c r="A36" s="137"/>
      <c r="B36" s="137"/>
      <c r="C36" s="137"/>
    </row>
    <row r="45" spans="1:3" ht="15" customHeight="1">
      <c r="A45" s="47"/>
    </row>
    <row r="46" spans="1:3" ht="17.399999999999999">
      <c r="A46" s="43" t="s">
        <v>52</v>
      </c>
    </row>
    <row r="48" spans="1:3">
      <c r="A48" s="48" t="s">
        <v>53</v>
      </c>
    </row>
    <row r="50" spans="1:1">
      <c r="A50" s="49" t="s">
        <v>54</v>
      </c>
    </row>
    <row r="51" spans="1:1">
      <c r="A51" s="49" t="s">
        <v>55</v>
      </c>
    </row>
    <row r="52" spans="1:1">
      <c r="A52" s="49" t="s">
        <v>56</v>
      </c>
    </row>
    <row r="53" spans="1:1">
      <c r="A53" s="49" t="s">
        <v>57</v>
      </c>
    </row>
    <row r="54" spans="1:1">
      <c r="A54" s="49" t="s">
        <v>58</v>
      </c>
    </row>
    <row r="55" spans="1:1">
      <c r="A55" s="49" t="s">
        <v>59</v>
      </c>
    </row>
    <row r="56" spans="1:1">
      <c r="A56" s="49"/>
    </row>
    <row r="57" spans="1:1">
      <c r="A57" s="48" t="s">
        <v>60</v>
      </c>
    </row>
    <row r="58" spans="1:1">
      <c r="A58" s="48"/>
    </row>
    <row r="59" spans="1:1">
      <c r="A59" s="49" t="s">
        <v>61</v>
      </c>
    </row>
    <row r="60" spans="1:1">
      <c r="A60" s="49" t="s">
        <v>62</v>
      </c>
    </row>
    <row r="61" spans="1:1">
      <c r="A61" s="49" t="s">
        <v>63</v>
      </c>
    </row>
    <row r="62" spans="1:1">
      <c r="A62" s="49" t="s">
        <v>64</v>
      </c>
    </row>
    <row r="63" spans="1:1">
      <c r="A63" s="49" t="s">
        <v>65</v>
      </c>
    </row>
    <row r="64" spans="1:1">
      <c r="A64" s="49" t="s">
        <v>66</v>
      </c>
    </row>
    <row r="65" spans="1:1">
      <c r="A65" s="49"/>
    </row>
    <row r="66" spans="1:1">
      <c r="A66" s="48" t="s">
        <v>67</v>
      </c>
    </row>
    <row r="67" spans="1:1">
      <c r="A67" s="48"/>
    </row>
    <row r="68" spans="1:1">
      <c r="A68" s="49" t="s">
        <v>68</v>
      </c>
    </row>
    <row r="69" spans="1:1">
      <c r="A69" s="49" t="s">
        <v>69</v>
      </c>
    </row>
    <row r="70" spans="1:1">
      <c r="A70" s="49" t="s">
        <v>63</v>
      </c>
    </row>
    <row r="71" spans="1:1">
      <c r="A71" s="49" t="s">
        <v>64</v>
      </c>
    </row>
    <row r="72" spans="1:1">
      <c r="A72" s="49" t="s">
        <v>70</v>
      </c>
    </row>
    <row r="73" spans="1:1">
      <c r="A73" s="49" t="s">
        <v>66</v>
      </c>
    </row>
    <row r="74" spans="1:1">
      <c r="A74" s="49"/>
    </row>
    <row r="75" spans="1:1">
      <c r="A75" s="48" t="s">
        <v>71</v>
      </c>
    </row>
    <row r="76" spans="1:1">
      <c r="A76" s="48"/>
    </row>
    <row r="77" spans="1:1">
      <c r="A77" s="49" t="s">
        <v>72</v>
      </c>
    </row>
    <row r="78" spans="1:1">
      <c r="A78" s="49" t="s">
        <v>73</v>
      </c>
    </row>
    <row r="79" spans="1:1">
      <c r="A79" s="49" t="s">
        <v>63</v>
      </c>
    </row>
    <row r="80" spans="1:1">
      <c r="A80" s="49" t="s">
        <v>64</v>
      </c>
    </row>
    <row r="81" spans="1:1">
      <c r="A81" s="49" t="s">
        <v>70</v>
      </c>
    </row>
    <row r="82" spans="1:1">
      <c r="A82" s="15" t="s">
        <v>66</v>
      </c>
    </row>
    <row r="83" spans="1:1">
      <c r="A83" s="49"/>
    </row>
    <row r="84" spans="1:1">
      <c r="A84" s="48" t="s">
        <v>74</v>
      </c>
    </row>
    <row r="85" spans="1:1">
      <c r="A85" s="48"/>
    </row>
    <row r="86" spans="1:1">
      <c r="A86" s="49" t="s">
        <v>75</v>
      </c>
    </row>
    <row r="87" spans="1:1">
      <c r="A87" s="49" t="s">
        <v>76</v>
      </c>
    </row>
    <row r="88" spans="1:1">
      <c r="A88" s="49" t="s">
        <v>63</v>
      </c>
    </row>
    <row r="89" spans="1:1">
      <c r="A89" s="49" t="s">
        <v>64</v>
      </c>
    </row>
    <row r="90" spans="1:1">
      <c r="A90" s="15" t="s">
        <v>77</v>
      </c>
    </row>
    <row r="91" spans="1:1">
      <c r="A91" s="49" t="s">
        <v>66</v>
      </c>
    </row>
    <row r="92" spans="1:1">
      <c r="A92" s="49"/>
    </row>
  </sheetData>
  <mergeCells count="13">
    <mergeCell ref="A2:C4"/>
    <mergeCell ref="A17:C19"/>
    <mergeCell ref="R2:T2"/>
    <mergeCell ref="R3:T3"/>
    <mergeCell ref="R4:T4"/>
    <mergeCell ref="D2:Q4"/>
    <mergeCell ref="I10:K10"/>
    <mergeCell ref="A33:C36"/>
    <mergeCell ref="A10:C10"/>
    <mergeCell ref="E10:G10"/>
    <mergeCell ref="Q10:S10"/>
    <mergeCell ref="A26:C29"/>
    <mergeCell ref="M10:O10"/>
  </mergeCell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5:Z149"/>
  <sheetViews>
    <sheetView showGridLines="0" topLeftCell="A43" zoomScale="80" zoomScaleNormal="80" workbookViewId="0">
      <selection activeCell="C62" sqref="C62"/>
    </sheetView>
  </sheetViews>
  <sheetFormatPr baseColWidth="10" defaultColWidth="11.44140625" defaultRowHeight="12"/>
  <cols>
    <col min="1" max="1" width="13.44140625" style="8" customWidth="1"/>
    <col min="2" max="2" width="42.33203125" style="12" customWidth="1"/>
    <col min="3" max="3" width="28.88671875" style="4" customWidth="1"/>
    <col min="4" max="4" width="14.44140625" style="4" customWidth="1"/>
    <col min="5" max="8" width="7.33203125" style="4" customWidth="1"/>
    <col min="9" max="9" width="9.44140625" style="4" customWidth="1"/>
    <col min="10" max="10" width="12.109375" style="4" customWidth="1"/>
    <col min="11" max="20" width="12.6640625" style="4" customWidth="1"/>
    <col min="21" max="63" width="10.6640625" style="4" customWidth="1"/>
    <col min="64" max="64" width="12.44140625" style="4" customWidth="1"/>
    <col min="65" max="65" width="57" style="4" bestFit="1" customWidth="1"/>
    <col min="66" max="66" width="96.6640625" style="4" bestFit="1" customWidth="1"/>
    <col min="67" max="67" width="25.109375" style="4" customWidth="1"/>
    <col min="68" max="68" width="42.44140625" style="4" customWidth="1"/>
    <col min="69" max="69" width="90.109375" style="4" bestFit="1" customWidth="1"/>
    <col min="70" max="70" width="62.44140625" style="4" bestFit="1" customWidth="1"/>
    <col min="71" max="71" width="38.33203125" style="4" bestFit="1" customWidth="1"/>
    <col min="72" max="72" width="8.109375" style="4" customWidth="1"/>
    <col min="73" max="73" width="47.109375" style="4" customWidth="1"/>
    <col min="74" max="74" width="255.6640625" style="4" bestFit="1" customWidth="1"/>
    <col min="75" max="75" width="62.44140625" style="4" bestFit="1" customWidth="1"/>
    <col min="76" max="76" width="64.88671875" style="4" bestFit="1" customWidth="1"/>
    <col min="77" max="77" width="22.6640625" style="4" customWidth="1"/>
    <col min="78" max="78" width="27.33203125" style="4" customWidth="1"/>
    <col min="79" max="79" width="37.44140625" style="4" customWidth="1"/>
    <col min="80" max="80" width="33.44140625" style="4" customWidth="1"/>
    <col min="81" max="81" width="66.6640625" style="4" bestFit="1" customWidth="1"/>
    <col min="82" max="82" width="104" style="4" bestFit="1" customWidth="1"/>
    <col min="83" max="83" width="57" style="4" bestFit="1" customWidth="1"/>
    <col min="84" max="84" width="40.88671875" style="4" customWidth="1"/>
    <col min="85" max="85" width="88.33203125" style="4" bestFit="1" customWidth="1"/>
    <col min="86" max="86" width="42" style="4" customWidth="1"/>
    <col min="87" max="87" width="27" style="4" customWidth="1"/>
    <col min="88" max="88" width="15" style="4" customWidth="1"/>
    <col min="89" max="89" width="61.6640625" style="4" customWidth="1"/>
    <col min="90" max="90" width="40.44140625" style="4" bestFit="1" customWidth="1"/>
    <col min="91" max="91" width="6.44140625" style="4" customWidth="1"/>
    <col min="92" max="92" width="13.33203125" style="4" customWidth="1"/>
    <col min="93" max="93" width="14.44140625" style="4" customWidth="1"/>
    <col min="94" max="94" width="34.6640625" style="4" bestFit="1" customWidth="1"/>
    <col min="95" max="95" width="34.33203125" style="4" customWidth="1"/>
    <col min="96" max="96" width="35.109375" style="4" bestFit="1" customWidth="1"/>
    <col min="97" max="97" width="23" style="4" customWidth="1"/>
    <col min="98" max="98" width="23.44140625" style="4" bestFit="1" customWidth="1"/>
    <col min="99" max="99" width="62" style="4" bestFit="1" customWidth="1"/>
    <col min="100" max="100" width="32.44140625" style="4" bestFit="1" customWidth="1"/>
    <col min="101" max="101" width="15.88671875" style="4" customWidth="1"/>
    <col min="102" max="102" width="20.44140625" style="4" customWidth="1"/>
    <col min="103" max="103" width="38.44140625" style="4" customWidth="1"/>
    <col min="104" max="104" width="39.44140625" style="4" bestFit="1" customWidth="1"/>
    <col min="105" max="105" width="29.44140625" style="4" bestFit="1" customWidth="1"/>
    <col min="106" max="106" width="30.109375" style="4" bestFit="1" customWidth="1"/>
    <col min="107" max="107" width="34.88671875" style="4" customWidth="1"/>
    <col min="108" max="108" width="61.6640625" style="4" customWidth="1"/>
    <col min="109" max="109" width="31" style="4" customWidth="1"/>
    <col min="110" max="110" width="20.88671875" style="4" customWidth="1"/>
    <col min="111" max="111" width="32.44140625" style="4" customWidth="1"/>
    <col min="112" max="112" width="24.44140625" style="4" customWidth="1"/>
    <col min="113" max="113" width="71.88671875" style="4" bestFit="1" customWidth="1"/>
    <col min="114" max="114" width="81.6640625" style="4" bestFit="1" customWidth="1"/>
    <col min="115" max="115" width="55.109375" style="4" bestFit="1" customWidth="1"/>
    <col min="116" max="116" width="72.88671875" style="4" bestFit="1" customWidth="1"/>
    <col min="117" max="117" width="91.44140625" style="4" bestFit="1" customWidth="1"/>
    <col min="118" max="118" width="165.6640625" style="4" bestFit="1" customWidth="1"/>
    <col min="119" max="119" width="67.88671875" style="4" bestFit="1" customWidth="1"/>
    <col min="120" max="120" width="29.6640625" style="4" customWidth="1"/>
    <col min="121" max="121" width="23.109375" style="4" bestFit="1" customWidth="1"/>
    <col min="122" max="122" width="80.33203125" style="4" bestFit="1" customWidth="1"/>
    <col min="123" max="123" width="96.88671875" style="4" bestFit="1" customWidth="1"/>
    <col min="124" max="124" width="46.44140625" style="4" customWidth="1"/>
    <col min="125" max="125" width="47.33203125" style="4" bestFit="1" customWidth="1"/>
    <col min="126" max="126" width="43.44140625" style="4" bestFit="1" customWidth="1"/>
    <col min="127" max="127" width="34.44140625" style="4" customWidth="1"/>
    <col min="128" max="128" width="57.6640625" style="4" bestFit="1" customWidth="1"/>
    <col min="129" max="129" width="17.88671875" style="4" customWidth="1"/>
    <col min="130" max="130" width="18.33203125" style="4" customWidth="1"/>
    <col min="131" max="131" width="68.88671875" style="4" customWidth="1"/>
    <col min="132" max="132" width="62.44140625" style="4" bestFit="1" customWidth="1"/>
    <col min="133" max="133" width="255.6640625" style="4" bestFit="1" customWidth="1"/>
    <col min="134" max="134" width="72.6640625" style="4" bestFit="1" customWidth="1"/>
    <col min="135" max="135" width="59.44140625" style="4" bestFit="1" customWidth="1"/>
    <col min="136" max="136" width="46.109375" style="4" customWidth="1"/>
    <col min="137" max="137" width="28.6640625" style="4" customWidth="1"/>
    <col min="138" max="138" width="68.44140625" style="4" bestFit="1" customWidth="1"/>
    <col min="139" max="139" width="47" style="4" bestFit="1" customWidth="1"/>
    <col min="140" max="140" width="45.6640625" style="4" customWidth="1"/>
    <col min="141" max="141" width="35.44140625" style="4" customWidth="1"/>
    <col min="142" max="142" width="81" style="4" customWidth="1"/>
    <col min="143" max="143" width="35.88671875" style="4" bestFit="1" customWidth="1"/>
    <col min="144" max="144" width="83.6640625" style="4" bestFit="1" customWidth="1"/>
    <col min="145" max="145" width="24.88671875" style="4" customWidth="1"/>
    <col min="146" max="146" width="61" style="4" bestFit="1" customWidth="1"/>
    <col min="147" max="147" width="48.44140625" style="4" bestFit="1" customWidth="1"/>
    <col min="148" max="148" width="43.109375" style="4" bestFit="1" customWidth="1"/>
    <col min="149" max="149" width="107.33203125" style="4" bestFit="1" customWidth="1"/>
    <col min="150" max="150" width="30.6640625" style="4" bestFit="1" customWidth="1"/>
    <col min="151" max="151" width="50.88671875" style="4" bestFit="1" customWidth="1"/>
    <col min="152" max="152" width="38.109375" style="4" bestFit="1" customWidth="1"/>
    <col min="153" max="153" width="48.109375" style="4" bestFit="1" customWidth="1"/>
    <col min="154" max="154" width="27.44140625" style="4" customWidth="1"/>
    <col min="155" max="155" width="53.44140625" style="4" bestFit="1" customWidth="1"/>
    <col min="156" max="156" width="26.88671875" style="4" bestFit="1" customWidth="1"/>
    <col min="157" max="157" width="35.88671875" style="4" bestFit="1" customWidth="1"/>
    <col min="158" max="158" width="35.6640625" style="4" customWidth="1"/>
    <col min="159" max="159" width="49.44140625" style="4" bestFit="1" customWidth="1"/>
    <col min="160" max="160" width="68.33203125" style="4" bestFit="1" customWidth="1"/>
    <col min="161" max="161" width="43" style="4" bestFit="1" customWidth="1"/>
    <col min="162" max="162" width="13.88671875" style="4" customWidth="1"/>
    <col min="163" max="163" width="66" style="4" bestFit="1" customWidth="1"/>
    <col min="164" max="164" width="37.33203125" style="4" bestFit="1" customWidth="1"/>
    <col min="165" max="165" width="37.109375" style="4" bestFit="1" customWidth="1"/>
    <col min="166" max="166" width="22.109375" style="4" bestFit="1" customWidth="1"/>
    <col min="167" max="167" width="48.6640625" style="4" bestFit="1" customWidth="1"/>
    <col min="168" max="168" width="53.44140625" style="4" bestFit="1" customWidth="1"/>
    <col min="169" max="169" width="11" style="4" customWidth="1"/>
    <col min="170" max="170" width="12.44140625" style="4" customWidth="1"/>
    <col min="171" max="171" width="7.44140625" style="4" customWidth="1"/>
    <col min="172" max="172" width="15.33203125" style="4" bestFit="1" customWidth="1"/>
    <col min="173" max="173" width="14.109375" style="4" bestFit="1" customWidth="1"/>
    <col min="174" max="174" width="18.44140625" style="4" bestFit="1" customWidth="1"/>
    <col min="175" max="175" width="22.44140625" style="4" bestFit="1" customWidth="1"/>
    <col min="176" max="176" width="25.6640625" style="4" bestFit="1" customWidth="1"/>
    <col min="177" max="177" width="7" style="4" customWidth="1"/>
    <col min="178" max="178" width="14.44140625" style="4" bestFit="1" customWidth="1"/>
    <col min="179" max="180" width="12" style="4" bestFit="1" customWidth="1"/>
    <col min="181" max="181" width="28.33203125" style="4" bestFit="1" customWidth="1"/>
    <col min="182" max="182" width="15" style="4" bestFit="1" customWidth="1"/>
    <col min="183" max="183" width="50.44140625" style="4" bestFit="1" customWidth="1"/>
    <col min="184" max="184" width="25.44140625" style="4" bestFit="1" customWidth="1"/>
    <col min="185" max="185" width="23.6640625" style="4" bestFit="1" customWidth="1"/>
    <col min="186" max="186" width="24" style="4" bestFit="1" customWidth="1"/>
    <col min="187" max="187" width="19.33203125" style="4" bestFit="1" customWidth="1"/>
    <col min="188" max="188" width="15.44140625" style="4" bestFit="1" customWidth="1"/>
    <col min="189" max="189" width="35.6640625" style="4" bestFit="1" customWidth="1"/>
    <col min="190" max="190" width="22.88671875" style="4" bestFit="1" customWidth="1"/>
    <col min="191" max="191" width="26" style="4" bestFit="1" customWidth="1"/>
    <col min="192" max="192" width="16.33203125" style="4" bestFit="1" customWidth="1"/>
    <col min="193" max="193" width="26.6640625" style="4" bestFit="1" customWidth="1"/>
    <col min="194" max="194" width="24" style="4" bestFit="1" customWidth="1"/>
    <col min="195" max="195" width="43.44140625" style="4" bestFit="1" customWidth="1"/>
    <col min="196" max="196" width="24.44140625" style="4" bestFit="1" customWidth="1"/>
    <col min="197" max="197" width="23.88671875" style="4" bestFit="1" customWidth="1"/>
    <col min="198" max="198" width="44.44140625" style="4" bestFit="1" customWidth="1"/>
    <col min="199" max="199" width="23.109375" style="4" bestFit="1" customWidth="1"/>
    <col min="200" max="200" width="26.6640625" style="4" bestFit="1" customWidth="1"/>
    <col min="201" max="201" width="13.44140625" style="4" bestFit="1" customWidth="1"/>
    <col min="202" max="202" width="34.33203125" style="4" bestFit="1" customWidth="1"/>
    <col min="203" max="203" width="43.44140625" style="4" bestFit="1" customWidth="1"/>
    <col min="204" max="204" width="25.109375" style="4" bestFit="1" customWidth="1"/>
    <col min="205" max="205" width="45" style="4" bestFit="1" customWidth="1"/>
    <col min="206" max="206" width="33.109375" style="4" bestFit="1" customWidth="1"/>
    <col min="207" max="207" width="19.33203125" style="4" bestFit="1" customWidth="1"/>
    <col min="208" max="208" width="27.88671875" style="4" bestFit="1" customWidth="1"/>
    <col min="209" max="209" width="27.44140625" style="4" bestFit="1" customWidth="1"/>
    <col min="210" max="210" width="19.6640625" style="4" bestFit="1" customWidth="1"/>
    <col min="211" max="211" width="8.109375" style="4" customWidth="1"/>
    <col min="212" max="212" width="13.88671875" style="4" bestFit="1" customWidth="1"/>
    <col min="213" max="213" width="30.6640625" style="4" bestFit="1" customWidth="1"/>
    <col min="214" max="214" width="23.44140625" style="4" bestFit="1" customWidth="1"/>
    <col min="215" max="215" width="14.109375" style="4" bestFit="1" customWidth="1"/>
    <col min="216" max="216" width="11" style="4" customWidth="1"/>
    <col min="217" max="217" width="7.109375" style="4" customWidth="1"/>
    <col min="218" max="218" width="59.44140625" style="4" bestFit="1" customWidth="1"/>
    <col min="219" max="219" width="109.33203125" style="4" bestFit="1" customWidth="1"/>
    <col min="220" max="220" width="20.109375" style="4" bestFit="1" customWidth="1"/>
    <col min="221" max="221" width="33.44140625" style="4" bestFit="1" customWidth="1"/>
    <col min="222" max="222" width="24" style="4" bestFit="1" customWidth="1"/>
    <col min="223" max="223" width="20.109375" style="4" bestFit="1" customWidth="1"/>
    <col min="224" max="224" width="21.88671875" style="4" bestFit="1" customWidth="1"/>
    <col min="225" max="225" width="15.33203125" style="4" bestFit="1" customWidth="1"/>
    <col min="226" max="226" width="24" style="4" bestFit="1" customWidth="1"/>
    <col min="227" max="227" width="7.44140625" style="4" customWidth="1"/>
    <col min="228" max="228" width="8.6640625" style="4" customWidth="1"/>
    <col min="229" max="229" width="20.6640625" style="4" bestFit="1" customWidth="1"/>
    <col min="230" max="230" width="28.109375" style="4" bestFit="1" customWidth="1"/>
    <col min="231" max="231" width="17.33203125" style="4" bestFit="1" customWidth="1"/>
    <col min="232" max="232" width="29.44140625" style="4" bestFit="1" customWidth="1"/>
    <col min="233" max="233" width="140.33203125" style="4" bestFit="1" customWidth="1"/>
    <col min="234" max="234" width="29.44140625" style="4" bestFit="1" customWidth="1"/>
    <col min="235" max="235" width="21" style="4" bestFit="1" customWidth="1"/>
    <col min="236" max="236" width="24.33203125" style="4" bestFit="1" customWidth="1"/>
    <col min="237" max="237" width="17.6640625" style="4" bestFit="1" customWidth="1"/>
    <col min="238" max="238" width="35.44140625" style="4" bestFit="1" customWidth="1"/>
    <col min="239" max="239" width="27.33203125" style="4" bestFit="1" customWidth="1"/>
    <col min="240" max="240" width="45.44140625" style="4" bestFit="1" customWidth="1"/>
    <col min="241" max="241" width="15.33203125" style="4" bestFit="1" customWidth="1"/>
    <col min="242" max="242" width="44.109375" style="4" bestFit="1" customWidth="1"/>
    <col min="243" max="243" width="106.109375" style="4" bestFit="1" customWidth="1"/>
    <col min="244" max="244" width="83" style="4" bestFit="1" customWidth="1"/>
    <col min="245" max="245" width="22.44140625" style="4" bestFit="1" customWidth="1"/>
    <col min="246" max="246" width="22" style="4" bestFit="1" customWidth="1"/>
    <col min="247" max="247" width="18.33203125" style="4" bestFit="1" customWidth="1"/>
    <col min="248" max="248" width="35" style="4" bestFit="1" customWidth="1"/>
    <col min="249" max="249" width="7.44140625" style="4" customWidth="1"/>
    <col min="250" max="250" width="21" style="4" bestFit="1" customWidth="1"/>
    <col min="251" max="251" width="22.44140625" style="4" bestFit="1" customWidth="1"/>
    <col min="252" max="252" width="13.88671875" style="4" bestFit="1" customWidth="1"/>
    <col min="253" max="253" width="27.6640625" style="4" bestFit="1" customWidth="1"/>
    <col min="254" max="254" width="11" style="4" customWidth="1"/>
    <col min="255" max="255" width="7" style="4" customWidth="1"/>
    <col min="256" max="256" width="73" style="4" bestFit="1" customWidth="1"/>
    <col min="257" max="257" width="50.44140625" style="4" bestFit="1" customWidth="1"/>
    <col min="258" max="258" width="44.44140625" style="4" bestFit="1" customWidth="1"/>
    <col min="259" max="259" width="110.6640625" style="4" bestFit="1" customWidth="1"/>
    <col min="260" max="260" width="32.33203125" style="4" bestFit="1" customWidth="1"/>
    <col min="261" max="261" width="43.109375" style="4" bestFit="1" customWidth="1"/>
    <col min="262" max="262" width="41.109375" style="4" bestFit="1" customWidth="1"/>
    <col min="263" max="263" width="137" style="4" bestFit="1" customWidth="1"/>
    <col min="264" max="264" width="99.88671875" style="4" bestFit="1" customWidth="1"/>
    <col min="265" max="265" width="46.33203125" style="4" bestFit="1" customWidth="1"/>
    <col min="266" max="266" width="66" style="4" bestFit="1" customWidth="1"/>
    <col min="267" max="267" width="44.33203125" style="4" bestFit="1" customWidth="1"/>
    <col min="268" max="268" width="19.44140625" style="4" bestFit="1" customWidth="1"/>
    <col min="269" max="269" width="61.6640625" style="4" bestFit="1" customWidth="1"/>
    <col min="270" max="270" width="114.33203125" style="4" bestFit="1" customWidth="1"/>
    <col min="271" max="271" width="56.44140625" style="4" bestFit="1" customWidth="1"/>
    <col min="272" max="272" width="45.109375" style="4" bestFit="1" customWidth="1"/>
    <col min="273" max="273" width="56.44140625" style="4" bestFit="1" customWidth="1"/>
    <col min="274" max="274" width="40.33203125" style="4" bestFit="1" customWidth="1"/>
    <col min="275" max="275" width="44" style="4" bestFit="1" customWidth="1"/>
    <col min="276" max="276" width="65" style="4" bestFit="1" customWidth="1"/>
    <col min="277" max="277" width="19.88671875" style="4" bestFit="1" customWidth="1"/>
    <col min="278" max="278" width="63.44140625" style="4" bestFit="1" customWidth="1"/>
    <col min="279" max="279" width="44.88671875" style="4" bestFit="1" customWidth="1"/>
    <col min="280" max="280" width="34.44140625" style="4" bestFit="1" customWidth="1"/>
    <col min="281" max="281" width="59.44140625" style="4" bestFit="1" customWidth="1"/>
    <col min="282" max="282" width="41.33203125" style="4" bestFit="1" customWidth="1"/>
    <col min="283" max="283" width="34.88671875" style="4" bestFit="1" customWidth="1"/>
    <col min="284" max="284" width="107.109375" style="4" bestFit="1" customWidth="1"/>
    <col min="285" max="285" width="109.33203125" style="4" bestFit="1" customWidth="1"/>
    <col min="286" max="286" width="70.44140625" style="4" bestFit="1" customWidth="1"/>
    <col min="287" max="287" width="79" style="4" bestFit="1" customWidth="1"/>
    <col min="288" max="288" width="53.33203125" style="4" bestFit="1" customWidth="1"/>
    <col min="289" max="289" width="41.44140625" style="4" bestFit="1" customWidth="1"/>
    <col min="290" max="290" width="29.6640625" style="4" bestFit="1" customWidth="1"/>
    <col min="291" max="291" width="82" style="4" bestFit="1" customWidth="1"/>
    <col min="292" max="292" width="30.44140625" style="4" bestFit="1" customWidth="1"/>
    <col min="293" max="293" width="35.44140625" style="4" bestFit="1" customWidth="1"/>
    <col min="294" max="294" width="49.109375" style="4" bestFit="1" customWidth="1"/>
    <col min="295" max="295" width="58.33203125" style="4" bestFit="1" customWidth="1"/>
    <col min="296" max="296" width="50.44140625" style="4" bestFit="1" customWidth="1"/>
    <col min="297" max="297" width="55.44140625" style="4" bestFit="1" customWidth="1"/>
    <col min="298" max="298" width="74.88671875" style="4" bestFit="1" customWidth="1"/>
    <col min="299" max="299" width="45.6640625" style="4" bestFit="1" customWidth="1"/>
    <col min="300" max="300" width="72.33203125" style="4" bestFit="1" customWidth="1"/>
    <col min="301" max="301" width="119.33203125" style="4" bestFit="1" customWidth="1"/>
    <col min="302" max="302" width="49.44140625" style="4" bestFit="1" customWidth="1"/>
    <col min="303" max="303" width="116.33203125" style="4" bestFit="1" customWidth="1"/>
    <col min="304" max="304" width="49.88671875" style="4" bestFit="1" customWidth="1"/>
    <col min="305" max="305" width="25.88671875" style="4" bestFit="1" customWidth="1"/>
    <col min="306" max="306" width="49.88671875" style="4" bestFit="1" customWidth="1"/>
    <col min="307" max="307" width="8.109375" style="4" customWidth="1"/>
    <col min="308" max="308" width="47.109375" style="4" bestFit="1" customWidth="1"/>
    <col min="309" max="309" width="32.6640625" style="4" bestFit="1" customWidth="1"/>
    <col min="310" max="310" width="21" style="4" bestFit="1" customWidth="1"/>
    <col min="311" max="311" width="13.44140625" style="4" bestFit="1" customWidth="1"/>
    <col min="312" max="312" width="19.44140625" style="4" bestFit="1" customWidth="1"/>
    <col min="313" max="313" width="28.88671875" style="4" bestFit="1" customWidth="1"/>
    <col min="314" max="314" width="15.88671875" style="4" bestFit="1" customWidth="1"/>
    <col min="315" max="315" width="74.109375" style="4" bestFit="1" customWidth="1"/>
    <col min="316" max="316" width="14.88671875" style="4" bestFit="1" customWidth="1"/>
    <col min="317" max="317" width="104" style="4" bestFit="1" customWidth="1"/>
    <col min="318" max="318" width="40.88671875" style="4" bestFit="1" customWidth="1"/>
    <col min="319" max="319" width="23" style="4" bestFit="1" customWidth="1"/>
    <col min="320" max="320" width="32.44140625" style="4" bestFit="1" customWidth="1"/>
    <col min="321" max="321" width="39.44140625" style="4" bestFit="1" customWidth="1"/>
    <col min="322" max="322" width="91.44140625" style="4" bestFit="1" customWidth="1"/>
    <col min="323" max="323" width="29.6640625" style="4" bestFit="1" customWidth="1"/>
    <col min="324" max="324" width="80.33203125" style="4" bestFit="1" customWidth="1"/>
    <col min="325" max="325" width="96.88671875" style="4" bestFit="1" customWidth="1"/>
    <col min="326" max="326" width="46.44140625" style="4" bestFit="1" customWidth="1"/>
    <col min="327" max="327" width="57.6640625" style="4" bestFit="1" customWidth="1"/>
    <col min="328" max="328" width="17.88671875" style="4" bestFit="1" customWidth="1"/>
    <col min="329" max="329" width="18.33203125" style="4" bestFit="1" customWidth="1"/>
    <col min="330" max="330" width="62.44140625" style="4" bestFit="1" customWidth="1"/>
    <col min="331" max="331" width="255.6640625" style="4" bestFit="1" customWidth="1"/>
    <col min="332" max="332" width="72.6640625" style="4" bestFit="1" customWidth="1"/>
    <col min="333" max="333" width="28.6640625" style="4" bestFit="1" customWidth="1"/>
    <col min="334" max="334" width="47" style="4" bestFit="1" customWidth="1"/>
    <col min="335" max="335" width="27.44140625" style="4" bestFit="1" customWidth="1"/>
    <col min="336" max="336" width="26.88671875" style="4" bestFit="1" customWidth="1"/>
    <col min="337" max="337" width="35.88671875" style="4" bestFit="1" customWidth="1"/>
    <col min="338" max="338" width="35.6640625" style="4" bestFit="1" customWidth="1"/>
    <col min="339" max="339" width="68.33203125" style="4" bestFit="1" customWidth="1"/>
    <col min="340" max="340" width="43" style="4" bestFit="1" customWidth="1"/>
    <col min="341" max="341" width="13.88671875" style="4" bestFit="1" customWidth="1"/>
    <col min="342" max="342" width="37.33203125" style="4" bestFit="1" customWidth="1"/>
    <col min="343" max="343" width="48.6640625" style="4" bestFit="1" customWidth="1"/>
    <col min="344" max="344" width="11" style="4" customWidth="1"/>
    <col min="345" max="345" width="8.109375" style="4" customWidth="1"/>
    <col min="346" max="346" width="46.6640625" style="4" bestFit="1" customWidth="1"/>
    <col min="347" max="347" width="33.44140625" style="4" bestFit="1" customWidth="1"/>
    <col min="348" max="348" width="24.109375" style="4" bestFit="1" customWidth="1"/>
    <col min="349" max="349" width="25.109375" style="4" bestFit="1" customWidth="1"/>
    <col min="350" max="350" width="6.44140625" style="4" customWidth="1"/>
    <col min="351" max="351" width="13.33203125" style="4" bestFit="1" customWidth="1"/>
    <col min="352" max="352" width="14.44140625" style="4" bestFit="1" customWidth="1"/>
    <col min="353" max="353" width="34.33203125" style="4" bestFit="1" customWidth="1"/>
    <col min="354" max="354" width="39.44140625" style="4" bestFit="1" customWidth="1"/>
    <col min="355" max="355" width="67.88671875" style="4" bestFit="1" customWidth="1"/>
    <col min="356" max="356" width="59.44140625" style="4" bestFit="1" customWidth="1"/>
    <col min="357" max="357" width="38.109375" style="4" bestFit="1" customWidth="1"/>
    <col min="358" max="358" width="48.109375" style="4" bestFit="1" customWidth="1"/>
    <col min="359" max="359" width="13.88671875" style="4" bestFit="1" customWidth="1"/>
    <col min="360" max="360" width="11" style="4" customWidth="1"/>
    <col min="361" max="361" width="8.109375" style="4" customWidth="1"/>
    <col min="362" max="362" width="12.88671875" style="4" bestFit="1" customWidth="1"/>
    <col min="363" max="363" width="15.88671875" style="4" bestFit="1" customWidth="1"/>
    <col min="364" max="364" width="12.44140625" style="4" bestFit="1" customWidth="1"/>
    <col min="365" max="16384" width="11.44140625" style="4"/>
  </cols>
  <sheetData>
    <row r="5" spans="1:26">
      <c r="C5" s="10">
        <v>41852</v>
      </c>
      <c r="D5" s="10">
        <v>41883</v>
      </c>
      <c r="E5" s="10">
        <v>41913</v>
      </c>
      <c r="F5" s="10">
        <v>41944</v>
      </c>
      <c r="G5" s="10">
        <v>41974</v>
      </c>
      <c r="H5" s="10">
        <v>42005</v>
      </c>
      <c r="I5" s="10">
        <v>42036</v>
      </c>
      <c r="J5" s="10">
        <v>42064</v>
      </c>
      <c r="K5" s="10">
        <v>42095</v>
      </c>
      <c r="L5" s="10">
        <v>42125</v>
      </c>
      <c r="M5" s="10">
        <v>42156</v>
      </c>
      <c r="N5" s="10">
        <v>42186</v>
      </c>
      <c r="O5" s="10">
        <v>42217</v>
      </c>
      <c r="P5" s="10">
        <v>42248</v>
      </c>
      <c r="Q5" s="10">
        <v>42278</v>
      </c>
      <c r="R5" s="10">
        <v>42309</v>
      </c>
      <c r="S5" s="10">
        <v>42339</v>
      </c>
      <c r="T5" s="5" t="s">
        <v>78</v>
      </c>
      <c r="U5" s="5" t="s">
        <v>79</v>
      </c>
      <c r="V5" s="5" t="s">
        <v>80</v>
      </c>
      <c r="W5" s="5" t="s">
        <v>81</v>
      </c>
      <c r="X5" s="4" t="s">
        <v>82</v>
      </c>
      <c r="Y5" s="4" t="s">
        <v>83</v>
      </c>
      <c r="Z5" s="4" t="s">
        <v>84</v>
      </c>
    </row>
    <row r="6" spans="1:26" ht="13.8">
      <c r="B6" s="11" t="s">
        <v>85</v>
      </c>
      <c r="C6" s="1" t="e">
        <f>SUMIF(#REF!,8,#REF!)</f>
        <v>#REF!</v>
      </c>
      <c r="D6" s="1" t="e">
        <f>SUMIF(#REF!,9,#REF!)</f>
        <v>#REF!</v>
      </c>
      <c r="E6" s="1" t="e">
        <f>SUMIF(#REF!,10,#REF!)</f>
        <v>#REF!</v>
      </c>
      <c r="F6" s="1" t="e">
        <f>SUMIF(#REF!,11,#REF!)</f>
        <v>#REF!</v>
      </c>
      <c r="G6" s="1" t="e">
        <f>SUMIF(#REF!,12,#REF!)</f>
        <v>#REF!</v>
      </c>
      <c r="H6" s="1" t="e">
        <f>SUMIF(#REF!,1,#REF!)</f>
        <v>#REF!</v>
      </c>
      <c r="I6" s="1" t="e">
        <f>SUMIF(#REF!,2,#REF!)</f>
        <v>#REF!</v>
      </c>
      <c r="J6" s="1" t="e">
        <f>SUMIF(#REF!,3,#REF!)</f>
        <v>#REF!</v>
      </c>
      <c r="K6" s="1" t="e">
        <f>SUMIF(#REF!,4,#REF!)</f>
        <v>#REF!</v>
      </c>
      <c r="L6" s="1" t="e">
        <f>SUMIF(#REF!,5,#REF!)</f>
        <v>#REF!</v>
      </c>
      <c r="M6" s="1" t="e">
        <f>SUMIF(#REF!,6,#REF!)</f>
        <v>#REF!</v>
      </c>
      <c r="N6" s="1" t="e">
        <f>SUMIF(#REF!,7,#REF!)</f>
        <v>#REF!</v>
      </c>
      <c r="O6" s="1" t="e">
        <f>SUMIF(#REF!,8,#REF!)</f>
        <v>#REF!</v>
      </c>
      <c r="P6" s="1" t="e">
        <f>SUMIF(#REF!,9,#REF!)</f>
        <v>#REF!</v>
      </c>
      <c r="Q6" s="1" t="e">
        <f>SUMIF(#REF!,10,#REF!)</f>
        <v>#REF!</v>
      </c>
      <c r="R6" s="1" t="e">
        <f>SUMIF(#REF!,11,#REF!)</f>
        <v>#REF!</v>
      </c>
      <c r="S6" s="1" t="e">
        <f>SUMIF(#REF!,12,#REF!)</f>
        <v>#REF!</v>
      </c>
      <c r="T6" s="1" t="e">
        <f>SUMIF(#REF!,1,#REF!)</f>
        <v>#REF!</v>
      </c>
      <c r="U6" s="1" t="e">
        <f>SUMIF(#REF!,2,#REF!)</f>
        <v>#REF!</v>
      </c>
      <c r="V6" s="1" t="e">
        <f>SUMIF(#REF!,3,#REF!)</f>
        <v>#REF!</v>
      </c>
      <c r="W6" s="1" t="e">
        <f>SUMIF(#REF!,4,#REF!)</f>
        <v>#REF!</v>
      </c>
      <c r="X6" s="1" t="e">
        <f>SUMIF(#REF!,5,#REF!)</f>
        <v>#REF!</v>
      </c>
      <c r="Y6" s="1" t="e">
        <f>SUMIF(#REF!,6,#REF!)</f>
        <v>#REF!</v>
      </c>
      <c r="Z6" s="1" t="e">
        <f>SUMIF(#REF!,7,#REF!)</f>
        <v>#REF!</v>
      </c>
    </row>
    <row r="7" spans="1:26" ht="13.8">
      <c r="A7" s="9"/>
      <c r="B7" s="11" t="s">
        <v>86</v>
      </c>
      <c r="C7" s="13"/>
      <c r="D7" s="13"/>
      <c r="E7" s="13"/>
      <c r="F7" s="13"/>
      <c r="G7" s="2">
        <v>8.1699999999999995E-2</v>
      </c>
      <c r="H7" s="2" t="e">
        <f>SUMIF(#REF!,1,#REF!)/H6</f>
        <v>#REF!</v>
      </c>
      <c r="I7" s="2" t="e">
        <f>SUMIF(#REF!,2,#REF!)/I6</f>
        <v>#REF!</v>
      </c>
      <c r="J7" s="2" t="e">
        <f>SUMIF(#REF!,3,#REF!)/J6</f>
        <v>#REF!</v>
      </c>
      <c r="K7" s="2" t="e">
        <f>SUMIF(#REF!,4,#REF!)/K6</f>
        <v>#REF!</v>
      </c>
      <c r="L7" s="2" t="e">
        <f>SUMIF(#REF!,5,#REF!)/L6</f>
        <v>#REF!</v>
      </c>
      <c r="M7" s="2" t="e">
        <f>SUMIF(#REF!,6,#REF!)/M6</f>
        <v>#REF!</v>
      </c>
      <c r="N7" s="2" t="e">
        <f>SUMIF(#REF!,7,#REF!)/N6</f>
        <v>#REF!</v>
      </c>
      <c r="O7" s="2" t="e">
        <f>SUMIF(#REF!,8,#REF!)/O6</f>
        <v>#REF!</v>
      </c>
      <c r="P7" s="2" t="e">
        <f>SUMIF(#REF!,9,#REF!)/P6</f>
        <v>#REF!</v>
      </c>
      <c r="Q7" s="2" t="e">
        <f>SUMIF(#REF!,10,#REF!)/Q6</f>
        <v>#REF!</v>
      </c>
      <c r="R7" s="2" t="e">
        <f>SUMIF(#REF!,11,#REF!)/R6</f>
        <v>#REF!</v>
      </c>
      <c r="S7" s="2" t="e">
        <f>SUMIF(#REF!,12,#REF!)/S6</f>
        <v>#REF!</v>
      </c>
      <c r="T7" s="2" t="e">
        <f>SUMIF(#REF!,1,#REF!)/T6</f>
        <v>#REF!</v>
      </c>
      <c r="U7" s="2" t="e">
        <f>SUMIF(#REF!,2,#REF!)/U6</f>
        <v>#REF!</v>
      </c>
      <c r="V7" s="2" t="e">
        <f>SUMIF(#REF!,3,#REF!)/V6</f>
        <v>#REF!</v>
      </c>
      <c r="W7" s="2" t="e">
        <f>SUMIF(#REF!,4,#REF!)/W6</f>
        <v>#REF!</v>
      </c>
      <c r="X7" s="2" t="e">
        <f>SUMIF(#REF!,5,#REF!)/X6</f>
        <v>#REF!</v>
      </c>
      <c r="Y7" s="2" t="e">
        <f>SUMIF(#REF!,6,#REF!)/Y6</f>
        <v>#REF!</v>
      </c>
      <c r="Z7" s="2" t="e">
        <f>SUMIF(#REF!,7,#REF!)/Z6</f>
        <v>#REF!</v>
      </c>
    </row>
    <row r="8" spans="1:26" ht="13.8">
      <c r="B8" s="11" t="s">
        <v>87</v>
      </c>
      <c r="C8" s="13"/>
      <c r="D8" s="13"/>
      <c r="E8" s="13"/>
      <c r="F8" s="13"/>
      <c r="G8" s="2">
        <v>0.1648</v>
      </c>
      <c r="H8" s="2"/>
      <c r="I8" s="2" t="e">
        <f>SUMIF(#REF!,2,#REF!)/I6</f>
        <v>#REF!</v>
      </c>
      <c r="J8" s="2" t="e">
        <f>SUMIF(#REF!,3,#REF!)/J6</f>
        <v>#REF!</v>
      </c>
      <c r="K8" s="2" t="e">
        <f>SUMIF(#REF!,4,#REF!)/K6</f>
        <v>#REF!</v>
      </c>
      <c r="L8" s="2" t="e">
        <f>SUMIF(#REF!,5,#REF!)/L6</f>
        <v>#REF!</v>
      </c>
      <c r="M8" s="2" t="e">
        <f>SUMIF(#REF!,6,#REF!)/M6</f>
        <v>#REF!</v>
      </c>
      <c r="N8" s="2" t="e">
        <f>SUMIF(#REF!,7,#REF!)/N6</f>
        <v>#REF!</v>
      </c>
      <c r="O8" s="2" t="e">
        <f>SUMIF(#REF!,8,#REF!)/O6</f>
        <v>#REF!</v>
      </c>
      <c r="P8" s="2" t="e">
        <f>SUMIF(#REF!,9,#REF!)/P6</f>
        <v>#REF!</v>
      </c>
      <c r="Q8" s="2" t="e">
        <f>SUMIF(#REF!,10,#REF!)/Q6</f>
        <v>#REF!</v>
      </c>
      <c r="R8" s="2" t="e">
        <f>SUMIF(#REF!,11,#REF!)/R6</f>
        <v>#REF!</v>
      </c>
      <c r="S8" s="2" t="e">
        <f>SUMIF(#REF!,12,#REF!)/S6</f>
        <v>#REF!</v>
      </c>
      <c r="T8" s="2" t="e">
        <f>SUMIF(#REF!,1,#REF!)/T6</f>
        <v>#REF!</v>
      </c>
      <c r="U8" s="2" t="e">
        <f>SUMIF(#REF!,2,#REF!)/U6</f>
        <v>#REF!</v>
      </c>
      <c r="V8" s="2" t="e">
        <f>SUMIF(#REF!,3,#REF!)/V6</f>
        <v>#REF!</v>
      </c>
      <c r="W8" s="2" t="e">
        <f>SUMIF(#REF!,4,#REF!)/W6</f>
        <v>#REF!</v>
      </c>
      <c r="X8" s="2" t="e">
        <f>SUMIF(#REF!,5,#REF!)/X6</f>
        <v>#REF!</v>
      </c>
      <c r="Y8" s="2" t="e">
        <f>SUMIF(#REF!,6,#REF!)/Y6</f>
        <v>#REF!</v>
      </c>
      <c r="Z8" s="2" t="e">
        <f>SUMIF(#REF!,7,#REF!)/Z6</f>
        <v>#REF!</v>
      </c>
    </row>
    <row r="9" spans="1:26" ht="13.8">
      <c r="B9" s="11" t="s">
        <v>88</v>
      </c>
      <c r="C9" s="13"/>
      <c r="D9" s="13"/>
      <c r="E9" s="13"/>
      <c r="F9" s="13"/>
      <c r="G9" s="2">
        <v>4.7000000000000002E-3</v>
      </c>
      <c r="H9" s="2" t="e">
        <f>SUMIF(#REF!,1,#REF!)/H6</f>
        <v>#REF!</v>
      </c>
      <c r="I9" s="2" t="e">
        <f>SUMIF(#REF!,2,#REF!)/I6</f>
        <v>#REF!</v>
      </c>
      <c r="J9" s="2" t="e">
        <f>SUMIF(#REF!,3,#REF!)/J6</f>
        <v>#REF!</v>
      </c>
      <c r="K9" s="2" t="e">
        <f>SUMIF(#REF!,4,#REF!)/K6</f>
        <v>#REF!</v>
      </c>
      <c r="L9" s="2" t="e">
        <f>SUMIF(#REF!,5,#REF!)/L6</f>
        <v>#REF!</v>
      </c>
      <c r="M9" s="2" t="e">
        <f>SUMIF(#REF!,6,#REF!)/M6</f>
        <v>#REF!</v>
      </c>
      <c r="N9" s="2" t="e">
        <f>SUMIF(#REF!,7,#REF!)/N6</f>
        <v>#REF!</v>
      </c>
      <c r="O9" s="2" t="e">
        <f>SUMIF(#REF!,8,#REF!)/O6</f>
        <v>#REF!</v>
      </c>
      <c r="P9" s="2" t="e">
        <f>SUMIF(#REF!,8,#REF!)/P6</f>
        <v>#REF!</v>
      </c>
      <c r="Q9" s="2" t="e">
        <f>SUMIF(#REF!,10,#REF!)/Q6</f>
        <v>#REF!</v>
      </c>
      <c r="R9" s="2" t="e">
        <f>SUMIF(#REF!,11,#REF!)/R6</f>
        <v>#REF!</v>
      </c>
      <c r="S9" s="2" t="e">
        <f>SUMIF(#REF!,12,#REF!)/S6</f>
        <v>#REF!</v>
      </c>
      <c r="T9" s="2" t="e">
        <f>SUMIF(#REF!,1,#REF!)/T6</f>
        <v>#REF!</v>
      </c>
      <c r="U9" s="2" t="e">
        <f>SUMIF(#REF!,2,#REF!)/U6</f>
        <v>#REF!</v>
      </c>
      <c r="V9" s="2" t="e">
        <f>SUMIF(#REF!,3,#REF!)/V6</f>
        <v>#REF!</v>
      </c>
      <c r="W9" s="2" t="e">
        <f>SUMIF(#REF!,4,#REF!)/W6</f>
        <v>#REF!</v>
      </c>
      <c r="X9" s="2" t="e">
        <f>SUMIF(#REF!,5,#REF!)/X6</f>
        <v>#REF!</v>
      </c>
      <c r="Y9" s="2" t="e">
        <f>SUMIF(#REF!,6,#REF!)/Y6</f>
        <v>#REF!</v>
      </c>
      <c r="Z9" s="2" t="e">
        <f>SUMIF(#REF!,7,#REF!)/Z6</f>
        <v>#REF!</v>
      </c>
    </row>
    <row r="10" spans="1:26" ht="13.8">
      <c r="B10" s="11" t="s">
        <v>89</v>
      </c>
      <c r="C10" s="7"/>
      <c r="D10" s="7"/>
      <c r="E10" s="7"/>
      <c r="F10" s="7"/>
      <c r="G10" s="7">
        <f t="shared" ref="G10:K10" si="0">SUM(G8:G9)</f>
        <v>0.16950000000000001</v>
      </c>
      <c r="H10" s="7" t="e">
        <f t="shared" si="0"/>
        <v>#REF!</v>
      </c>
      <c r="I10" s="7" t="e">
        <f t="shared" si="0"/>
        <v>#REF!</v>
      </c>
      <c r="J10" s="7" t="e">
        <f t="shared" si="0"/>
        <v>#REF!</v>
      </c>
      <c r="K10" s="7" t="e">
        <f t="shared" si="0"/>
        <v>#REF!</v>
      </c>
      <c r="L10" s="7" t="e">
        <f t="shared" ref="L10:P10" si="1">SUM(L8:L9)</f>
        <v>#REF!</v>
      </c>
      <c r="M10" s="7" t="e">
        <f t="shared" si="1"/>
        <v>#REF!</v>
      </c>
      <c r="N10" s="7" t="e">
        <f t="shared" si="1"/>
        <v>#REF!</v>
      </c>
      <c r="O10" s="7" t="e">
        <f t="shared" si="1"/>
        <v>#REF!</v>
      </c>
      <c r="P10" s="7" t="e">
        <f t="shared" si="1"/>
        <v>#REF!</v>
      </c>
      <c r="Q10" s="7" t="e">
        <f t="shared" ref="Q10:V10" si="2">SUM(Q8:Q9)</f>
        <v>#REF!</v>
      </c>
      <c r="R10" s="7" t="e">
        <f t="shared" si="2"/>
        <v>#REF!</v>
      </c>
      <c r="S10" s="7" t="e">
        <f t="shared" si="2"/>
        <v>#REF!</v>
      </c>
      <c r="T10" s="7" t="e">
        <f t="shared" si="2"/>
        <v>#REF!</v>
      </c>
      <c r="U10" s="7" t="e">
        <f t="shared" si="2"/>
        <v>#REF!</v>
      </c>
      <c r="V10" s="7" t="e">
        <f t="shared" si="2"/>
        <v>#REF!</v>
      </c>
      <c r="W10" s="7" t="e">
        <f>SUM(W8:W9)</f>
        <v>#REF!</v>
      </c>
      <c r="X10" s="7" t="e">
        <f>SUM(X8:X9)</f>
        <v>#REF!</v>
      </c>
      <c r="Y10" s="7" t="e">
        <f>SUM(Y8:Y9)</f>
        <v>#REF!</v>
      </c>
      <c r="Z10" s="7" t="e">
        <f>SUM(Z8:Z9)</f>
        <v>#REF!</v>
      </c>
    </row>
    <row r="11" spans="1:26" ht="13.8">
      <c r="B11" s="11" t="s">
        <v>90</v>
      </c>
      <c r="C11" s="7">
        <v>0.21048639423532758</v>
      </c>
      <c r="D11" s="7">
        <v>0.25246851745850024</v>
      </c>
      <c r="E11" s="7">
        <v>0.30632437586072964</v>
      </c>
      <c r="F11" s="7">
        <v>0.28676731164504926</v>
      </c>
      <c r="G11" s="7">
        <f t="shared" ref="G11" si="3">SUM(G7:G9)</f>
        <v>0.25119999999999998</v>
      </c>
      <c r="H11" s="7" t="e">
        <f t="shared" ref="H11:K11" si="4">SUM(H7:H9)</f>
        <v>#REF!</v>
      </c>
      <c r="I11" s="7" t="e">
        <f t="shared" si="4"/>
        <v>#REF!</v>
      </c>
      <c r="J11" s="7" t="e">
        <f t="shared" si="4"/>
        <v>#REF!</v>
      </c>
      <c r="K11" s="7" t="e">
        <f t="shared" si="4"/>
        <v>#REF!</v>
      </c>
      <c r="L11" s="7" t="e">
        <f t="shared" ref="L11:R11" si="5">SUM(L7:L9)</f>
        <v>#REF!</v>
      </c>
      <c r="M11" s="7" t="e">
        <f t="shared" si="5"/>
        <v>#REF!</v>
      </c>
      <c r="N11" s="7" t="e">
        <f t="shared" si="5"/>
        <v>#REF!</v>
      </c>
      <c r="O11" s="7" t="e">
        <f t="shared" si="5"/>
        <v>#REF!</v>
      </c>
      <c r="P11" s="7" t="e">
        <f t="shared" si="5"/>
        <v>#REF!</v>
      </c>
      <c r="Q11" s="7" t="e">
        <f t="shared" si="5"/>
        <v>#REF!</v>
      </c>
      <c r="R11" s="7" t="e">
        <f t="shared" si="5"/>
        <v>#REF!</v>
      </c>
      <c r="S11" s="7" t="e">
        <f t="shared" ref="S11:X11" si="6">SUM(S7:S9)</f>
        <v>#REF!</v>
      </c>
      <c r="T11" s="7" t="e">
        <f t="shared" si="6"/>
        <v>#REF!</v>
      </c>
      <c r="U11" s="7" t="e">
        <f t="shared" si="6"/>
        <v>#REF!</v>
      </c>
      <c r="V11" s="7" t="e">
        <f t="shared" si="6"/>
        <v>#REF!</v>
      </c>
      <c r="W11" s="7" t="e">
        <f t="shared" si="6"/>
        <v>#REF!</v>
      </c>
      <c r="X11" s="7" t="e">
        <f t="shared" si="6"/>
        <v>#REF!</v>
      </c>
      <c r="Y11" s="7" t="e">
        <f t="shared" ref="Y11" si="7">SUM(Y7:Y9)</f>
        <v>#REF!</v>
      </c>
      <c r="Z11" s="7" t="e">
        <f>SUM(Z7:Z9)</f>
        <v>#REF!</v>
      </c>
    </row>
    <row r="12" spans="1:26" ht="13.8">
      <c r="B12" s="11" t="s">
        <v>91</v>
      </c>
      <c r="C12" s="3">
        <v>0.1</v>
      </c>
      <c r="D12" s="3">
        <v>0.1</v>
      </c>
      <c r="E12" s="3">
        <v>0.1</v>
      </c>
      <c r="F12" s="3">
        <v>0.1</v>
      </c>
      <c r="G12" s="3">
        <v>0.1</v>
      </c>
      <c r="H12" s="3">
        <v>0.1</v>
      </c>
      <c r="I12" s="3">
        <v>0.1</v>
      </c>
      <c r="J12" s="3">
        <v>0.1</v>
      </c>
      <c r="K12" s="3">
        <v>0.1</v>
      </c>
      <c r="L12" s="3">
        <v>0.1</v>
      </c>
      <c r="M12" s="3">
        <v>0.1</v>
      </c>
      <c r="N12" s="3">
        <v>0.1</v>
      </c>
      <c r="O12" s="3">
        <v>0.1</v>
      </c>
      <c r="P12" s="3">
        <v>0.1</v>
      </c>
      <c r="Q12" s="3">
        <v>0.1</v>
      </c>
      <c r="R12" s="3">
        <v>0.1</v>
      </c>
      <c r="S12" s="3">
        <v>0.1</v>
      </c>
      <c r="T12" s="3">
        <v>0.1</v>
      </c>
      <c r="U12" s="3">
        <v>0.1</v>
      </c>
      <c r="V12" s="3">
        <v>0.1</v>
      </c>
      <c r="W12" s="3">
        <v>0.1</v>
      </c>
      <c r="X12" s="3">
        <v>0.1</v>
      </c>
      <c r="Y12" s="3">
        <v>0.1</v>
      </c>
      <c r="Z12" s="3">
        <v>0.1</v>
      </c>
    </row>
    <row r="29" spans="11:15">
      <c r="K29" s="2"/>
      <c r="L29" s="2"/>
      <c r="M29" s="2"/>
      <c r="N29" s="2"/>
      <c r="O29" s="6">
        <f>100+N29</f>
        <v>100</v>
      </c>
    </row>
    <row r="30" spans="11:15">
      <c r="K30" s="2"/>
      <c r="L30" s="2"/>
      <c r="M30" s="2"/>
      <c r="N30" s="2"/>
    </row>
    <row r="37" spans="2:12">
      <c r="J37" s="1"/>
      <c r="K37" s="1"/>
      <c r="L37" s="1"/>
    </row>
    <row r="38" spans="2:12">
      <c r="B38" s="38" t="s">
        <v>92</v>
      </c>
      <c r="C38" s="6">
        <v>2016</v>
      </c>
      <c r="J38" s="1"/>
      <c r="K38" s="1"/>
      <c r="L38" s="1"/>
    </row>
    <row r="39" spans="2:12">
      <c r="B39" s="38" t="s">
        <v>93</v>
      </c>
      <c r="C39" s="4" t="s">
        <v>94</v>
      </c>
      <c r="J39" s="1"/>
      <c r="K39" s="1"/>
      <c r="L39" s="1"/>
    </row>
    <row r="40" spans="2:12">
      <c r="B40" s="38" t="s">
        <v>0</v>
      </c>
      <c r="C40" s="4" t="s">
        <v>95</v>
      </c>
      <c r="J40" s="1"/>
      <c r="K40" s="1"/>
      <c r="L40" s="1"/>
    </row>
    <row r="41" spans="2:12">
      <c r="J41" s="1"/>
      <c r="K41" s="1"/>
      <c r="L41" s="1"/>
    </row>
    <row r="42" spans="2:12" ht="14.4">
      <c r="B42" s="38" t="s">
        <v>96</v>
      </c>
      <c r="C42" s="38" t="s">
        <v>97</v>
      </c>
      <c r="E42"/>
      <c r="F42"/>
      <c r="G42"/>
      <c r="H42"/>
      <c r="I42"/>
      <c r="J42"/>
      <c r="K42" s="1"/>
      <c r="L42" s="1"/>
    </row>
    <row r="43" spans="2:12" ht="14.4">
      <c r="B43" s="38" t="s">
        <v>98</v>
      </c>
      <c r="C43" s="4">
        <v>7</v>
      </c>
      <c r="D43" s="4" t="s">
        <v>99</v>
      </c>
      <c r="E43"/>
      <c r="F43"/>
      <c r="G43"/>
      <c r="H43"/>
      <c r="I43"/>
      <c r="J43"/>
      <c r="K43" s="1"/>
      <c r="L43" s="1"/>
    </row>
    <row r="44" spans="2:12" ht="14.4">
      <c r="B44" s="4" t="s">
        <v>100</v>
      </c>
      <c r="C44" s="1">
        <v>8.0833333333333339</v>
      </c>
      <c r="D44" s="1">
        <v>8.0833333333333339</v>
      </c>
      <c r="E44" s="14" t="e">
        <f>+GETPIVOTDATA("DURACIÓN (h)",$C$44,"EQUIPO","Desfrutador")/SUM($D$44:$D$58)</f>
        <v>#REF!</v>
      </c>
      <c r="F44"/>
      <c r="G44"/>
      <c r="H44"/>
      <c r="I44"/>
      <c r="J44"/>
      <c r="K44" s="1"/>
      <c r="L44" s="1"/>
    </row>
    <row r="45" spans="2:12" ht="14.4">
      <c r="B45" s="4" t="s">
        <v>101</v>
      </c>
      <c r="C45" s="1">
        <v>4.083333333333333</v>
      </c>
      <c r="D45" s="1">
        <v>4.083333333333333</v>
      </c>
      <c r="E45" s="14"/>
      <c r="F45"/>
      <c r="G45"/>
      <c r="H45"/>
      <c r="I45"/>
      <c r="J45"/>
      <c r="K45" s="1"/>
      <c r="L45" s="1"/>
    </row>
    <row r="46" spans="2:12" ht="14.4">
      <c r="B46" s="4" t="s">
        <v>102</v>
      </c>
      <c r="C46" s="1">
        <v>3.8833333333333333</v>
      </c>
      <c r="D46" s="1">
        <v>3.8833333333333333</v>
      </c>
      <c r="E46" s="14"/>
      <c r="F46"/>
      <c r="G46"/>
      <c r="H46"/>
      <c r="I46"/>
      <c r="J46"/>
      <c r="K46" s="1"/>
      <c r="L46" s="1"/>
    </row>
    <row r="47" spans="2:12" ht="14.4">
      <c r="B47" s="4" t="s">
        <v>103</v>
      </c>
      <c r="C47" s="1">
        <v>1.4166666666666667</v>
      </c>
      <c r="D47" s="1">
        <v>1.4166666666666667</v>
      </c>
      <c r="E47" s="14"/>
      <c r="F47"/>
      <c r="G47"/>
      <c r="H47"/>
      <c r="I47"/>
      <c r="J47"/>
      <c r="K47" s="1"/>
      <c r="L47" s="1"/>
    </row>
    <row r="48" spans="2:12" ht="14.4">
      <c r="B48" s="4" t="s">
        <v>104</v>
      </c>
      <c r="C48" s="1">
        <v>1.3833333333333333</v>
      </c>
      <c r="D48" s="1">
        <v>1.3833333333333333</v>
      </c>
      <c r="E48" s="14"/>
      <c r="F48"/>
      <c r="G48"/>
      <c r="H48"/>
      <c r="I48"/>
      <c r="J48"/>
      <c r="K48" s="1"/>
      <c r="L48" s="1"/>
    </row>
    <row r="49" spans="2:12" ht="14.4">
      <c r="B49" s="4" t="s">
        <v>105</v>
      </c>
      <c r="C49" s="1">
        <v>0.7</v>
      </c>
      <c r="D49" s="1">
        <v>0.7</v>
      </c>
      <c r="E49" s="14"/>
      <c r="F49"/>
      <c r="G49"/>
      <c r="H49"/>
      <c r="I49"/>
      <c r="J49"/>
      <c r="K49" s="1"/>
      <c r="L49" s="1"/>
    </row>
    <row r="50" spans="2:12" ht="14.4">
      <c r="B50" s="4" t="s">
        <v>106</v>
      </c>
      <c r="C50" s="1">
        <v>0.6166666666666667</v>
      </c>
      <c r="D50" s="1">
        <v>0.6166666666666667</v>
      </c>
      <c r="E50" s="14"/>
      <c r="F50"/>
      <c r="G50"/>
      <c r="H50"/>
      <c r="I50"/>
      <c r="J50"/>
      <c r="K50" s="1"/>
      <c r="L50" s="1"/>
    </row>
    <row r="51" spans="2:12" ht="14.4">
      <c r="B51" s="4" t="s">
        <v>107</v>
      </c>
      <c r="C51" s="1">
        <v>0.53333333333333333</v>
      </c>
      <c r="D51" s="1">
        <v>0.53333333333333333</v>
      </c>
      <c r="E51" s="14"/>
      <c r="F51"/>
      <c r="G51"/>
      <c r="H51"/>
      <c r="I51"/>
      <c r="J51"/>
      <c r="K51" s="1"/>
      <c r="L51" s="1"/>
    </row>
    <row r="52" spans="2:12" ht="14.4">
      <c r="B52" s="4" t="s">
        <v>108</v>
      </c>
      <c r="C52" s="1">
        <v>0.5</v>
      </c>
      <c r="D52" s="1">
        <v>0.5</v>
      </c>
      <c r="E52" s="14"/>
      <c r="F52"/>
      <c r="G52"/>
      <c r="H52"/>
      <c r="I52"/>
      <c r="J52"/>
      <c r="K52" s="1"/>
      <c r="L52" s="1"/>
    </row>
    <row r="53" spans="2:12" ht="14.4">
      <c r="B53" s="4" t="s">
        <v>109</v>
      </c>
      <c r="C53" s="1">
        <v>0.43333333333333335</v>
      </c>
      <c r="D53" s="1">
        <v>0.43333333333333335</v>
      </c>
      <c r="E53" s="14"/>
      <c r="F53"/>
      <c r="G53"/>
      <c r="H53"/>
      <c r="I53"/>
      <c r="J53"/>
      <c r="K53" s="1"/>
      <c r="L53" s="1"/>
    </row>
    <row r="54" spans="2:12" ht="14.4">
      <c r="B54" s="4" t="s">
        <v>110</v>
      </c>
      <c r="C54" s="1">
        <v>0.41666666666666669</v>
      </c>
      <c r="D54" s="1">
        <v>0.41666666666666669</v>
      </c>
      <c r="E54" s="14"/>
      <c r="F54"/>
      <c r="G54"/>
      <c r="H54"/>
      <c r="I54"/>
      <c r="J54"/>
    </row>
    <row r="55" spans="2:12" ht="14.4">
      <c r="B55" s="4" t="s">
        <v>111</v>
      </c>
      <c r="C55" s="1">
        <v>7.4999999999999997E-2</v>
      </c>
      <c r="D55" s="1">
        <v>7.4999999999999997E-2</v>
      </c>
      <c r="E55" s="14"/>
      <c r="F55"/>
      <c r="G55"/>
      <c r="H55"/>
      <c r="I55"/>
      <c r="J55"/>
    </row>
    <row r="56" spans="2:12" ht="14.4">
      <c r="B56" s="12" t="s">
        <v>99</v>
      </c>
      <c r="C56" s="1">
        <v>22.125</v>
      </c>
      <c r="D56" s="1">
        <v>22.125</v>
      </c>
      <c r="E56" s="14"/>
      <c r="F56"/>
      <c r="G56"/>
      <c r="H56"/>
      <c r="I56"/>
      <c r="J56"/>
    </row>
    <row r="57" spans="2:12" ht="14.4">
      <c r="B57"/>
      <c r="C57"/>
      <c r="D57"/>
      <c r="E57" s="14"/>
      <c r="F57"/>
      <c r="G57"/>
      <c r="H57"/>
      <c r="I57"/>
      <c r="J57"/>
    </row>
    <row r="58" spans="2:12" ht="14.4">
      <c r="B58"/>
      <c r="C58"/>
      <c r="D58"/>
      <c r="E58" s="14"/>
      <c r="F58"/>
      <c r="G58"/>
      <c r="H58"/>
      <c r="I58"/>
      <c r="J58"/>
    </row>
    <row r="59" spans="2:12" ht="14.4">
      <c r="B59"/>
      <c r="C59"/>
      <c r="D59"/>
      <c r="E59"/>
      <c r="F59"/>
      <c r="G59"/>
      <c r="H59"/>
      <c r="I59"/>
      <c r="J59"/>
    </row>
    <row r="60" spans="2:12" ht="14.4">
      <c r="B60"/>
      <c r="C60"/>
      <c r="D60"/>
      <c r="E60"/>
      <c r="F60"/>
      <c r="G60"/>
      <c r="H60"/>
      <c r="I60"/>
      <c r="J60"/>
    </row>
    <row r="61" spans="2:12" ht="14.4">
      <c r="B61"/>
      <c r="C61"/>
      <c r="D61"/>
      <c r="E61"/>
      <c r="F61"/>
      <c r="G61"/>
      <c r="H61"/>
      <c r="I61"/>
      <c r="J61"/>
    </row>
    <row r="62" spans="2:12" ht="14.4">
      <c r="B62"/>
      <c r="C62"/>
      <c r="D62"/>
      <c r="E62"/>
      <c r="F62"/>
      <c r="G62"/>
      <c r="H62"/>
      <c r="I62"/>
      <c r="J62"/>
    </row>
    <row r="63" spans="2:12" ht="14.4">
      <c r="B63"/>
      <c r="C63"/>
      <c r="D63"/>
      <c r="E63"/>
      <c r="F63"/>
      <c r="G63"/>
      <c r="H63"/>
      <c r="I63"/>
      <c r="J63"/>
    </row>
    <row r="64" spans="2:12" ht="14.4">
      <c r="B64"/>
      <c r="C64"/>
      <c r="D64"/>
      <c r="E64"/>
      <c r="F64"/>
      <c r="G64"/>
      <c r="H64"/>
      <c r="I64"/>
      <c r="J64"/>
    </row>
    <row r="65" spans="2:10" ht="14.4">
      <c r="B65"/>
      <c r="C65"/>
      <c r="D65"/>
      <c r="E65"/>
      <c r="F65"/>
      <c r="G65"/>
      <c r="H65"/>
      <c r="I65"/>
      <c r="J65"/>
    </row>
    <row r="66" spans="2:10" ht="14.4">
      <c r="B66"/>
      <c r="C66"/>
      <c r="D66"/>
      <c r="E66"/>
      <c r="F66"/>
      <c r="G66"/>
      <c r="H66"/>
      <c r="I66"/>
      <c r="J66"/>
    </row>
    <row r="67" spans="2:10" ht="14.4">
      <c r="B67"/>
      <c r="C67"/>
      <c r="D67"/>
      <c r="E67"/>
      <c r="F67"/>
      <c r="G67"/>
      <c r="H67"/>
      <c r="I67"/>
      <c r="J67"/>
    </row>
    <row r="68" spans="2:10" ht="14.4">
      <c r="B68"/>
      <c r="C68"/>
      <c r="D68"/>
      <c r="E68"/>
      <c r="F68"/>
      <c r="G68"/>
      <c r="H68"/>
      <c r="I68"/>
      <c r="J68"/>
    </row>
    <row r="69" spans="2:10" ht="14.4">
      <c r="B69"/>
      <c r="C69"/>
      <c r="D69"/>
      <c r="E69"/>
      <c r="F69"/>
      <c r="G69"/>
      <c r="H69"/>
      <c r="I69"/>
      <c r="J69"/>
    </row>
    <row r="70" spans="2:10" ht="14.4">
      <c r="B70"/>
      <c r="C70"/>
      <c r="D70"/>
      <c r="E70"/>
      <c r="F70"/>
      <c r="G70"/>
      <c r="H70"/>
      <c r="I70"/>
      <c r="J70"/>
    </row>
    <row r="71" spans="2:10" ht="14.4">
      <c r="B71"/>
      <c r="C71"/>
      <c r="D71"/>
      <c r="E71"/>
      <c r="F71"/>
      <c r="G71"/>
      <c r="H71"/>
      <c r="I71"/>
      <c r="J71"/>
    </row>
    <row r="72" spans="2:10" ht="14.4">
      <c r="B72"/>
      <c r="C72"/>
      <c r="D72"/>
      <c r="E72"/>
      <c r="F72"/>
      <c r="G72"/>
      <c r="H72"/>
      <c r="I72"/>
      <c r="J72"/>
    </row>
    <row r="73" spans="2:10" ht="14.4">
      <c r="B73"/>
      <c r="C73"/>
      <c r="D73"/>
      <c r="E73"/>
      <c r="F73"/>
      <c r="G73"/>
      <c r="H73"/>
      <c r="I73"/>
      <c r="J73"/>
    </row>
    <row r="74" spans="2:10" ht="14.4">
      <c r="B74"/>
      <c r="C74"/>
      <c r="D74"/>
      <c r="E74"/>
      <c r="F74"/>
      <c r="G74"/>
      <c r="H74"/>
      <c r="I74"/>
      <c r="J74"/>
    </row>
    <row r="75" spans="2:10" ht="14.4">
      <c r="B75"/>
      <c r="C75"/>
      <c r="D75"/>
      <c r="E75"/>
      <c r="F75"/>
      <c r="G75"/>
      <c r="H75"/>
      <c r="I75"/>
      <c r="J75"/>
    </row>
    <row r="76" spans="2:10" ht="14.4">
      <c r="B76"/>
      <c r="C76"/>
      <c r="D76"/>
      <c r="E76"/>
      <c r="F76"/>
      <c r="G76"/>
      <c r="H76"/>
      <c r="I76"/>
      <c r="J76"/>
    </row>
    <row r="77" spans="2:10" ht="14.4">
      <c r="B77"/>
      <c r="C77"/>
      <c r="D77"/>
      <c r="E77"/>
      <c r="F77"/>
      <c r="G77"/>
      <c r="H77"/>
      <c r="I77"/>
      <c r="J77"/>
    </row>
    <row r="78" spans="2:10" ht="14.4">
      <c r="B78"/>
      <c r="C78"/>
      <c r="D78"/>
      <c r="E78"/>
      <c r="F78"/>
      <c r="G78"/>
      <c r="H78"/>
      <c r="I78"/>
      <c r="J78"/>
    </row>
    <row r="79" spans="2:10" ht="14.4">
      <c r="B79"/>
      <c r="C79"/>
      <c r="D79"/>
      <c r="E79"/>
      <c r="F79"/>
      <c r="G79"/>
      <c r="H79"/>
      <c r="I79"/>
      <c r="J79"/>
    </row>
    <row r="80" spans="2:10" ht="14.4">
      <c r="B80"/>
      <c r="C80"/>
      <c r="D80"/>
      <c r="E80"/>
      <c r="F80"/>
      <c r="G80"/>
      <c r="H80"/>
      <c r="I80"/>
      <c r="J80"/>
    </row>
    <row r="81" spans="2:10" ht="14.4">
      <c r="B81"/>
      <c r="C81"/>
      <c r="D81"/>
      <c r="E81"/>
      <c r="F81"/>
      <c r="G81"/>
      <c r="H81"/>
      <c r="I81"/>
      <c r="J81"/>
    </row>
    <row r="82" spans="2:10" ht="14.4">
      <c r="B82"/>
      <c r="C82"/>
      <c r="D82"/>
      <c r="E82"/>
      <c r="F82"/>
      <c r="G82"/>
      <c r="H82"/>
      <c r="I82"/>
      <c r="J82"/>
    </row>
    <row r="83" spans="2:10" ht="14.4">
      <c r="B83"/>
      <c r="C83"/>
      <c r="D83"/>
      <c r="E83"/>
      <c r="F83"/>
      <c r="G83"/>
      <c r="H83"/>
      <c r="I83"/>
      <c r="J83"/>
    </row>
    <row r="84" spans="2:10" ht="14.4">
      <c r="B84"/>
      <c r="C84"/>
      <c r="D84"/>
      <c r="E84"/>
      <c r="F84"/>
      <c r="G84"/>
      <c r="H84"/>
      <c r="I84"/>
      <c r="J84"/>
    </row>
    <row r="85" spans="2:10" ht="14.4">
      <c r="B85"/>
      <c r="C85"/>
      <c r="D85"/>
      <c r="E85"/>
      <c r="F85"/>
      <c r="G85"/>
      <c r="H85"/>
      <c r="I85"/>
      <c r="J85"/>
    </row>
    <row r="86" spans="2:10" ht="14.4">
      <c r="B86"/>
      <c r="C86"/>
      <c r="D86"/>
      <c r="E86"/>
      <c r="F86"/>
      <c r="G86"/>
      <c r="H86"/>
      <c r="I86"/>
      <c r="J86"/>
    </row>
    <row r="87" spans="2:10" ht="14.4">
      <c r="B87"/>
      <c r="C87"/>
      <c r="D87"/>
      <c r="E87"/>
      <c r="F87"/>
      <c r="G87"/>
      <c r="H87"/>
      <c r="I87"/>
      <c r="J87"/>
    </row>
    <row r="88" spans="2:10" ht="14.4">
      <c r="B88"/>
      <c r="C88"/>
      <c r="D88"/>
      <c r="E88"/>
      <c r="F88"/>
      <c r="G88"/>
      <c r="H88"/>
      <c r="I88"/>
      <c r="J88"/>
    </row>
    <row r="89" spans="2:10" ht="14.4">
      <c r="B89"/>
      <c r="C89"/>
      <c r="D89"/>
      <c r="E89"/>
      <c r="F89"/>
      <c r="G89"/>
      <c r="H89"/>
      <c r="I89"/>
      <c r="J89"/>
    </row>
    <row r="90" spans="2:10" ht="14.4">
      <c r="B90"/>
      <c r="C90"/>
      <c r="D90"/>
      <c r="E90"/>
      <c r="F90"/>
      <c r="G90"/>
      <c r="H90"/>
      <c r="I90"/>
      <c r="J90"/>
    </row>
    <row r="91" spans="2:10" ht="14.4">
      <c r="B91"/>
      <c r="C91"/>
      <c r="D91"/>
      <c r="E91"/>
      <c r="F91"/>
      <c r="G91"/>
      <c r="H91"/>
      <c r="I91"/>
      <c r="J91"/>
    </row>
    <row r="92" spans="2:10" ht="14.4">
      <c r="B92"/>
      <c r="C92"/>
      <c r="D92"/>
      <c r="E92"/>
      <c r="F92"/>
      <c r="G92"/>
      <c r="H92"/>
      <c r="I92"/>
      <c r="J92"/>
    </row>
    <row r="93" spans="2:10" ht="14.4">
      <c r="B93"/>
      <c r="C93"/>
      <c r="D93"/>
      <c r="E93"/>
      <c r="F93"/>
      <c r="G93"/>
      <c r="H93"/>
      <c r="I93"/>
      <c r="J93"/>
    </row>
    <row r="94" spans="2:10" ht="14.4">
      <c r="B94"/>
      <c r="C94"/>
      <c r="D94"/>
      <c r="E94"/>
      <c r="F94"/>
      <c r="G94"/>
      <c r="H94"/>
      <c r="I94"/>
      <c r="J94"/>
    </row>
    <row r="95" spans="2:10" ht="14.4">
      <c r="B95"/>
      <c r="C95"/>
      <c r="D95"/>
      <c r="E95"/>
      <c r="F95"/>
      <c r="G95"/>
      <c r="H95"/>
      <c r="I95"/>
      <c r="J95"/>
    </row>
    <row r="96" spans="2:10" ht="14.4">
      <c r="B96"/>
      <c r="C96"/>
      <c r="D96"/>
      <c r="E96"/>
      <c r="F96"/>
      <c r="G96"/>
      <c r="H96"/>
      <c r="I96"/>
      <c r="J96"/>
    </row>
    <row r="97" spans="2:10" ht="14.4">
      <c r="B97"/>
      <c r="C97"/>
      <c r="D97"/>
      <c r="E97"/>
      <c r="F97"/>
      <c r="G97"/>
      <c r="H97"/>
      <c r="I97"/>
      <c r="J97"/>
    </row>
    <row r="98" spans="2:10" ht="14.4">
      <c r="B98"/>
      <c r="C98"/>
      <c r="D98"/>
      <c r="E98"/>
      <c r="F98"/>
      <c r="G98"/>
      <c r="H98"/>
      <c r="I98"/>
      <c r="J98"/>
    </row>
    <row r="99" spans="2:10" ht="14.4">
      <c r="B99"/>
      <c r="C99"/>
      <c r="D99"/>
      <c r="E99"/>
      <c r="F99"/>
      <c r="G99"/>
      <c r="H99"/>
      <c r="I99"/>
      <c r="J99"/>
    </row>
    <row r="100" spans="2:10" ht="14.4">
      <c r="B100"/>
      <c r="C100"/>
      <c r="D100"/>
      <c r="E100"/>
      <c r="F100"/>
      <c r="G100"/>
      <c r="H100"/>
      <c r="I100"/>
      <c r="J100"/>
    </row>
    <row r="101" spans="2:10" ht="14.4">
      <c r="B101"/>
      <c r="C101"/>
      <c r="D101"/>
      <c r="E101"/>
      <c r="F101"/>
      <c r="G101"/>
      <c r="H101"/>
      <c r="I101"/>
      <c r="J101"/>
    </row>
    <row r="102" spans="2:10" ht="14.4">
      <c r="B102"/>
      <c r="C102"/>
      <c r="D102"/>
      <c r="E102"/>
      <c r="F102"/>
      <c r="G102"/>
      <c r="H102"/>
      <c r="I102"/>
      <c r="J102"/>
    </row>
    <row r="103" spans="2:10" ht="14.4">
      <c r="B103"/>
      <c r="C103"/>
      <c r="D103"/>
      <c r="E103"/>
      <c r="F103"/>
      <c r="G103"/>
      <c r="H103"/>
      <c r="I103"/>
      <c r="J103"/>
    </row>
    <row r="104" spans="2:10" ht="14.4">
      <c r="B104"/>
      <c r="C104"/>
      <c r="D104"/>
      <c r="E104"/>
      <c r="F104"/>
      <c r="G104"/>
      <c r="H104"/>
      <c r="I104"/>
      <c r="J104"/>
    </row>
    <row r="105" spans="2:10" ht="14.4">
      <c r="B105"/>
      <c r="C105"/>
      <c r="D105"/>
      <c r="E105"/>
      <c r="F105"/>
      <c r="G105"/>
      <c r="H105"/>
      <c r="I105"/>
      <c r="J105"/>
    </row>
    <row r="106" spans="2:10" ht="14.4">
      <c r="B106"/>
      <c r="C106"/>
      <c r="D106"/>
      <c r="E106"/>
      <c r="F106"/>
      <c r="G106"/>
      <c r="H106"/>
      <c r="I106"/>
      <c r="J106"/>
    </row>
    <row r="107" spans="2:10" ht="14.4">
      <c r="B107"/>
      <c r="C107"/>
      <c r="D107"/>
      <c r="E107"/>
      <c r="F107"/>
      <c r="G107"/>
      <c r="H107"/>
      <c r="I107"/>
      <c r="J107"/>
    </row>
    <row r="108" spans="2:10" ht="14.4">
      <c r="B108"/>
      <c r="C108"/>
      <c r="D108"/>
      <c r="E108"/>
      <c r="F108"/>
      <c r="G108"/>
      <c r="H108"/>
      <c r="I108"/>
      <c r="J108"/>
    </row>
    <row r="109" spans="2:10" ht="14.4">
      <c r="B109"/>
      <c r="C109"/>
      <c r="D109"/>
      <c r="E109"/>
      <c r="F109"/>
      <c r="G109"/>
      <c r="H109"/>
      <c r="I109"/>
      <c r="J109"/>
    </row>
    <row r="110" spans="2:10" ht="14.4">
      <c r="B110"/>
      <c r="C110"/>
      <c r="D110"/>
      <c r="E110"/>
      <c r="F110"/>
      <c r="G110"/>
      <c r="H110"/>
      <c r="I110"/>
      <c r="J110"/>
    </row>
    <row r="111" spans="2:10" ht="14.4">
      <c r="B111"/>
      <c r="C111"/>
      <c r="D111"/>
      <c r="E111"/>
      <c r="F111"/>
      <c r="G111"/>
      <c r="H111"/>
      <c r="I111"/>
      <c r="J111"/>
    </row>
    <row r="112" spans="2:10" ht="14.4">
      <c r="B112"/>
      <c r="C112"/>
      <c r="D112"/>
      <c r="E112"/>
      <c r="F112"/>
      <c r="G112"/>
      <c r="H112"/>
      <c r="I112"/>
      <c r="J112"/>
    </row>
    <row r="113" spans="2:10" ht="14.4">
      <c r="B113"/>
      <c r="C113"/>
      <c r="D113"/>
      <c r="E113"/>
      <c r="F113"/>
      <c r="G113"/>
      <c r="H113"/>
      <c r="I113"/>
      <c r="J113"/>
    </row>
    <row r="114" spans="2:10" ht="14.4">
      <c r="B114"/>
      <c r="C114"/>
      <c r="D114"/>
      <c r="E114"/>
      <c r="F114"/>
      <c r="G114"/>
      <c r="H114"/>
      <c r="I114"/>
      <c r="J114"/>
    </row>
    <row r="115" spans="2:10" ht="14.4">
      <c r="B115"/>
      <c r="C115"/>
      <c r="D115"/>
      <c r="E115"/>
      <c r="F115"/>
      <c r="G115"/>
      <c r="H115"/>
      <c r="I115"/>
      <c r="J115"/>
    </row>
    <row r="116" spans="2:10" ht="14.4">
      <c r="B116"/>
      <c r="C116"/>
      <c r="D116"/>
      <c r="E116"/>
      <c r="F116"/>
      <c r="G116"/>
      <c r="H116"/>
      <c r="I116"/>
      <c r="J116"/>
    </row>
    <row r="117" spans="2:10" ht="14.4">
      <c r="B117"/>
      <c r="C117"/>
      <c r="D117"/>
      <c r="E117"/>
      <c r="F117"/>
      <c r="G117"/>
      <c r="H117"/>
      <c r="I117"/>
      <c r="J117"/>
    </row>
    <row r="118" spans="2:10" ht="14.4">
      <c r="B118"/>
      <c r="C118"/>
      <c r="D118"/>
      <c r="E118"/>
      <c r="F118"/>
      <c r="G118"/>
      <c r="H118"/>
      <c r="I118"/>
      <c r="J118"/>
    </row>
    <row r="119" spans="2:10" ht="14.4">
      <c r="B119"/>
      <c r="C119"/>
      <c r="D119"/>
      <c r="E119"/>
      <c r="F119"/>
      <c r="G119"/>
      <c r="H119"/>
      <c r="I119"/>
      <c r="J119"/>
    </row>
    <row r="120" spans="2:10" ht="14.4">
      <c r="B120"/>
      <c r="C120"/>
      <c r="D120"/>
      <c r="E120"/>
      <c r="F120"/>
      <c r="G120"/>
      <c r="H120"/>
      <c r="I120"/>
      <c r="J120"/>
    </row>
    <row r="121" spans="2:10" ht="14.4">
      <c r="B121"/>
      <c r="C121"/>
      <c r="D121"/>
      <c r="E121"/>
      <c r="F121"/>
      <c r="G121"/>
      <c r="H121"/>
      <c r="I121"/>
      <c r="J121"/>
    </row>
    <row r="122" spans="2:10" ht="14.4">
      <c r="B122"/>
      <c r="C122"/>
      <c r="D122"/>
      <c r="E122"/>
      <c r="F122"/>
      <c r="G122"/>
      <c r="H122"/>
      <c r="I122"/>
      <c r="J122"/>
    </row>
    <row r="123" spans="2:10" ht="14.4">
      <c r="B123"/>
      <c r="C123"/>
      <c r="D123"/>
      <c r="E123"/>
      <c r="F123"/>
      <c r="G123"/>
      <c r="H123"/>
      <c r="I123"/>
      <c r="J123"/>
    </row>
    <row r="124" spans="2:10" ht="14.4">
      <c r="B124"/>
      <c r="C124"/>
      <c r="D124"/>
      <c r="E124"/>
      <c r="F124"/>
      <c r="G124"/>
      <c r="H124"/>
      <c r="I124"/>
      <c r="J124"/>
    </row>
    <row r="125" spans="2:10" ht="14.4">
      <c r="B125"/>
      <c r="C125"/>
      <c r="D125"/>
      <c r="E125"/>
      <c r="F125"/>
      <c r="G125"/>
      <c r="H125"/>
      <c r="I125"/>
      <c r="J125"/>
    </row>
    <row r="126" spans="2:10" ht="14.4">
      <c r="B126"/>
      <c r="C126"/>
      <c r="D126"/>
      <c r="E126"/>
      <c r="F126"/>
      <c r="G126"/>
      <c r="H126"/>
      <c r="I126"/>
      <c r="J126"/>
    </row>
    <row r="127" spans="2:10" ht="14.4">
      <c r="B127"/>
      <c r="C127"/>
      <c r="D127"/>
      <c r="E127"/>
      <c r="F127"/>
      <c r="G127"/>
      <c r="H127"/>
      <c r="I127"/>
      <c r="J127"/>
    </row>
    <row r="128" spans="2:10" ht="14.4">
      <c r="B128"/>
      <c r="C128"/>
      <c r="D128"/>
      <c r="E128"/>
      <c r="F128"/>
      <c r="G128"/>
      <c r="H128"/>
      <c r="I128"/>
      <c r="J128"/>
    </row>
    <row r="129" spans="2:10" ht="14.4">
      <c r="B129"/>
      <c r="C129"/>
      <c r="D129"/>
      <c r="E129"/>
      <c r="F129"/>
      <c r="G129"/>
      <c r="H129"/>
      <c r="I129"/>
      <c r="J129"/>
    </row>
    <row r="130" spans="2:10" ht="14.4">
      <c r="B130"/>
      <c r="C130"/>
      <c r="D130"/>
      <c r="E130"/>
      <c r="F130"/>
      <c r="G130"/>
      <c r="H130"/>
      <c r="I130"/>
      <c r="J130"/>
    </row>
    <row r="131" spans="2:10" ht="14.4">
      <c r="B131"/>
      <c r="C131"/>
      <c r="D131"/>
      <c r="E131"/>
      <c r="F131"/>
      <c r="G131"/>
      <c r="H131"/>
      <c r="I131"/>
      <c r="J131"/>
    </row>
    <row r="132" spans="2:10" ht="14.4">
      <c r="B132"/>
      <c r="C132"/>
      <c r="D132"/>
      <c r="E132"/>
      <c r="F132"/>
      <c r="G132"/>
      <c r="H132"/>
      <c r="I132"/>
      <c r="J132"/>
    </row>
    <row r="133" spans="2:10" ht="14.4">
      <c r="B133"/>
      <c r="C133"/>
      <c r="D133"/>
      <c r="E133"/>
      <c r="F133"/>
      <c r="G133"/>
      <c r="H133"/>
      <c r="I133"/>
      <c r="J133"/>
    </row>
    <row r="134" spans="2:10" ht="14.4">
      <c r="B134"/>
      <c r="C134"/>
      <c r="D134"/>
      <c r="E134"/>
      <c r="F134"/>
      <c r="G134"/>
      <c r="H134"/>
      <c r="I134"/>
      <c r="J134"/>
    </row>
    <row r="135" spans="2:10" ht="14.4">
      <c r="B135"/>
      <c r="C135"/>
      <c r="D135"/>
      <c r="E135"/>
      <c r="F135"/>
      <c r="G135"/>
      <c r="H135"/>
      <c r="I135"/>
      <c r="J135"/>
    </row>
    <row r="136" spans="2:10" ht="14.4">
      <c r="B136"/>
      <c r="C136"/>
      <c r="D136"/>
      <c r="E136"/>
      <c r="F136"/>
      <c r="G136"/>
      <c r="H136"/>
      <c r="I136"/>
      <c r="J136"/>
    </row>
    <row r="137" spans="2:10" ht="14.4">
      <c r="B137"/>
      <c r="C137"/>
      <c r="D137"/>
      <c r="E137"/>
      <c r="F137"/>
      <c r="G137"/>
      <c r="H137"/>
      <c r="I137"/>
      <c r="J137"/>
    </row>
    <row r="138" spans="2:10" ht="14.4">
      <c r="B138"/>
      <c r="C138"/>
      <c r="D138"/>
      <c r="E138"/>
      <c r="F138"/>
      <c r="G138"/>
      <c r="H138"/>
      <c r="I138"/>
      <c r="J138"/>
    </row>
    <row r="139" spans="2:10" ht="14.4">
      <c r="B139"/>
      <c r="C139"/>
      <c r="D139"/>
      <c r="E139"/>
      <c r="F139"/>
      <c r="G139"/>
      <c r="H139"/>
      <c r="I139"/>
      <c r="J139"/>
    </row>
    <row r="140" spans="2:10" ht="14.4">
      <c r="B140"/>
      <c r="C140"/>
      <c r="D140"/>
      <c r="E140"/>
      <c r="F140"/>
      <c r="G140"/>
      <c r="H140"/>
      <c r="I140"/>
      <c r="J140"/>
    </row>
    <row r="141" spans="2:10" ht="14.4">
      <c r="B141"/>
      <c r="C141"/>
      <c r="D141"/>
      <c r="E141"/>
      <c r="F141"/>
      <c r="G141"/>
      <c r="H141"/>
      <c r="I141"/>
      <c r="J141"/>
    </row>
    <row r="142" spans="2:10" ht="14.4">
      <c r="B142"/>
      <c r="C142"/>
      <c r="D142"/>
      <c r="E142"/>
      <c r="F142"/>
      <c r="G142"/>
      <c r="H142"/>
      <c r="I142"/>
      <c r="J142"/>
    </row>
    <row r="143" spans="2:10" ht="14.4">
      <c r="B143"/>
      <c r="C143"/>
      <c r="D143"/>
      <c r="E143"/>
      <c r="F143"/>
      <c r="G143"/>
      <c r="H143"/>
      <c r="I143"/>
      <c r="J143"/>
    </row>
    <row r="144" spans="2:10" ht="14.4">
      <c r="B144"/>
      <c r="C144"/>
      <c r="D144"/>
      <c r="E144"/>
      <c r="F144"/>
      <c r="G144"/>
      <c r="H144"/>
      <c r="I144"/>
      <c r="J144"/>
    </row>
    <row r="145" spans="2:10" ht="14.4">
      <c r="B145"/>
      <c r="C145"/>
      <c r="D145"/>
      <c r="E145"/>
      <c r="F145"/>
      <c r="G145"/>
      <c r="H145"/>
      <c r="I145"/>
      <c r="J145"/>
    </row>
    <row r="146" spans="2:10" ht="14.4">
      <c r="B146"/>
      <c r="C146"/>
      <c r="D146"/>
      <c r="E146"/>
      <c r="F146"/>
      <c r="G146"/>
      <c r="H146"/>
      <c r="I146"/>
      <c r="J146"/>
    </row>
    <row r="147" spans="2:10" ht="14.4">
      <c r="B147"/>
      <c r="C147"/>
      <c r="D147"/>
      <c r="E147"/>
      <c r="F147"/>
      <c r="G147"/>
      <c r="H147"/>
      <c r="I147"/>
      <c r="J147"/>
    </row>
    <row r="148" spans="2:10" ht="14.4">
      <c r="B148"/>
      <c r="C148"/>
      <c r="D148"/>
      <c r="E148"/>
      <c r="F148"/>
      <c r="G148"/>
      <c r="H148"/>
      <c r="I148"/>
      <c r="J148"/>
    </row>
    <row r="149" spans="2:10" ht="14.4">
      <c r="B149"/>
      <c r="C149"/>
      <c r="D149"/>
      <c r="E149"/>
      <c r="F149"/>
      <c r="G149"/>
      <c r="H149"/>
      <c r="I149"/>
      <c r="J149"/>
    </row>
  </sheetData>
  <pageMargins left="0.7" right="0.7" top="0.75" bottom="0.75" header="0.3" footer="0.3"/>
  <pageSetup orientation="portrait" horizontalDpi="4294967292" verticalDpi="4294967292" r:id="rId2"/>
  <drawing r:id="rId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B95E7-B868-4808-8941-3C5FD8BF4521}">
  <dimension ref="A2:XFD548"/>
  <sheetViews>
    <sheetView zoomScale="70" zoomScaleNormal="85" workbookViewId="0">
      <pane xSplit="1" ySplit="6" topLeftCell="C489" activePane="bottomRight" state="frozen"/>
      <selection pane="topRight" activeCell="B1" sqref="B1"/>
      <selection pane="bottomLeft" activeCell="A7" sqref="A7"/>
      <selection pane="bottomRight" activeCell="K533" sqref="K533"/>
    </sheetView>
  </sheetViews>
  <sheetFormatPr baseColWidth="10" defaultColWidth="10.6640625" defaultRowHeight="15"/>
  <cols>
    <col min="1" max="1" width="13.109375" style="79" bestFit="1" customWidth="1"/>
    <col min="2" max="2" width="14.44140625" style="79" hidden="1" customWidth="1"/>
    <col min="3" max="3" width="16.109375" style="79" customWidth="1"/>
    <col min="4" max="4" width="17.6640625" style="60" customWidth="1"/>
    <col min="5" max="5" width="32.5546875" style="78" customWidth="1"/>
    <col min="6" max="6" width="12" style="78" customWidth="1"/>
    <col min="7" max="7" width="26.33203125" style="78" customWidth="1"/>
    <col min="8" max="8" width="33.88671875" style="78" customWidth="1"/>
    <col min="9" max="9" width="28.6640625" style="78" customWidth="1"/>
    <col min="10" max="10" width="41.33203125" style="78" bestFit="1" customWidth="1"/>
    <col min="11" max="11" width="55.6640625" style="78" customWidth="1"/>
    <col min="12" max="12" width="36.44140625" style="59" bestFit="1" customWidth="1"/>
    <col min="13" max="16384" width="10.6640625" style="76"/>
  </cols>
  <sheetData>
    <row r="2" spans="1:15" ht="15.6" customHeight="1">
      <c r="A2" s="134"/>
      <c r="B2" s="134"/>
      <c r="C2" s="134"/>
      <c r="D2" s="135"/>
      <c r="E2" s="135"/>
      <c r="F2" s="135"/>
      <c r="G2" s="135"/>
      <c r="H2" s="135"/>
      <c r="I2" s="135"/>
      <c r="J2" s="135"/>
      <c r="K2" s="135"/>
      <c r="L2" s="83" t="s">
        <v>41</v>
      </c>
      <c r="M2" s="50"/>
      <c r="N2" s="50"/>
      <c r="O2" s="50"/>
    </row>
    <row r="3" spans="1:15" ht="15.6" customHeight="1">
      <c r="A3" s="134"/>
      <c r="B3" s="134"/>
      <c r="C3" s="134"/>
      <c r="D3" s="135"/>
      <c r="E3" s="135"/>
      <c r="F3" s="135"/>
      <c r="G3" s="135"/>
      <c r="H3" s="135"/>
      <c r="I3" s="135"/>
      <c r="J3" s="135"/>
      <c r="K3" s="135"/>
      <c r="L3" s="83" t="s">
        <v>42</v>
      </c>
      <c r="M3" s="50"/>
      <c r="N3" s="50"/>
      <c r="O3" s="50"/>
    </row>
    <row r="4" spans="1:15" ht="15.6" customHeight="1">
      <c r="A4" s="134"/>
      <c r="B4" s="134"/>
      <c r="C4" s="134"/>
      <c r="D4" s="135"/>
      <c r="E4" s="135"/>
      <c r="F4" s="135"/>
      <c r="G4" s="135"/>
      <c r="H4" s="135"/>
      <c r="I4" s="135"/>
      <c r="J4" s="135"/>
      <c r="K4" s="135"/>
      <c r="L4" s="83" t="s">
        <v>43</v>
      </c>
      <c r="M4" s="50"/>
      <c r="N4" s="50"/>
      <c r="O4" s="50"/>
    </row>
    <row r="5" spans="1:15" ht="15.6" customHeight="1"/>
    <row r="6" spans="1:15" s="59" customFormat="1" ht="45">
      <c r="A6" s="56" t="s">
        <v>112</v>
      </c>
      <c r="B6" s="56" t="s">
        <v>398</v>
      </c>
      <c r="C6" s="56" t="s">
        <v>114</v>
      </c>
      <c r="D6" s="58" t="s">
        <v>115</v>
      </c>
      <c r="E6" s="58" t="s">
        <v>116</v>
      </c>
      <c r="F6" s="58" t="s">
        <v>117</v>
      </c>
      <c r="G6" s="58" t="s">
        <v>46</v>
      </c>
      <c r="H6" s="58" t="s">
        <v>47</v>
      </c>
      <c r="I6" s="58" t="s">
        <v>48</v>
      </c>
      <c r="J6" s="58" t="s">
        <v>49</v>
      </c>
      <c r="K6" s="57" t="s">
        <v>50</v>
      </c>
      <c r="L6" s="77" t="s">
        <v>118</v>
      </c>
    </row>
    <row r="7" spans="1:15" hidden="1">
      <c r="A7" s="72">
        <v>45937</v>
      </c>
      <c r="B7" s="73" t="str">
        <f>IF(Tabla13[[#This Row],[Fecha]]="","",TEXT(Tabla13[[#This Row],[Fecha]],"aaaa"))</f>
        <v>martes</v>
      </c>
      <c r="C7" s="74" t="str">
        <f>IF(Tabla13[[#This Row],[Fecha]]="","",TEXT(Tabla13[[#This Row],[Fecha]],"mmmm"))</f>
        <v>octubre</v>
      </c>
      <c r="D7" s="102">
        <v>0.35555555555555557</v>
      </c>
      <c r="E7" s="102">
        <v>0.49861111111111112</v>
      </c>
      <c r="F7" s="71">
        <f>HOUR(Tabla13[[#This Row],[Hora fin ]]-Tabla13[[#This Row],[Hora inicio]])+MINUTE(Tabla13[[#This Row],[Hora fin ]]-Tabla13[[#This Row],[Hora inicio]])/60</f>
        <v>3.4333333333333336</v>
      </c>
      <c r="G7" s="60" t="s">
        <v>10</v>
      </c>
      <c r="H7" s="60" t="s">
        <v>26</v>
      </c>
      <c r="I7" s="60" t="s">
        <v>17</v>
      </c>
      <c r="J7" s="60" t="s">
        <v>292</v>
      </c>
      <c r="K7" s="57" t="s">
        <v>399</v>
      </c>
      <c r="L7" s="75"/>
    </row>
    <row r="8" spans="1:15" hidden="1">
      <c r="A8" s="72">
        <v>45937</v>
      </c>
      <c r="B8" s="73" t="str">
        <f>IF(Tabla13[[#This Row],[Fecha]]="","",TEXT(Tabla13[[#This Row],[Fecha]],"aaaa"))</f>
        <v>martes</v>
      </c>
      <c r="C8" s="74" t="str">
        <f>IF(Tabla13[[#This Row],[Fecha]]="","",TEXT(Tabla13[[#This Row],[Fecha]],"mmmm"))</f>
        <v>octubre</v>
      </c>
      <c r="D8" s="75">
        <v>0.57708333333333328</v>
      </c>
      <c r="E8" s="75">
        <v>0.5805555555555556</v>
      </c>
      <c r="F8" s="71">
        <f>HOUR(Tabla13[[#This Row],[Hora fin ]]-Tabla13[[#This Row],[Hora inicio]])+MINUTE(Tabla13[[#This Row],[Hora fin ]]-Tabla13[[#This Row],[Hora inicio]])/60</f>
        <v>8.3333333333333329E-2</v>
      </c>
      <c r="G8" s="60" t="s">
        <v>4</v>
      </c>
      <c r="H8" s="60" t="s">
        <v>5</v>
      </c>
      <c r="I8" s="60" t="s">
        <v>258</v>
      </c>
      <c r="J8" s="60" t="s">
        <v>356</v>
      </c>
      <c r="K8" s="57" t="s">
        <v>400</v>
      </c>
      <c r="L8" s="75"/>
    </row>
    <row r="9" spans="1:15" hidden="1">
      <c r="A9" s="72">
        <v>45937</v>
      </c>
      <c r="B9" s="73" t="str">
        <f>IF(Tabla13[[#This Row],[Fecha]]="","",TEXT(Tabla13[[#This Row],[Fecha]],"aaaa"))</f>
        <v>martes</v>
      </c>
      <c r="C9" s="74" t="str">
        <f>IF(Tabla13[[#This Row],[Fecha]]="","",TEXT(Tabla13[[#This Row],[Fecha]],"mmmm"))</f>
        <v>octubre</v>
      </c>
      <c r="D9" s="75">
        <v>0.96875</v>
      </c>
      <c r="E9" s="75">
        <v>0.97986111111111107</v>
      </c>
      <c r="F9" s="71">
        <f>HOUR(Tabla13[[#This Row],[Hora fin ]]-Tabla13[[#This Row],[Hora inicio]])+MINUTE(Tabla13[[#This Row],[Hora fin ]]-Tabla13[[#This Row],[Hora inicio]])/60</f>
        <v>0.26666666666666666</v>
      </c>
      <c r="G9" s="60" t="s">
        <v>10</v>
      </c>
      <c r="H9" s="60" t="s">
        <v>26</v>
      </c>
      <c r="I9" s="60" t="s">
        <v>17</v>
      </c>
      <c r="J9" s="60" t="s">
        <v>292</v>
      </c>
      <c r="K9" s="57" t="s">
        <v>399</v>
      </c>
      <c r="L9" s="75"/>
    </row>
    <row r="10" spans="1:15" hidden="1">
      <c r="A10" s="72">
        <v>45938</v>
      </c>
      <c r="B10" s="73" t="str">
        <f>IF(Tabla13[[#This Row],[Fecha]]="","",TEXT(Tabla13[[#This Row],[Fecha]],"aaaa"))</f>
        <v>miércoles</v>
      </c>
      <c r="C10" s="74" t="str">
        <f>IF(Tabla13[[#This Row],[Fecha]]="","",TEXT(Tabla13[[#This Row],[Fecha]],"mmmm"))</f>
        <v>octubre</v>
      </c>
      <c r="D10" s="75">
        <v>0.57361111111111107</v>
      </c>
      <c r="E10" s="75">
        <v>0.57708333333333328</v>
      </c>
      <c r="F10" s="71">
        <f>HOUR(Tabla13[[#This Row],[Hora fin ]]-Tabla13[[#This Row],[Hora inicio]])+MINUTE(Tabla13[[#This Row],[Hora fin ]]-Tabla13[[#This Row],[Hora inicio]])/60</f>
        <v>8.3333333333333329E-2</v>
      </c>
      <c r="G10" s="60" t="s">
        <v>4</v>
      </c>
      <c r="H10" s="60" t="s">
        <v>5</v>
      </c>
      <c r="I10" s="60" t="s">
        <v>258</v>
      </c>
      <c r="J10" s="60" t="s">
        <v>356</v>
      </c>
      <c r="K10" s="57" t="s">
        <v>400</v>
      </c>
      <c r="L10" s="75"/>
    </row>
    <row r="11" spans="1:15" hidden="1">
      <c r="A11" s="72">
        <v>45938</v>
      </c>
      <c r="B11" s="73" t="str">
        <f>IF(Tabla13[[#This Row],[Fecha]]="","",TEXT(Tabla13[[#This Row],[Fecha]],"aaaa"))</f>
        <v>miércoles</v>
      </c>
      <c r="C11" s="74" t="str">
        <f>IF(Tabla13[[#This Row],[Fecha]]="","",TEXT(Tabla13[[#This Row],[Fecha]],"mmmm"))</f>
        <v>octubre</v>
      </c>
      <c r="D11" s="75">
        <v>0.72638888888888886</v>
      </c>
      <c r="E11" s="75">
        <v>0.73611111111111116</v>
      </c>
      <c r="F11" s="71">
        <f>HOUR(Tabla13[[#This Row],[Hora fin ]]-Tabla13[[#This Row],[Hora inicio]])+MINUTE(Tabla13[[#This Row],[Hora fin ]]-Tabla13[[#This Row],[Hora inicio]])/60</f>
        <v>0.23333333333333334</v>
      </c>
      <c r="G11" s="60" t="s">
        <v>10</v>
      </c>
      <c r="H11" s="60" t="s">
        <v>30</v>
      </c>
      <c r="I11" s="60" t="s">
        <v>12</v>
      </c>
      <c r="J11" s="60" t="s">
        <v>270</v>
      </c>
      <c r="K11" s="57" t="s">
        <v>401</v>
      </c>
      <c r="L11" s="75"/>
    </row>
    <row r="12" spans="1:15" hidden="1">
      <c r="A12" s="72">
        <v>45939</v>
      </c>
      <c r="B12" s="73" t="str">
        <f>IF(Tabla13[[#This Row],[Fecha]]="","",TEXT(Tabla13[[#This Row],[Fecha]],"aaaa"))</f>
        <v>jueves</v>
      </c>
      <c r="C12" s="74" t="str">
        <f>IF(Tabla13[[#This Row],[Fecha]]="","",TEXT(Tabla13[[#This Row],[Fecha]],"mmmm"))</f>
        <v>octubre</v>
      </c>
      <c r="D12" s="75">
        <v>0.60347222222222219</v>
      </c>
      <c r="E12" s="75">
        <v>0.61458333333333337</v>
      </c>
      <c r="F12" s="71">
        <f>HOUR(Tabla13[[#This Row],[Hora fin ]]-Tabla13[[#This Row],[Hora inicio]])+MINUTE(Tabla13[[#This Row],[Hora fin ]]-Tabla13[[#This Row],[Hora inicio]])/60</f>
        <v>0.26666666666666666</v>
      </c>
      <c r="G12" s="60" t="s">
        <v>7</v>
      </c>
      <c r="H12" s="60" t="s">
        <v>23</v>
      </c>
      <c r="I12" s="60" t="s">
        <v>21</v>
      </c>
      <c r="J12" s="60" t="s">
        <v>324</v>
      </c>
      <c r="K12" s="57" t="s">
        <v>402</v>
      </c>
      <c r="L12" s="75"/>
    </row>
    <row r="13" spans="1:15" hidden="1">
      <c r="A13" s="72">
        <v>45939</v>
      </c>
      <c r="B13" s="73" t="str">
        <f>IF(Tabla13[[#This Row],[Fecha]]="","",TEXT(Tabla13[[#This Row],[Fecha]],"aaaa"))</f>
        <v>jueves</v>
      </c>
      <c r="C13" s="74" t="str">
        <f>IF(Tabla13[[#This Row],[Fecha]]="","",TEXT(Tabla13[[#This Row],[Fecha]],"mmmm"))</f>
        <v>octubre</v>
      </c>
      <c r="D13" s="75">
        <v>0.6430555555555556</v>
      </c>
      <c r="E13" s="75">
        <v>0.6479166666666667</v>
      </c>
      <c r="F13" s="71">
        <f>HOUR(Tabla13[[#This Row],[Hora fin ]]-Tabla13[[#This Row],[Hora inicio]])+MINUTE(Tabla13[[#This Row],[Hora fin ]]-Tabla13[[#This Row],[Hora inicio]])/60</f>
        <v>0.11666666666666667</v>
      </c>
      <c r="G13" s="60" t="s">
        <v>7</v>
      </c>
      <c r="H13" s="60" t="s">
        <v>23</v>
      </c>
      <c r="I13" s="60" t="s">
        <v>257</v>
      </c>
      <c r="J13" s="60" t="s">
        <v>285</v>
      </c>
      <c r="K13" s="57" t="s">
        <v>403</v>
      </c>
      <c r="L13" s="75"/>
    </row>
    <row r="14" spans="1:15" hidden="1">
      <c r="A14" s="72">
        <v>45939</v>
      </c>
      <c r="B14" s="73" t="str">
        <f>IF(Tabla13[[#This Row],[Fecha]]="","",TEXT(Tabla13[[#This Row],[Fecha]],"aaaa"))</f>
        <v>jueves</v>
      </c>
      <c r="C14" s="74" t="str">
        <f>IF(Tabla13[[#This Row],[Fecha]]="","",TEXT(Tabla13[[#This Row],[Fecha]],"mmmm"))</f>
        <v>octubre</v>
      </c>
      <c r="D14" s="75">
        <v>0.6791666666666667</v>
      </c>
      <c r="E14" s="75">
        <v>0.68402777777777779</v>
      </c>
      <c r="F14" s="71">
        <f>HOUR(Tabla13[[#This Row],[Hora fin ]]-Tabla13[[#This Row],[Hora inicio]])+MINUTE(Tabla13[[#This Row],[Hora fin ]]-Tabla13[[#This Row],[Hora inicio]])/60</f>
        <v>0.11666666666666667</v>
      </c>
      <c r="G14" s="60" t="s">
        <v>4</v>
      </c>
      <c r="H14" s="60" t="s">
        <v>5</v>
      </c>
      <c r="I14" s="60" t="s">
        <v>258</v>
      </c>
      <c r="J14" s="60" t="s">
        <v>357</v>
      </c>
      <c r="K14" s="57" t="s">
        <v>400</v>
      </c>
      <c r="L14" s="75"/>
    </row>
    <row r="15" spans="1:15" hidden="1">
      <c r="A15" s="72">
        <v>45940</v>
      </c>
      <c r="B15" s="73" t="str">
        <f>IF(Tabla13[[#This Row],[Fecha]]="","",TEXT(Tabla13[[#This Row],[Fecha]],"aaaa"))</f>
        <v>viernes</v>
      </c>
      <c r="C15" s="74" t="str">
        <f>IF(Tabla13[[#This Row],[Fecha]]="","",TEXT(Tabla13[[#This Row],[Fecha]],"mmmm"))</f>
        <v>octubre</v>
      </c>
      <c r="D15" s="75">
        <v>0.38472222222222224</v>
      </c>
      <c r="E15" s="75">
        <v>0.39583333333333331</v>
      </c>
      <c r="F15" s="71">
        <f>HOUR(Tabla13[[#This Row],[Hora fin ]]-Tabla13[[#This Row],[Hora inicio]])+MINUTE(Tabla13[[#This Row],[Hora fin ]]-Tabla13[[#This Row],[Hora inicio]])/60</f>
        <v>0.26666666666666666</v>
      </c>
      <c r="G15" s="60" t="s">
        <v>10</v>
      </c>
      <c r="H15" s="60" t="s">
        <v>30</v>
      </c>
      <c r="I15" s="60" t="s">
        <v>12</v>
      </c>
      <c r="J15" s="60" t="s">
        <v>270</v>
      </c>
      <c r="K15" s="57" t="s">
        <v>401</v>
      </c>
      <c r="L15" s="75"/>
    </row>
    <row r="16" spans="1:15" hidden="1">
      <c r="A16" s="72">
        <v>45940</v>
      </c>
      <c r="B16" s="73" t="str">
        <f>IF(Tabla13[[#This Row],[Fecha]]="","",TEXT(Tabla13[[#This Row],[Fecha]],"aaaa"))</f>
        <v>viernes</v>
      </c>
      <c r="C16" s="74" t="str">
        <f>IF(Tabla13[[#This Row],[Fecha]]="","",TEXT(Tabla13[[#This Row],[Fecha]],"mmmm"))</f>
        <v>octubre</v>
      </c>
      <c r="D16" s="75">
        <v>0.48472222222222222</v>
      </c>
      <c r="E16" s="75">
        <v>0.48819444444444443</v>
      </c>
      <c r="F16" s="71">
        <f>HOUR(Tabla13[[#This Row],[Hora fin ]]-Tabla13[[#This Row],[Hora inicio]])+MINUTE(Tabla13[[#This Row],[Hora fin ]]-Tabla13[[#This Row],[Hora inicio]])/60</f>
        <v>8.3333333333333329E-2</v>
      </c>
      <c r="G16" s="60" t="s">
        <v>4</v>
      </c>
      <c r="H16" s="60" t="s">
        <v>5</v>
      </c>
      <c r="I16" s="60" t="s">
        <v>258</v>
      </c>
      <c r="J16" s="60" t="s">
        <v>356</v>
      </c>
      <c r="K16" s="57" t="s">
        <v>400</v>
      </c>
      <c r="L16" s="75"/>
    </row>
    <row r="17" spans="1:12" hidden="1">
      <c r="A17" s="72">
        <v>45940</v>
      </c>
      <c r="B17" s="73" t="str">
        <f>IF(Tabla13[[#This Row],[Fecha]]="","",TEXT(Tabla13[[#This Row],[Fecha]],"aaaa"))</f>
        <v>viernes</v>
      </c>
      <c r="C17" s="74" t="str">
        <f>IF(Tabla13[[#This Row],[Fecha]]="","",TEXT(Tabla13[[#This Row],[Fecha]],"mmmm"))</f>
        <v>octubre</v>
      </c>
      <c r="D17" s="75">
        <v>0.86111111111111116</v>
      </c>
      <c r="E17" s="75">
        <v>0.87291666666666667</v>
      </c>
      <c r="F17" s="71">
        <f>HOUR(Tabla13[[#This Row],[Hora fin ]]-Tabla13[[#This Row],[Hora inicio]])+MINUTE(Tabla13[[#This Row],[Hora fin ]]-Tabla13[[#This Row],[Hora inicio]])/60</f>
        <v>0.28333333333333333</v>
      </c>
      <c r="G17" s="60" t="s">
        <v>10</v>
      </c>
      <c r="H17" s="60" t="s">
        <v>30</v>
      </c>
      <c r="I17" s="60" t="s">
        <v>12</v>
      </c>
      <c r="J17" s="60" t="s">
        <v>270</v>
      </c>
      <c r="K17" s="57" t="s">
        <v>401</v>
      </c>
      <c r="L17" s="75"/>
    </row>
    <row r="18" spans="1:12" hidden="1">
      <c r="A18" s="72">
        <v>45941</v>
      </c>
      <c r="B18" s="73" t="str">
        <f>IF(Tabla13[[#This Row],[Fecha]]="","",TEXT(Tabla13[[#This Row],[Fecha]],"aaaa"))</f>
        <v>sábado</v>
      </c>
      <c r="C18" s="74" t="str">
        <f>IF(Tabla13[[#This Row],[Fecha]]="","",TEXT(Tabla13[[#This Row],[Fecha]],"mmmm"))</f>
        <v>octubre</v>
      </c>
      <c r="D18" s="75">
        <v>1.5972222222222221E-2</v>
      </c>
      <c r="E18" s="75">
        <v>4.1666666666666664E-2</v>
      </c>
      <c r="F18" s="71">
        <f>HOUR(Tabla13[[#This Row],[Hora fin ]]-Tabla13[[#This Row],[Hora inicio]])+MINUTE(Tabla13[[#This Row],[Hora fin ]]-Tabla13[[#This Row],[Hora inicio]])/60</f>
        <v>0.6166666666666667</v>
      </c>
      <c r="G18" s="60" t="s">
        <v>10</v>
      </c>
      <c r="H18" s="60" t="s">
        <v>30</v>
      </c>
      <c r="I18" s="60" t="s">
        <v>12</v>
      </c>
      <c r="J18" s="60" t="s">
        <v>270</v>
      </c>
      <c r="K18" s="57" t="s">
        <v>401</v>
      </c>
      <c r="L18" s="75"/>
    </row>
    <row r="19" spans="1:12" hidden="1">
      <c r="A19" s="72">
        <v>45944</v>
      </c>
      <c r="B19" s="73" t="str">
        <f>IF(Tabla13[[#This Row],[Fecha]]="","",TEXT(Tabla13[[#This Row],[Fecha]],"aaaa"))</f>
        <v>martes</v>
      </c>
      <c r="C19" s="74" t="str">
        <f>IF(Tabla13[[#This Row],[Fecha]]="","",TEXT(Tabla13[[#This Row],[Fecha]],"mmmm"))</f>
        <v>octubre</v>
      </c>
      <c r="D19" s="75">
        <v>0.45624999999999999</v>
      </c>
      <c r="E19" s="75">
        <v>0.46250000000000002</v>
      </c>
      <c r="F19" s="71">
        <f>HOUR(Tabla13[[#This Row],[Hora fin ]]-Tabla13[[#This Row],[Hora inicio]])+MINUTE(Tabla13[[#This Row],[Hora fin ]]-Tabla13[[#This Row],[Hora inicio]])/60</f>
        <v>0.15</v>
      </c>
      <c r="G19" s="60" t="s">
        <v>4</v>
      </c>
      <c r="H19" s="60" t="s">
        <v>5</v>
      </c>
      <c r="I19" s="60" t="s">
        <v>258</v>
      </c>
      <c r="J19" s="60" t="s">
        <v>356</v>
      </c>
      <c r="K19" s="57" t="s">
        <v>400</v>
      </c>
      <c r="L19" s="75"/>
    </row>
    <row r="20" spans="1:12" hidden="1">
      <c r="A20" s="72">
        <v>45945</v>
      </c>
      <c r="B20" s="73" t="str">
        <f>IF(Tabla13[[#This Row],[Fecha]]="","",TEXT(Tabla13[[#This Row],[Fecha]],"aaaa"))</f>
        <v>miércoles</v>
      </c>
      <c r="C20" s="74" t="str">
        <f>IF(Tabla13[[#This Row],[Fecha]]="","",TEXT(Tabla13[[#This Row],[Fecha]],"mmmm"))</f>
        <v>octubre</v>
      </c>
      <c r="D20" s="75">
        <v>0.37916666666666665</v>
      </c>
      <c r="E20" s="75">
        <v>0.38124999999999998</v>
      </c>
      <c r="F20" s="71">
        <f>HOUR(Tabla13[[#This Row],[Hora fin ]]-Tabla13[[#This Row],[Hora inicio]])+MINUTE(Tabla13[[#This Row],[Hora fin ]]-Tabla13[[#This Row],[Hora inicio]])/60</f>
        <v>0.05</v>
      </c>
      <c r="G20" s="60" t="s">
        <v>4</v>
      </c>
      <c r="H20" s="60" t="s">
        <v>5</v>
      </c>
      <c r="I20" s="60" t="s">
        <v>258</v>
      </c>
      <c r="J20" s="60" t="s">
        <v>356</v>
      </c>
      <c r="K20" s="57" t="s">
        <v>400</v>
      </c>
      <c r="L20" s="75"/>
    </row>
    <row r="21" spans="1:12" hidden="1">
      <c r="A21" s="72">
        <v>45945</v>
      </c>
      <c r="B21" s="73" t="str">
        <f>IF(Tabla13[[#This Row],[Fecha]]="","",TEXT(Tabla13[[#This Row],[Fecha]],"aaaa"))</f>
        <v>miércoles</v>
      </c>
      <c r="C21" s="74" t="str">
        <f>IF(Tabla13[[#This Row],[Fecha]]="","",TEXT(Tabla13[[#This Row],[Fecha]],"mmmm"))</f>
        <v>octubre</v>
      </c>
      <c r="D21" s="75">
        <v>0.88194444444444442</v>
      </c>
      <c r="E21" s="75">
        <v>0.88888888888888884</v>
      </c>
      <c r="F21" s="71">
        <f>HOUR(Tabla13[[#This Row],[Hora fin ]]-Tabla13[[#This Row],[Hora inicio]])+MINUTE(Tabla13[[#This Row],[Hora fin ]]-Tabla13[[#This Row],[Hora inicio]])/60</f>
        <v>0.16666666666666666</v>
      </c>
      <c r="G21" s="60" t="s">
        <v>10</v>
      </c>
      <c r="H21" s="60" t="s">
        <v>30</v>
      </c>
      <c r="I21" s="60" t="s">
        <v>12</v>
      </c>
      <c r="J21" s="60" t="s">
        <v>270</v>
      </c>
      <c r="K21" s="57" t="s">
        <v>401</v>
      </c>
      <c r="L21" s="75"/>
    </row>
    <row r="22" spans="1:12" hidden="1">
      <c r="A22" s="72">
        <v>45945</v>
      </c>
      <c r="B22" s="73" t="str">
        <f>IF(Tabla13[[#This Row],[Fecha]]="","",TEXT(Tabla13[[#This Row],[Fecha]],"aaaa"))</f>
        <v>miércoles</v>
      </c>
      <c r="C22" s="74" t="str">
        <f>IF(Tabla13[[#This Row],[Fecha]]="","",TEXT(Tabla13[[#This Row],[Fecha]],"mmmm"))</f>
        <v>octubre</v>
      </c>
      <c r="D22" s="75">
        <v>0.94652777777777775</v>
      </c>
      <c r="E22" s="75">
        <v>0.95416666666666672</v>
      </c>
      <c r="F22" s="71">
        <f>HOUR(Tabla13[[#This Row],[Hora fin ]]-Tabla13[[#This Row],[Hora inicio]])+MINUTE(Tabla13[[#This Row],[Hora fin ]]-Tabla13[[#This Row],[Hora inicio]])/60</f>
        <v>0.18333333333333332</v>
      </c>
      <c r="G22" s="60" t="s">
        <v>10</v>
      </c>
      <c r="H22" s="60" t="s">
        <v>30</v>
      </c>
      <c r="I22" s="60" t="s">
        <v>12</v>
      </c>
      <c r="J22" s="60" t="s">
        <v>270</v>
      </c>
      <c r="K22" s="57" t="s">
        <v>401</v>
      </c>
      <c r="L22" s="75"/>
    </row>
    <row r="23" spans="1:12" hidden="1">
      <c r="A23" s="72">
        <v>45946</v>
      </c>
      <c r="B23" s="73" t="str">
        <f>IF(Tabla13[[#This Row],[Fecha]]="","",TEXT(Tabla13[[#This Row],[Fecha]],"aaaa"))</f>
        <v>jueves</v>
      </c>
      <c r="C23" s="74" t="str">
        <f>IF(Tabla13[[#This Row],[Fecha]]="","",TEXT(Tabla13[[#This Row],[Fecha]],"mmmm"))</f>
        <v>octubre</v>
      </c>
      <c r="D23" s="75">
        <v>9.0277777777777776E-2</v>
      </c>
      <c r="E23" s="75">
        <v>9.7222222222222224E-2</v>
      </c>
      <c r="F23" s="71">
        <f>HOUR(Tabla13[[#This Row],[Hora fin ]]-Tabla13[[#This Row],[Hora inicio]])+MINUTE(Tabla13[[#This Row],[Hora fin ]]-Tabla13[[#This Row],[Hora inicio]])/60</f>
        <v>0.16666666666666666</v>
      </c>
      <c r="G23" s="60" t="s">
        <v>10</v>
      </c>
      <c r="H23" s="60" t="s">
        <v>30</v>
      </c>
      <c r="I23" s="60" t="s">
        <v>12</v>
      </c>
      <c r="J23" s="60" t="s">
        <v>270</v>
      </c>
      <c r="K23" s="57" t="s">
        <v>401</v>
      </c>
      <c r="L23" s="75"/>
    </row>
    <row r="24" spans="1:12" ht="30" hidden="1">
      <c r="A24" s="72">
        <v>45946</v>
      </c>
      <c r="B24" s="73" t="str">
        <f>IF(Tabla13[[#This Row],[Fecha]]="","",TEXT(Tabla13[[#This Row],[Fecha]],"aaaa"))</f>
        <v>jueves</v>
      </c>
      <c r="C24" s="74" t="str">
        <f>IF(Tabla13[[#This Row],[Fecha]]="","",TEXT(Tabla13[[#This Row],[Fecha]],"mmmm"))</f>
        <v>octubre</v>
      </c>
      <c r="D24" s="75">
        <v>0.3347222222222222</v>
      </c>
      <c r="E24" s="75">
        <v>1</v>
      </c>
      <c r="F24" s="71">
        <f>HOUR(Tabla13[[#This Row],[Hora fin ]]-Tabla13[[#This Row],[Hora inicio]])+MINUTE(Tabla13[[#This Row],[Hora fin ]]-Tabla13[[#This Row],[Hora inicio]])/60</f>
        <v>15.966666666666667</v>
      </c>
      <c r="G24" s="60" t="s">
        <v>7</v>
      </c>
      <c r="H24" s="60" t="s">
        <v>23</v>
      </c>
      <c r="I24" s="60" t="s">
        <v>17</v>
      </c>
      <c r="J24" s="60" t="s">
        <v>292</v>
      </c>
      <c r="K24" s="57" t="s">
        <v>404</v>
      </c>
      <c r="L24" s="75"/>
    </row>
    <row r="25" spans="1:12" ht="30" hidden="1">
      <c r="A25" s="72">
        <v>45947</v>
      </c>
      <c r="B25" s="73" t="str">
        <f>IF(Tabla13[[#This Row],[Fecha]]="","",TEXT(Tabla13[[#This Row],[Fecha]],"aaaa"))</f>
        <v>viernes</v>
      </c>
      <c r="C25" s="74" t="str">
        <f>IF(Tabla13[[#This Row],[Fecha]]="","",TEXT(Tabla13[[#This Row],[Fecha]],"mmmm"))</f>
        <v>octubre</v>
      </c>
      <c r="D25" s="75">
        <v>6.9444444444444447E-4</v>
      </c>
      <c r="E25" s="75">
        <v>1</v>
      </c>
      <c r="F25" s="71">
        <f>HOUR(Tabla13[[#This Row],[Hora fin ]]-Tabla13[[#This Row],[Hora inicio]])+MINUTE(Tabla13[[#This Row],[Hora fin ]]-Tabla13[[#This Row],[Hora inicio]])/60</f>
        <v>23.983333333333334</v>
      </c>
      <c r="G25" s="60" t="s">
        <v>7</v>
      </c>
      <c r="H25" s="60" t="s">
        <v>23</v>
      </c>
      <c r="I25" s="60" t="s">
        <v>17</v>
      </c>
      <c r="J25" s="60" t="s">
        <v>292</v>
      </c>
      <c r="K25" s="57" t="s">
        <v>405</v>
      </c>
      <c r="L25" s="75"/>
    </row>
    <row r="26" spans="1:12" ht="30" hidden="1">
      <c r="A26" s="72">
        <v>45948</v>
      </c>
      <c r="B26" s="73" t="str">
        <f>IF(Tabla13[[#This Row],[Fecha]]="","",TEXT(Tabla13[[#This Row],[Fecha]],"aaaa"))</f>
        <v>sábado</v>
      </c>
      <c r="C26" s="74" t="str">
        <f>IF(Tabla13[[#This Row],[Fecha]]="","",TEXT(Tabla13[[#This Row],[Fecha]],"mmmm"))</f>
        <v>octubre</v>
      </c>
      <c r="D26" s="75">
        <v>6.9444444444444447E-4</v>
      </c>
      <c r="E26" s="75">
        <v>0.25</v>
      </c>
      <c r="F26" s="71">
        <f>HOUR(Tabla13[[#This Row],[Hora fin ]]-Tabla13[[#This Row],[Hora inicio]])+MINUTE(Tabla13[[#This Row],[Hora fin ]]-Tabla13[[#This Row],[Hora inicio]])/60</f>
        <v>5.9833333333333334</v>
      </c>
      <c r="G26" s="60" t="s">
        <v>7</v>
      </c>
      <c r="H26" s="60" t="s">
        <v>23</v>
      </c>
      <c r="I26" s="60" t="s">
        <v>17</v>
      </c>
      <c r="J26" s="60" t="s">
        <v>292</v>
      </c>
      <c r="K26" s="57" t="s">
        <v>406</v>
      </c>
      <c r="L26" s="75"/>
    </row>
    <row r="27" spans="1:12" hidden="1">
      <c r="A27" s="72">
        <v>45948</v>
      </c>
      <c r="B27" s="73" t="str">
        <f>IF(Tabla13[[#This Row],[Fecha]]="","",TEXT(Tabla13[[#This Row],[Fecha]],"aaaa"))</f>
        <v>sábado</v>
      </c>
      <c r="C27" s="74" t="str">
        <f>IF(Tabla13[[#This Row],[Fecha]]="","",TEXT(Tabla13[[#This Row],[Fecha]],"mmmm"))</f>
        <v>octubre</v>
      </c>
      <c r="D27" s="75">
        <v>0.3923611111111111</v>
      </c>
      <c r="E27" s="75">
        <v>0.40138888888888891</v>
      </c>
      <c r="F27" s="71">
        <f>HOUR(Tabla13[[#This Row],[Hora fin ]]-Tabla13[[#This Row],[Hora inicio]])+MINUTE(Tabla13[[#This Row],[Hora fin ]]-Tabla13[[#This Row],[Hora inicio]])/60</f>
        <v>0.21666666666666667</v>
      </c>
      <c r="G27" s="60" t="s">
        <v>7</v>
      </c>
      <c r="H27" s="60" t="s">
        <v>25</v>
      </c>
      <c r="I27" s="60" t="s">
        <v>17</v>
      </c>
      <c r="J27" s="60" t="s">
        <v>292</v>
      </c>
      <c r="K27" s="57" t="s">
        <v>407</v>
      </c>
      <c r="L27" s="75"/>
    </row>
    <row r="28" spans="1:12" hidden="1">
      <c r="A28" s="72">
        <v>45948</v>
      </c>
      <c r="B28" s="73" t="str">
        <f>IF(Tabla13[[#This Row],[Fecha]]="","",TEXT(Tabla13[[#This Row],[Fecha]],"aaaa"))</f>
        <v>sábado</v>
      </c>
      <c r="C28" s="74" t="str">
        <f>IF(Tabla13[[#This Row],[Fecha]]="","",TEXT(Tabla13[[#This Row],[Fecha]],"mmmm"))</f>
        <v>octubre</v>
      </c>
      <c r="D28" s="75">
        <v>0.50208333333333333</v>
      </c>
      <c r="E28" s="75">
        <v>0.52638888888888891</v>
      </c>
      <c r="F28" s="71">
        <f>HOUR(Tabla13[[#This Row],[Hora fin ]]-Tabla13[[#This Row],[Hora inicio]])+MINUTE(Tabla13[[#This Row],[Hora fin ]]-Tabla13[[#This Row],[Hora inicio]])/60</f>
        <v>0.58333333333333337</v>
      </c>
      <c r="G28" s="60" t="s">
        <v>7</v>
      </c>
      <c r="H28" s="60" t="s">
        <v>25</v>
      </c>
      <c r="I28" s="60" t="s">
        <v>17</v>
      </c>
      <c r="J28" s="60" t="s">
        <v>292</v>
      </c>
      <c r="K28" s="57" t="s">
        <v>408</v>
      </c>
      <c r="L28" s="75"/>
    </row>
    <row r="29" spans="1:12" hidden="1">
      <c r="A29" s="72">
        <v>45948</v>
      </c>
      <c r="B29" s="73" t="str">
        <f>IF(Tabla13[[#This Row],[Fecha]]="","",TEXT(Tabla13[[#This Row],[Fecha]],"aaaa"))</f>
        <v>sábado</v>
      </c>
      <c r="C29" s="74" t="str">
        <f>IF(Tabla13[[#This Row],[Fecha]]="","",TEXT(Tabla13[[#This Row],[Fecha]],"mmmm"))</f>
        <v>octubre</v>
      </c>
      <c r="D29" s="75">
        <v>0.96805555555555556</v>
      </c>
      <c r="E29" s="75">
        <v>0.97777777777777775</v>
      </c>
      <c r="F29" s="71">
        <f>HOUR(Tabla13[[#This Row],[Hora fin ]]-Tabla13[[#This Row],[Hora inicio]])+MINUTE(Tabla13[[#This Row],[Hora fin ]]-Tabla13[[#This Row],[Hora inicio]])/60</f>
        <v>0.23333333333333334</v>
      </c>
      <c r="G29" s="60" t="s">
        <v>10</v>
      </c>
      <c r="H29" s="60" t="s">
        <v>30</v>
      </c>
      <c r="I29" s="60" t="s">
        <v>12</v>
      </c>
      <c r="J29" s="60" t="s">
        <v>270</v>
      </c>
      <c r="K29" s="57" t="s">
        <v>401</v>
      </c>
      <c r="L29" s="75"/>
    </row>
    <row r="30" spans="1:12" hidden="1">
      <c r="A30" s="72">
        <v>45949</v>
      </c>
      <c r="B30" s="73" t="str">
        <f>IF(Tabla13[[#This Row],[Fecha]]="","",TEXT(Tabla13[[#This Row],[Fecha]],"aaaa"))</f>
        <v>domingo</v>
      </c>
      <c r="C30" s="74" t="str">
        <f>IF(Tabla13[[#This Row],[Fecha]]="","",TEXT(Tabla13[[#This Row],[Fecha]],"mmmm"))</f>
        <v>octubre</v>
      </c>
      <c r="D30" s="75">
        <v>4.027777777777778E-2</v>
      </c>
      <c r="E30" s="75">
        <v>0.05</v>
      </c>
      <c r="F30" s="71">
        <f>HOUR(Tabla13[[#This Row],[Hora fin ]]-Tabla13[[#This Row],[Hora inicio]])+MINUTE(Tabla13[[#This Row],[Hora fin ]]-Tabla13[[#This Row],[Hora inicio]])/60</f>
        <v>0.23333333333333334</v>
      </c>
      <c r="G30" s="60" t="s">
        <v>10</v>
      </c>
      <c r="H30" s="60" t="s">
        <v>30</v>
      </c>
      <c r="I30" s="60" t="s">
        <v>12</v>
      </c>
      <c r="J30" s="60" t="s">
        <v>270</v>
      </c>
      <c r="K30" s="57" t="s">
        <v>401</v>
      </c>
      <c r="L30" s="75"/>
    </row>
    <row r="31" spans="1:12" hidden="1">
      <c r="A31" s="72">
        <v>45949</v>
      </c>
      <c r="B31" s="73" t="str">
        <f>IF(Tabla13[[#This Row],[Fecha]]="","",TEXT(Tabla13[[#This Row],[Fecha]],"aaaa"))</f>
        <v>domingo</v>
      </c>
      <c r="C31" s="74" t="str">
        <f>IF(Tabla13[[#This Row],[Fecha]]="","",TEXT(Tabla13[[#This Row],[Fecha]],"mmmm"))</f>
        <v>octubre</v>
      </c>
      <c r="D31" s="75">
        <v>0.43680555555555556</v>
      </c>
      <c r="E31" s="75">
        <v>0.44166666666666665</v>
      </c>
      <c r="F31" s="71">
        <f>HOUR(Tabla13[[#This Row],[Hora fin ]]-Tabla13[[#This Row],[Hora inicio]])+MINUTE(Tabla13[[#This Row],[Hora fin ]]-Tabla13[[#This Row],[Hora inicio]])/60</f>
        <v>0.11666666666666667</v>
      </c>
      <c r="G31" s="60" t="s">
        <v>7</v>
      </c>
      <c r="H31" s="60" t="s">
        <v>23</v>
      </c>
      <c r="I31" s="60" t="s">
        <v>27</v>
      </c>
      <c r="J31" s="60" t="s">
        <v>339</v>
      </c>
      <c r="K31" s="57" t="s">
        <v>409</v>
      </c>
      <c r="L31" s="75"/>
    </row>
    <row r="32" spans="1:12" hidden="1">
      <c r="A32" s="72">
        <v>45951</v>
      </c>
      <c r="B32" s="73" t="str">
        <f>IF(Tabla13[[#This Row],[Fecha]]="","",TEXT(Tabla13[[#This Row],[Fecha]],"aaaa"))</f>
        <v>martes</v>
      </c>
      <c r="C32" s="74" t="str">
        <f>IF(Tabla13[[#This Row],[Fecha]]="","",TEXT(Tabla13[[#This Row],[Fecha]],"mmmm"))</f>
        <v>octubre</v>
      </c>
      <c r="D32" s="75">
        <v>0.15416666666666667</v>
      </c>
      <c r="E32" s="75">
        <v>0.15763888888888888</v>
      </c>
      <c r="F32" s="71">
        <f>HOUR(Tabla13[[#This Row],[Hora fin ]]-Tabla13[[#This Row],[Hora inicio]])+MINUTE(Tabla13[[#This Row],[Hora fin ]]-Tabla13[[#This Row],[Hora inicio]])/60</f>
        <v>8.3333333333333329E-2</v>
      </c>
      <c r="G32" s="60" t="s">
        <v>4</v>
      </c>
      <c r="H32" s="60" t="s">
        <v>5</v>
      </c>
      <c r="I32" s="60" t="s">
        <v>258</v>
      </c>
      <c r="J32" s="60" t="s">
        <v>356</v>
      </c>
      <c r="K32" s="57" t="s">
        <v>400</v>
      </c>
      <c r="L32" s="75"/>
    </row>
    <row r="33" spans="1:14" ht="30" hidden="1">
      <c r="A33" s="72">
        <v>45951</v>
      </c>
      <c r="B33" s="73" t="str">
        <f>IF(Tabla13[[#This Row],[Fecha]]="","",TEXT(Tabla13[[#This Row],[Fecha]],"aaaa"))</f>
        <v>martes</v>
      </c>
      <c r="C33" s="74" t="str">
        <f>IF(Tabla13[[#This Row],[Fecha]]="","",TEXT(Tabla13[[#This Row],[Fecha]],"mmmm"))</f>
        <v>octubre</v>
      </c>
      <c r="D33" s="75">
        <v>0.88958333333333328</v>
      </c>
      <c r="E33" s="75">
        <v>1</v>
      </c>
      <c r="F33" s="71">
        <f>HOUR(Tabla13[[#This Row],[Hora fin ]]-Tabla13[[#This Row],[Hora inicio]])+MINUTE(Tabla13[[#This Row],[Hora fin ]]-Tabla13[[#This Row],[Hora inicio]])/60</f>
        <v>2.65</v>
      </c>
      <c r="G33" s="60" t="s">
        <v>7</v>
      </c>
      <c r="H33" s="60" t="s">
        <v>23</v>
      </c>
      <c r="I33" s="60" t="s">
        <v>27</v>
      </c>
      <c r="J33" s="60" t="s">
        <v>374</v>
      </c>
      <c r="K33" s="57" t="s">
        <v>410</v>
      </c>
      <c r="L33" s="75"/>
      <c r="N33" s="76" t="s">
        <v>120</v>
      </c>
    </row>
    <row r="34" spans="1:14" ht="30" hidden="1">
      <c r="A34" s="72">
        <v>45952</v>
      </c>
      <c r="B34" s="73" t="str">
        <f>IF(Tabla13[[#This Row],[Fecha]]="","",TEXT(Tabla13[[#This Row],[Fecha]],"aaaa"))</f>
        <v>miércoles</v>
      </c>
      <c r="C34" s="74" t="str">
        <f>IF(Tabla13[[#This Row],[Fecha]]="","",TEXT(Tabla13[[#This Row],[Fecha]],"mmmm"))</f>
        <v>octubre</v>
      </c>
      <c r="D34" s="75">
        <v>6.9444444444444447E-4</v>
      </c>
      <c r="E34" s="75">
        <v>1</v>
      </c>
      <c r="F34" s="71">
        <f>HOUR(Tabla13[[#This Row],[Hora fin ]]-Tabla13[[#This Row],[Hora inicio]])+MINUTE(Tabla13[[#This Row],[Hora fin ]]-Tabla13[[#This Row],[Hora inicio]])/60</f>
        <v>23.983333333333334</v>
      </c>
      <c r="G34" s="60" t="s">
        <v>7</v>
      </c>
      <c r="H34" s="60" t="s">
        <v>23</v>
      </c>
      <c r="I34" s="60" t="s">
        <v>27</v>
      </c>
      <c r="J34" s="60" t="s">
        <v>374</v>
      </c>
      <c r="K34" s="57" t="s">
        <v>410</v>
      </c>
      <c r="L34" s="75"/>
    </row>
    <row r="35" spans="1:14" ht="30" hidden="1">
      <c r="A35" s="72">
        <v>45953</v>
      </c>
      <c r="B35" s="73" t="str">
        <f>IF(Tabla13[[#This Row],[Fecha]]="","",TEXT(Tabla13[[#This Row],[Fecha]],"aaaa"))</f>
        <v>jueves</v>
      </c>
      <c r="C35" s="74" t="str">
        <f>IF(Tabla13[[#This Row],[Fecha]]="","",TEXT(Tabla13[[#This Row],[Fecha]],"mmmm"))</f>
        <v>octubre</v>
      </c>
      <c r="D35" s="75">
        <v>6.9444444444444447E-4</v>
      </c>
      <c r="E35" s="75">
        <v>0.78472222222222221</v>
      </c>
      <c r="F35" s="71">
        <f>HOUR(Tabla13[[#This Row],[Hora fin ]]-Tabla13[[#This Row],[Hora inicio]])+MINUTE(Tabla13[[#This Row],[Hora fin ]]-Tabla13[[#This Row],[Hora inicio]])/60</f>
        <v>18.816666666666666</v>
      </c>
      <c r="G35" s="60" t="s">
        <v>7</v>
      </c>
      <c r="H35" s="60" t="s">
        <v>23</v>
      </c>
      <c r="I35" s="60" t="s">
        <v>27</v>
      </c>
      <c r="J35" s="60" t="s">
        <v>374</v>
      </c>
      <c r="K35" s="57" t="s">
        <v>410</v>
      </c>
      <c r="L35" s="75"/>
    </row>
    <row r="36" spans="1:14" hidden="1">
      <c r="A36" s="72">
        <v>45954</v>
      </c>
      <c r="B36" s="73" t="str">
        <f>IF(Tabla13[[#This Row],[Fecha]]="","",TEXT(Tabla13[[#This Row],[Fecha]],"aaaa"))</f>
        <v>viernes</v>
      </c>
      <c r="C36" s="74" t="str">
        <f>IF(Tabla13[[#This Row],[Fecha]]="","",TEXT(Tabla13[[#This Row],[Fecha]],"mmmm"))</f>
        <v>octubre</v>
      </c>
      <c r="D36" s="75">
        <v>9.375E-2</v>
      </c>
      <c r="E36" s="75">
        <v>0.13541666666666666</v>
      </c>
      <c r="F36" s="71">
        <f>HOUR(Tabla13[[#This Row],[Hora fin ]]-Tabla13[[#This Row],[Hora inicio]])+MINUTE(Tabla13[[#This Row],[Hora fin ]]-Tabla13[[#This Row],[Hora inicio]])/60</f>
        <v>1</v>
      </c>
      <c r="G36" s="60" t="s">
        <v>10</v>
      </c>
      <c r="H36" s="60" t="s">
        <v>26</v>
      </c>
      <c r="I36" s="60" t="s">
        <v>17</v>
      </c>
      <c r="J36" s="60" t="s">
        <v>290</v>
      </c>
      <c r="K36" s="57" t="s">
        <v>411</v>
      </c>
      <c r="L36" s="75"/>
    </row>
    <row r="37" spans="1:14" hidden="1">
      <c r="A37" s="72">
        <v>45954</v>
      </c>
      <c r="B37" s="73" t="str">
        <f>IF(Tabla13[[#This Row],[Fecha]]="","",TEXT(Tabla13[[#This Row],[Fecha]],"aaaa"))</f>
        <v>viernes</v>
      </c>
      <c r="C37" s="74" t="str">
        <f>IF(Tabla13[[#This Row],[Fecha]]="","",TEXT(Tabla13[[#This Row],[Fecha]],"mmmm"))</f>
        <v>octubre</v>
      </c>
      <c r="D37" s="75">
        <v>0.23958333333333334</v>
      </c>
      <c r="E37" s="75">
        <v>0.33333333333333331</v>
      </c>
      <c r="F37" s="71">
        <f>HOUR(Tabla13[[#This Row],[Hora fin ]]-Tabla13[[#This Row],[Hora inicio]])+MINUTE(Tabla13[[#This Row],[Hora fin ]]-Tabla13[[#This Row],[Hora inicio]])/60</f>
        <v>2.25</v>
      </c>
      <c r="G37" s="60" t="s">
        <v>10</v>
      </c>
      <c r="H37" s="60" t="s">
        <v>26</v>
      </c>
      <c r="I37" s="60" t="s">
        <v>17</v>
      </c>
      <c r="J37" s="60" t="s">
        <v>290</v>
      </c>
      <c r="K37" s="57" t="s">
        <v>411</v>
      </c>
      <c r="L37" s="75"/>
    </row>
    <row r="38" spans="1:14" ht="30" hidden="1">
      <c r="A38" s="72">
        <v>45954</v>
      </c>
      <c r="B38" s="87" t="str">
        <f>IF(Tabla13[[#This Row],[Fecha]]="","",TEXT(Tabla13[[#This Row],[Fecha]],"aaaa"))</f>
        <v>viernes</v>
      </c>
      <c r="C38" s="74" t="str">
        <f>IF(Tabla13[[#This Row],[Fecha]]="","",TEXT(Tabla13[[#This Row],[Fecha]],"mmmm"))</f>
        <v>octubre</v>
      </c>
      <c r="D38" s="75">
        <v>0.8569444444444444</v>
      </c>
      <c r="E38" s="75">
        <v>1</v>
      </c>
      <c r="F38" s="71">
        <f>HOUR(Tabla13[[#This Row],[Hora fin ]]-Tabla13[[#This Row],[Hora inicio]])+MINUTE(Tabla13[[#This Row],[Hora fin ]]-Tabla13[[#This Row],[Hora inicio]])/60</f>
        <v>3.4333333333333336</v>
      </c>
      <c r="G38" s="60" t="s">
        <v>7</v>
      </c>
      <c r="H38" s="60" t="s">
        <v>20</v>
      </c>
      <c r="I38" s="60" t="s">
        <v>258</v>
      </c>
      <c r="J38" s="60" t="s">
        <v>356</v>
      </c>
      <c r="K38" s="57" t="s">
        <v>418</v>
      </c>
      <c r="L38" s="75"/>
    </row>
    <row r="39" spans="1:14" ht="30" hidden="1">
      <c r="A39" s="72">
        <v>45955</v>
      </c>
      <c r="B39" s="87" t="str">
        <f>IF(Tabla13[[#This Row],[Fecha]]="","",TEXT(Tabla13[[#This Row],[Fecha]],"aaaa"))</f>
        <v>sábado</v>
      </c>
      <c r="C39" s="74" t="str">
        <f>IF(Tabla13[[#This Row],[Fecha]]="","",TEXT(Tabla13[[#This Row],[Fecha]],"mmmm"))</f>
        <v>octubre</v>
      </c>
      <c r="D39" s="75">
        <v>6.9444444444444447E-4</v>
      </c>
      <c r="E39" s="75">
        <v>1</v>
      </c>
      <c r="F39" s="71">
        <f>HOUR(Tabla13[[#This Row],[Hora fin ]]-Tabla13[[#This Row],[Hora inicio]])+MINUTE(Tabla13[[#This Row],[Hora fin ]]-Tabla13[[#This Row],[Hora inicio]])/60</f>
        <v>23.983333333333334</v>
      </c>
      <c r="G39" s="60" t="s">
        <v>7</v>
      </c>
      <c r="H39" s="60" t="s">
        <v>20</v>
      </c>
      <c r="I39" s="60" t="s">
        <v>258</v>
      </c>
      <c r="J39" s="60" t="s">
        <v>356</v>
      </c>
      <c r="K39" s="57" t="s">
        <v>418</v>
      </c>
      <c r="L39" s="75"/>
    </row>
    <row r="40" spans="1:14" ht="30" hidden="1">
      <c r="A40" s="72">
        <v>45956</v>
      </c>
      <c r="B40" s="87" t="str">
        <f>IF(Tabla13[[#This Row],[Fecha]]="","",TEXT(Tabla13[[#This Row],[Fecha]],"aaaa"))</f>
        <v>domingo</v>
      </c>
      <c r="C40" s="74" t="str">
        <f>IF(Tabla13[[#This Row],[Fecha]]="","",TEXT(Tabla13[[#This Row],[Fecha]],"mmmm"))</f>
        <v>octubre</v>
      </c>
      <c r="D40" s="75">
        <v>6.9444444444444447E-4</v>
      </c>
      <c r="E40" s="75">
        <v>0.43402777777777779</v>
      </c>
      <c r="F40" s="71">
        <f>HOUR(Tabla13[[#This Row],[Hora fin ]]-Tabla13[[#This Row],[Hora inicio]])+MINUTE(Tabla13[[#This Row],[Hora fin ]]-Tabla13[[#This Row],[Hora inicio]])/60</f>
        <v>10.4</v>
      </c>
      <c r="G40" s="60" t="s">
        <v>7</v>
      </c>
      <c r="H40" s="60" t="s">
        <v>20</v>
      </c>
      <c r="I40" s="60" t="s">
        <v>258</v>
      </c>
      <c r="J40" s="60" t="s">
        <v>356</v>
      </c>
      <c r="K40" s="57" t="s">
        <v>418</v>
      </c>
      <c r="L40" s="75"/>
    </row>
    <row r="41" spans="1:14" hidden="1">
      <c r="A41" s="72">
        <v>45957</v>
      </c>
      <c r="B41" s="73" t="str">
        <f>IF(Tabla13[[#This Row],[Fecha]]="","",TEXT(Tabla13[[#This Row],[Fecha]],"aaaa"))</f>
        <v>lunes</v>
      </c>
      <c r="C41" s="74" t="str">
        <f>IF(Tabla13[[#This Row],[Fecha]]="","",TEXT(Tabla13[[#This Row],[Fecha]],"mmmm"))</f>
        <v>octubre</v>
      </c>
      <c r="D41" s="75">
        <v>0.52222222222222225</v>
      </c>
      <c r="E41" s="75">
        <v>0.57291666666666663</v>
      </c>
      <c r="F41" s="71">
        <f>HOUR(Tabla13[[#This Row],[Hora fin ]]-Tabla13[[#This Row],[Hora inicio]])+MINUTE(Tabla13[[#This Row],[Hora fin ]]-Tabla13[[#This Row],[Hora inicio]])/60</f>
        <v>1.2166666666666668</v>
      </c>
      <c r="G41" s="60" t="s">
        <v>13</v>
      </c>
      <c r="H41" s="60" t="s">
        <v>14</v>
      </c>
      <c r="I41" s="60" t="s">
        <v>6</v>
      </c>
      <c r="J41" s="60" t="s">
        <v>264</v>
      </c>
      <c r="K41" s="57" t="s">
        <v>412</v>
      </c>
      <c r="L41" s="75"/>
    </row>
    <row r="42" spans="1:14" hidden="1">
      <c r="A42" s="72">
        <v>45958</v>
      </c>
      <c r="B42" s="73" t="str">
        <f>IF(Tabla13[[#This Row],[Fecha]]="","",TEXT(Tabla13[[#This Row],[Fecha]],"aaaa"))</f>
        <v>martes</v>
      </c>
      <c r="C42" s="74" t="str">
        <f>IF(Tabla13[[#This Row],[Fecha]]="","",TEXT(Tabla13[[#This Row],[Fecha]],"mmmm"))</f>
        <v>octubre</v>
      </c>
      <c r="D42" s="75">
        <v>0.31388888888888888</v>
      </c>
      <c r="E42" s="75">
        <v>0.4152777777777778</v>
      </c>
      <c r="F42" s="71">
        <f>HOUR(Tabla13[[#This Row],[Hora fin ]]-Tabla13[[#This Row],[Hora inicio]])+MINUTE(Tabla13[[#This Row],[Hora fin ]]-Tabla13[[#This Row],[Hora inicio]])/60</f>
        <v>2.4333333333333336</v>
      </c>
      <c r="G42" s="60" t="s">
        <v>7</v>
      </c>
      <c r="H42" s="60" t="s">
        <v>23</v>
      </c>
      <c r="I42" s="60" t="s">
        <v>12</v>
      </c>
      <c r="J42" s="60" t="s">
        <v>273</v>
      </c>
      <c r="K42" s="57" t="s">
        <v>413</v>
      </c>
      <c r="L42" s="75"/>
    </row>
    <row r="43" spans="1:14" hidden="1">
      <c r="A43" s="72">
        <v>45958</v>
      </c>
      <c r="B43" s="73" t="str">
        <f>IF(Tabla13[[#This Row],[Fecha]]="","",TEXT(Tabla13[[#This Row],[Fecha]],"aaaa"))</f>
        <v>martes</v>
      </c>
      <c r="C43" s="74" t="str">
        <f>IF(Tabla13[[#This Row],[Fecha]]="","",TEXT(Tabla13[[#This Row],[Fecha]],"mmmm"))</f>
        <v>octubre</v>
      </c>
      <c r="D43" s="75">
        <v>0.44027777777777777</v>
      </c>
      <c r="E43" s="75">
        <v>0.46041666666666664</v>
      </c>
      <c r="F43" s="71">
        <f>HOUR(Tabla13[[#This Row],[Hora fin ]]-Tabla13[[#This Row],[Hora inicio]])+MINUTE(Tabla13[[#This Row],[Hora fin ]]-Tabla13[[#This Row],[Hora inicio]])/60</f>
        <v>0.48333333333333334</v>
      </c>
      <c r="G43" s="60" t="s">
        <v>10</v>
      </c>
      <c r="H43" s="60" t="s">
        <v>26</v>
      </c>
      <c r="I43" s="60" t="s">
        <v>257</v>
      </c>
      <c r="J43" s="60" t="s">
        <v>287</v>
      </c>
      <c r="K43" s="57" t="s">
        <v>414</v>
      </c>
      <c r="L43" s="75"/>
    </row>
    <row r="44" spans="1:14" hidden="1">
      <c r="A44" s="72">
        <v>45958</v>
      </c>
      <c r="B44" s="73" t="str">
        <f>IF(Tabla13[[#This Row],[Fecha]]="","",TEXT(Tabla13[[#This Row],[Fecha]],"aaaa"))</f>
        <v>martes</v>
      </c>
      <c r="C44" s="74" t="str">
        <f>IF(Tabla13[[#This Row],[Fecha]]="","",TEXT(Tabla13[[#This Row],[Fecha]],"mmmm"))</f>
        <v>octubre</v>
      </c>
      <c r="D44" s="75">
        <v>0.51249999999999996</v>
      </c>
      <c r="E44" s="75">
        <v>0.5229166666666667</v>
      </c>
      <c r="F44" s="71">
        <f>HOUR(Tabla13[[#This Row],[Hora fin ]]-Tabla13[[#This Row],[Hora inicio]])+MINUTE(Tabla13[[#This Row],[Hora fin ]]-Tabla13[[#This Row],[Hora inicio]])/60</f>
        <v>0.25</v>
      </c>
      <c r="G44" s="60" t="s">
        <v>10</v>
      </c>
      <c r="H44" s="60" t="s">
        <v>20</v>
      </c>
      <c r="I44" s="60" t="s">
        <v>258</v>
      </c>
      <c r="J44" s="60" t="s">
        <v>359</v>
      </c>
      <c r="K44" s="57" t="s">
        <v>415</v>
      </c>
      <c r="L44" s="75"/>
    </row>
    <row r="45" spans="1:14" hidden="1">
      <c r="A45" s="72">
        <v>45959</v>
      </c>
      <c r="B45" s="73" t="str">
        <f>IF(Tabla13[[#This Row],[Fecha]]="","",TEXT(Tabla13[[#This Row],[Fecha]],"aaaa"))</f>
        <v>miércoles</v>
      </c>
      <c r="C45" s="74" t="str">
        <f>IF(Tabla13[[#This Row],[Fecha]]="","",TEXT(Tabla13[[#This Row],[Fecha]],"mmmm"))</f>
        <v>octubre</v>
      </c>
      <c r="D45" s="75">
        <v>0.10902777777777778</v>
      </c>
      <c r="E45" s="75">
        <v>0.11666666666666667</v>
      </c>
      <c r="F45" s="71">
        <f>HOUR(Tabla13[[#This Row],[Hora fin ]]-Tabla13[[#This Row],[Hora inicio]])+MINUTE(Tabla13[[#This Row],[Hora fin ]]-Tabla13[[#This Row],[Hora inicio]])/60</f>
        <v>0.18333333333333332</v>
      </c>
      <c r="G45" s="60" t="s">
        <v>10</v>
      </c>
      <c r="H45" s="60" t="s">
        <v>26</v>
      </c>
      <c r="I45" s="60" t="s">
        <v>257</v>
      </c>
      <c r="J45" s="60" t="s">
        <v>287</v>
      </c>
      <c r="K45" s="57" t="s">
        <v>414</v>
      </c>
      <c r="L45" s="75"/>
    </row>
    <row r="46" spans="1:14" ht="30" hidden="1">
      <c r="A46" s="72">
        <v>45959</v>
      </c>
      <c r="B46" s="73" t="str">
        <f>IF(Tabla13[[#This Row],[Fecha]]="","",TEXT(Tabla13[[#This Row],[Fecha]],"aaaa"))</f>
        <v>miércoles</v>
      </c>
      <c r="C46" s="74" t="str">
        <f>IF(Tabla13[[#This Row],[Fecha]]="","",TEXT(Tabla13[[#This Row],[Fecha]],"mmmm"))</f>
        <v>octubre</v>
      </c>
      <c r="D46" s="75">
        <v>0.4513888888888889</v>
      </c>
      <c r="E46" s="75">
        <v>0.45763888888888887</v>
      </c>
      <c r="F46" s="71">
        <f>HOUR(Tabla13[[#This Row],[Hora fin ]]-Tabla13[[#This Row],[Hora inicio]])+MINUTE(Tabla13[[#This Row],[Hora fin ]]-Tabla13[[#This Row],[Hora inicio]])/60</f>
        <v>0.15</v>
      </c>
      <c r="G46" s="60" t="s">
        <v>10</v>
      </c>
      <c r="H46" s="60" t="s">
        <v>25</v>
      </c>
      <c r="I46" s="60" t="s">
        <v>17</v>
      </c>
      <c r="J46" s="60" t="s">
        <v>291</v>
      </c>
      <c r="K46" s="57" t="s">
        <v>416</v>
      </c>
      <c r="L46" s="75"/>
    </row>
    <row r="47" spans="1:14" hidden="1">
      <c r="A47" s="72">
        <v>45960</v>
      </c>
      <c r="B47" s="73" t="str">
        <f>IF(Tabla13[[#This Row],[Fecha]]="","",TEXT(Tabla13[[#This Row],[Fecha]],"aaaa"))</f>
        <v>jueves</v>
      </c>
      <c r="C47" s="74" t="str">
        <f>IF(Tabla13[[#This Row],[Fecha]]="","",TEXT(Tabla13[[#This Row],[Fecha]],"mmmm"))</f>
        <v>octubre</v>
      </c>
      <c r="D47" s="75">
        <v>0.2013888888888889</v>
      </c>
      <c r="E47" s="75">
        <v>0.2986111111111111</v>
      </c>
      <c r="F47" s="71">
        <f>HOUR(Tabla13[[#This Row],[Hora fin ]]-Tabla13[[#This Row],[Hora inicio]])+MINUTE(Tabla13[[#This Row],[Hora fin ]]-Tabla13[[#This Row],[Hora inicio]])/60</f>
        <v>2.3333333333333335</v>
      </c>
      <c r="G47" s="60" t="s">
        <v>7</v>
      </c>
      <c r="H47" s="60" t="s">
        <v>23</v>
      </c>
      <c r="I47" s="60" t="s">
        <v>9</v>
      </c>
      <c r="J47" s="60" t="s">
        <v>267</v>
      </c>
      <c r="K47" s="57" t="s">
        <v>417</v>
      </c>
      <c r="L47" s="75"/>
    </row>
    <row r="48" spans="1:14" hidden="1">
      <c r="A48" s="72">
        <v>45960</v>
      </c>
      <c r="B48" s="103" t="str">
        <f>IF(Tabla13[[#This Row],[Fecha]]="","",TEXT(Tabla13[[#This Row],[Fecha]],"aaaa"))</f>
        <v>jueves</v>
      </c>
      <c r="C48" s="103" t="str">
        <f>IF(Tabla13[[#This Row],[Fecha]]="","",TEXT(Tabla13[[#This Row],[Fecha]],"mmmm"))</f>
        <v>octubre</v>
      </c>
      <c r="D48" s="60">
        <v>0.31944444444444442</v>
      </c>
      <c r="E48" s="60">
        <v>0.32430555555555557</v>
      </c>
      <c r="F48" s="71">
        <f>HOUR(Tabla13[[#This Row],[Hora fin ]]-Tabla13[[#This Row],[Hora inicio]])+MINUTE(Tabla13[[#This Row],[Hora fin ]]-Tabla13[[#This Row],[Hora inicio]])/60</f>
        <v>0.11666666666666667</v>
      </c>
      <c r="G48" s="72" t="s">
        <v>10</v>
      </c>
      <c r="H48" s="72" t="s">
        <v>26</v>
      </c>
      <c r="I48" s="72" t="s">
        <v>257</v>
      </c>
      <c r="J48" s="72" t="s">
        <v>287</v>
      </c>
      <c r="K48" s="56" t="s">
        <v>414</v>
      </c>
      <c r="L48" s="72"/>
    </row>
    <row r="49" spans="1:12" hidden="1">
      <c r="A49" s="72">
        <v>45960</v>
      </c>
      <c r="B49" s="103" t="str">
        <f>IF(Tabla13[[#This Row],[Fecha]]="","",TEXT(Tabla13[[#This Row],[Fecha]],"aaaa"))</f>
        <v>jueves</v>
      </c>
      <c r="C49" s="103" t="str">
        <f>IF(Tabla13[[#This Row],[Fecha]]="","",TEXT(Tabla13[[#This Row],[Fecha]],"mmmm"))</f>
        <v>octubre</v>
      </c>
      <c r="D49" s="60">
        <v>0.75069444444444444</v>
      </c>
      <c r="E49" s="60">
        <v>0.76111111111111107</v>
      </c>
      <c r="F49" s="71">
        <f>HOUR(Tabla13[[#This Row],[Hora fin ]]-Tabla13[[#This Row],[Hora inicio]])+MINUTE(Tabla13[[#This Row],[Hora fin ]]-Tabla13[[#This Row],[Hora inicio]])/60</f>
        <v>0.25</v>
      </c>
      <c r="G49" s="60" t="s">
        <v>10</v>
      </c>
      <c r="H49" s="60" t="s">
        <v>30</v>
      </c>
      <c r="I49" s="60" t="s">
        <v>12</v>
      </c>
      <c r="J49" s="60" t="s">
        <v>270</v>
      </c>
      <c r="K49" s="57" t="s">
        <v>401</v>
      </c>
      <c r="L49" s="72"/>
    </row>
    <row r="50" spans="1:12" hidden="1">
      <c r="A50" s="72">
        <v>45961</v>
      </c>
      <c r="B50" s="103" t="str">
        <f>IF(Tabla13[[#This Row],[Fecha]]="","",TEXT(Tabla13[[#This Row],[Fecha]],"aaaa"))</f>
        <v>viernes</v>
      </c>
      <c r="C50" s="103" t="str">
        <f>IF(Tabla13[[#This Row],[Fecha]]="","",TEXT(Tabla13[[#This Row],[Fecha]],"mmmm"))</f>
        <v>octubre</v>
      </c>
      <c r="D50" s="60">
        <v>0.38055555555555554</v>
      </c>
      <c r="E50" s="60">
        <v>0.61805555555555558</v>
      </c>
      <c r="F50" s="71">
        <f>HOUR(Tabla13[[#This Row],[Hora fin ]]-Tabla13[[#This Row],[Hora inicio]])+MINUTE(Tabla13[[#This Row],[Hora fin ]]-Tabla13[[#This Row],[Hora inicio]])/60</f>
        <v>5.7</v>
      </c>
      <c r="G50" s="60" t="s">
        <v>10</v>
      </c>
      <c r="H50" s="60" t="s">
        <v>26</v>
      </c>
      <c r="I50" s="60" t="s">
        <v>17</v>
      </c>
      <c r="J50" s="60" t="s">
        <v>290</v>
      </c>
      <c r="K50" s="57" t="s">
        <v>411</v>
      </c>
      <c r="L50" s="72"/>
    </row>
    <row r="51" spans="1:12" hidden="1">
      <c r="A51" s="72">
        <v>45961</v>
      </c>
      <c r="B51" s="103" t="str">
        <f>IF(Tabla13[[#This Row],[Fecha]]="","",TEXT(Tabla13[[#This Row],[Fecha]],"aaaa"))</f>
        <v>viernes</v>
      </c>
      <c r="C51" s="103" t="str">
        <f>IF(Tabla13[[#This Row],[Fecha]]="","",TEXT(Tabla13[[#This Row],[Fecha]],"mmmm"))</f>
        <v>octubre</v>
      </c>
      <c r="D51" s="60">
        <v>0.85486111111111107</v>
      </c>
      <c r="E51" s="60">
        <v>0.88541666666666663</v>
      </c>
      <c r="F51" s="71">
        <f>HOUR(Tabla13[[#This Row],[Hora fin ]]-Tabla13[[#This Row],[Hora inicio]])+MINUTE(Tabla13[[#This Row],[Hora fin ]]-Tabla13[[#This Row],[Hora inicio]])/60</f>
        <v>0.73333333333333328</v>
      </c>
      <c r="G51" s="60" t="s">
        <v>10</v>
      </c>
      <c r="H51" s="60" t="s">
        <v>26</v>
      </c>
      <c r="I51" s="60" t="s">
        <v>17</v>
      </c>
      <c r="J51" s="60" t="s">
        <v>290</v>
      </c>
      <c r="K51" s="57" t="s">
        <v>411</v>
      </c>
      <c r="L51" s="72"/>
    </row>
    <row r="52" spans="1:12" hidden="1">
      <c r="A52" s="72">
        <v>45965</v>
      </c>
      <c r="B52" s="103" t="str">
        <f>IF(Tabla13[[#This Row],[Fecha]]="","",TEXT(Tabla13[[#This Row],[Fecha]],"aaaa"))</f>
        <v>martes</v>
      </c>
      <c r="C52" s="103" t="str">
        <f>IF(Tabla13[[#This Row],[Fecha]]="","",TEXT(Tabla13[[#This Row],[Fecha]],"mmmm"))</f>
        <v>noviembre</v>
      </c>
      <c r="D52" s="60">
        <v>0.54305555555555551</v>
      </c>
      <c r="E52" s="60">
        <v>0.54583333333333328</v>
      </c>
      <c r="F52" s="71">
        <f>HOUR(Tabla13[[#This Row],[Hora fin ]]-Tabla13[[#This Row],[Hora inicio]])+MINUTE(Tabla13[[#This Row],[Hora fin ]]-Tabla13[[#This Row],[Hora inicio]])/60</f>
        <v>6.6666666666666666E-2</v>
      </c>
      <c r="G52" s="60" t="s">
        <v>4</v>
      </c>
      <c r="H52" s="60" t="s">
        <v>5</v>
      </c>
      <c r="I52" s="60" t="s">
        <v>258</v>
      </c>
      <c r="J52" s="60" t="s">
        <v>356</v>
      </c>
      <c r="K52" s="57" t="s">
        <v>400</v>
      </c>
      <c r="L52" s="72"/>
    </row>
    <row r="53" spans="1:12" hidden="1">
      <c r="A53" s="72">
        <v>45965</v>
      </c>
      <c r="B53" s="103" t="str">
        <f>IF(Tabla13[[#This Row],[Fecha]]="","",TEXT(Tabla13[[#This Row],[Fecha]],"aaaa"))</f>
        <v>martes</v>
      </c>
      <c r="C53" s="103" t="str">
        <f>IF(Tabla13[[#This Row],[Fecha]]="","",TEXT(Tabla13[[#This Row],[Fecha]],"mmmm"))</f>
        <v>noviembre</v>
      </c>
      <c r="D53" s="60">
        <v>0.60902777777777772</v>
      </c>
      <c r="E53" s="60">
        <v>0.61041666666666672</v>
      </c>
      <c r="F53" s="71">
        <f>HOUR(Tabla13[[#This Row],[Hora fin ]]-Tabla13[[#This Row],[Hora inicio]])+MINUTE(Tabla13[[#This Row],[Hora fin ]]-Tabla13[[#This Row],[Hora inicio]])/60</f>
        <v>3.3333333333333333E-2</v>
      </c>
      <c r="G53" s="60" t="s">
        <v>4</v>
      </c>
      <c r="H53" s="60" t="s">
        <v>5</v>
      </c>
      <c r="I53" s="60" t="s">
        <v>258</v>
      </c>
      <c r="J53" s="60" t="s">
        <v>356</v>
      </c>
      <c r="K53" s="57" t="s">
        <v>400</v>
      </c>
      <c r="L53" s="72"/>
    </row>
    <row r="54" spans="1:12" hidden="1">
      <c r="A54" s="72">
        <v>45965</v>
      </c>
      <c r="B54" s="103" t="str">
        <f>IF(Tabla13[[#This Row],[Fecha]]="","",TEXT(Tabla13[[#This Row],[Fecha]],"aaaa"))</f>
        <v>martes</v>
      </c>
      <c r="C54" s="103" t="str">
        <f>IF(Tabla13[[#This Row],[Fecha]]="","",TEXT(Tabla13[[#This Row],[Fecha]],"mmmm"))</f>
        <v>noviembre</v>
      </c>
      <c r="D54" s="60">
        <v>0.62708333333333333</v>
      </c>
      <c r="E54" s="60">
        <v>0.65625</v>
      </c>
      <c r="F54" s="71">
        <f>HOUR(Tabla13[[#This Row],[Hora fin ]]-Tabla13[[#This Row],[Hora inicio]])+MINUTE(Tabla13[[#This Row],[Hora fin ]]-Tabla13[[#This Row],[Hora inicio]])/60</f>
        <v>0.7</v>
      </c>
      <c r="G54" s="60" t="s">
        <v>10</v>
      </c>
      <c r="H54" s="60" t="s">
        <v>26</v>
      </c>
      <c r="I54" s="60" t="s">
        <v>17</v>
      </c>
      <c r="J54" s="60" t="s">
        <v>290</v>
      </c>
      <c r="K54" s="57" t="s">
        <v>411</v>
      </c>
      <c r="L54" s="72"/>
    </row>
    <row r="55" spans="1:12" s="81" customFormat="1" hidden="1">
      <c r="A55" s="72">
        <v>45966</v>
      </c>
      <c r="B55" s="103" t="str">
        <f>IF(Tabla13[[#This Row],[Fecha]]="","",TEXT(Tabla13[[#This Row],[Fecha]],"aaaa"))</f>
        <v>miércoles</v>
      </c>
      <c r="C55" s="103" t="str">
        <f>IF(Tabla13[[#This Row],[Fecha]]="","",TEXT(Tabla13[[#This Row],[Fecha]],"mmmm"))</f>
        <v>noviembre</v>
      </c>
      <c r="D55" s="105">
        <v>0.63888888888888884</v>
      </c>
      <c r="E55" s="105">
        <v>0.65208333333333335</v>
      </c>
      <c r="F55" s="71">
        <f>HOUR(Tabla13[[#This Row],[Hora fin ]]-Tabla13[[#This Row],[Hora inicio]])+MINUTE(Tabla13[[#This Row],[Hora fin ]]-Tabla13[[#This Row],[Hora inicio]])/60</f>
        <v>0.31666666666666665</v>
      </c>
      <c r="G55" s="80" t="s">
        <v>7</v>
      </c>
      <c r="H55" s="80" t="s">
        <v>23</v>
      </c>
      <c r="I55" s="80" t="s">
        <v>21</v>
      </c>
      <c r="J55" s="72" t="s">
        <v>337</v>
      </c>
      <c r="K55" s="104" t="s">
        <v>419</v>
      </c>
      <c r="L55" s="80"/>
    </row>
    <row r="56" spans="1:12" s="81" customFormat="1" hidden="1">
      <c r="A56" s="72">
        <v>45966</v>
      </c>
      <c r="B56" s="103" t="str">
        <f>IF(Tabla13[[#This Row],[Fecha]]="","",TEXT(Tabla13[[#This Row],[Fecha]],"aaaa"))</f>
        <v>miércoles</v>
      </c>
      <c r="C56" s="103" t="str">
        <f>IF(Tabla13[[#This Row],[Fecha]]="","",TEXT(Tabla13[[#This Row],[Fecha]],"mmmm"))</f>
        <v>noviembre</v>
      </c>
      <c r="D56" s="105">
        <v>0.9375</v>
      </c>
      <c r="E56" s="105">
        <v>0.9458333333333333</v>
      </c>
      <c r="F56" s="71">
        <f>HOUR(Tabla13[[#This Row],[Hora fin ]]-Tabla13[[#This Row],[Hora inicio]])+MINUTE(Tabla13[[#This Row],[Hora fin ]]-Tabla13[[#This Row],[Hora inicio]])/60</f>
        <v>0.2</v>
      </c>
      <c r="G56" s="80" t="s">
        <v>7</v>
      </c>
      <c r="H56" s="80" t="s">
        <v>20</v>
      </c>
      <c r="I56" s="80" t="s">
        <v>258</v>
      </c>
      <c r="J56" s="72" t="s">
        <v>356</v>
      </c>
      <c r="K56" s="104" t="s">
        <v>420</v>
      </c>
      <c r="L56" s="80"/>
    </row>
    <row r="57" spans="1:12" hidden="1">
      <c r="A57" s="72">
        <v>45967</v>
      </c>
      <c r="B57" s="103" t="str">
        <f>IF(Tabla13[[#This Row],[Fecha]]="","",TEXT(Tabla13[[#This Row],[Fecha]],"aaaa"))</f>
        <v>jueves</v>
      </c>
      <c r="C57" s="103" t="str">
        <f>IF(Tabla13[[#This Row],[Fecha]]="","",TEXT(Tabla13[[#This Row],[Fecha]],"mmmm"))</f>
        <v>noviembre</v>
      </c>
      <c r="D57" s="60">
        <v>0.39930555555555558</v>
      </c>
      <c r="E57" s="60">
        <v>0.43263888888888891</v>
      </c>
      <c r="F57" s="71">
        <f>HOUR(Tabla13[[#This Row],[Hora fin ]]-Tabla13[[#This Row],[Hora inicio]])+MINUTE(Tabla13[[#This Row],[Hora fin ]]-Tabla13[[#This Row],[Hora inicio]])/60</f>
        <v>0.8</v>
      </c>
      <c r="G57" s="60" t="s">
        <v>10</v>
      </c>
      <c r="H57" s="60" t="s">
        <v>26</v>
      </c>
      <c r="I57" s="60" t="s">
        <v>17</v>
      </c>
      <c r="J57" s="60" t="s">
        <v>290</v>
      </c>
      <c r="K57" s="57" t="s">
        <v>411</v>
      </c>
      <c r="L57" s="72"/>
    </row>
    <row r="58" spans="1:12" ht="30" hidden="1">
      <c r="A58" s="72">
        <v>45968</v>
      </c>
      <c r="B58" s="103" t="str">
        <f>IF(Tabla13[[#This Row],[Fecha]]="","",TEXT(Tabla13[[#This Row],[Fecha]],"aaaa"))</f>
        <v>viernes</v>
      </c>
      <c r="C58" s="103" t="str">
        <f>IF(Tabla13[[#This Row],[Fecha]]="","",TEXT(Tabla13[[#This Row],[Fecha]],"mmmm"))</f>
        <v>noviembre</v>
      </c>
      <c r="D58" s="60">
        <v>0.54861111111111116</v>
      </c>
      <c r="E58" s="60">
        <v>0.58333333333333337</v>
      </c>
      <c r="F58" s="71">
        <f>HOUR(Tabla13[[#This Row],[Hora fin ]]-Tabla13[[#This Row],[Hora inicio]])+MINUTE(Tabla13[[#This Row],[Hora fin ]]-Tabla13[[#This Row],[Hora inicio]])/60</f>
        <v>0.83333333333333337</v>
      </c>
      <c r="G58" s="72" t="s">
        <v>7</v>
      </c>
      <c r="H58" s="72" t="s">
        <v>23</v>
      </c>
      <c r="I58" s="72" t="s">
        <v>19</v>
      </c>
      <c r="J58" s="72" t="s">
        <v>300</v>
      </c>
      <c r="K58" s="56" t="s">
        <v>421</v>
      </c>
      <c r="L58" s="72"/>
    </row>
    <row r="59" spans="1:12" hidden="1">
      <c r="A59" s="72">
        <v>45969</v>
      </c>
      <c r="B59" s="103" t="str">
        <f>IF(Tabla13[[#This Row],[Fecha]]="","",TEXT(Tabla13[[#This Row],[Fecha]],"aaaa"))</f>
        <v>sábado</v>
      </c>
      <c r="C59" s="103" t="str">
        <f>IF(Tabla13[[#This Row],[Fecha]]="","",TEXT(Tabla13[[#This Row],[Fecha]],"mmmm"))</f>
        <v>noviembre</v>
      </c>
      <c r="D59" s="60">
        <v>0.37222222222222223</v>
      </c>
      <c r="E59" s="60">
        <v>0.38194444444444442</v>
      </c>
      <c r="F59" s="71">
        <f>HOUR(Tabla13[[#This Row],[Hora fin ]]-Tabla13[[#This Row],[Hora inicio]])+MINUTE(Tabla13[[#This Row],[Hora fin ]]-Tabla13[[#This Row],[Hora inicio]])/60</f>
        <v>0.23333333333333334</v>
      </c>
      <c r="G59" s="60" t="s">
        <v>10</v>
      </c>
      <c r="H59" s="60" t="s">
        <v>30</v>
      </c>
      <c r="I59" s="60" t="s">
        <v>12</v>
      </c>
      <c r="J59" s="60" t="s">
        <v>270</v>
      </c>
      <c r="K59" s="57" t="s">
        <v>401</v>
      </c>
      <c r="L59" s="72"/>
    </row>
    <row r="60" spans="1:12" ht="30" hidden="1">
      <c r="A60" s="72">
        <v>45969</v>
      </c>
      <c r="B60" s="103" t="str">
        <f>IF(Tabla13[[#This Row],[Fecha]]="","",TEXT(Tabla13[[#This Row],[Fecha]],"aaaa"))</f>
        <v>sábado</v>
      </c>
      <c r="C60" s="103" t="str">
        <f>IF(Tabla13[[#This Row],[Fecha]]="","",TEXT(Tabla13[[#This Row],[Fecha]],"mmmm"))</f>
        <v>noviembre</v>
      </c>
      <c r="D60" s="60">
        <v>0.39791666666666664</v>
      </c>
      <c r="E60" s="60">
        <v>0.41041666666666665</v>
      </c>
      <c r="F60" s="71">
        <f>HOUR(Tabla13[[#This Row],[Hora fin ]]-Tabla13[[#This Row],[Hora inicio]])+MINUTE(Tabla13[[#This Row],[Hora fin ]]-Tabla13[[#This Row],[Hora inicio]])/60</f>
        <v>0.3</v>
      </c>
      <c r="G60" s="72" t="s">
        <v>7</v>
      </c>
      <c r="H60" s="72" t="s">
        <v>23</v>
      </c>
      <c r="I60" s="72" t="s">
        <v>17</v>
      </c>
      <c r="J60" s="72" t="s">
        <v>290</v>
      </c>
      <c r="K60" s="56" t="s">
        <v>422</v>
      </c>
      <c r="L60" s="72"/>
    </row>
    <row r="61" spans="1:12" hidden="1">
      <c r="A61" s="72">
        <v>45969</v>
      </c>
      <c r="B61" s="103" t="str">
        <f>IF(Tabla13[[#This Row],[Fecha]]="","",TEXT(Tabla13[[#This Row],[Fecha]],"aaaa"))</f>
        <v>sábado</v>
      </c>
      <c r="C61" s="103" t="str">
        <f>IF(Tabla13[[#This Row],[Fecha]]="","",TEXT(Tabla13[[#This Row],[Fecha]],"mmmm"))</f>
        <v>noviembre</v>
      </c>
      <c r="D61" s="60">
        <v>0.52916666666666667</v>
      </c>
      <c r="E61" s="60">
        <v>0.5444444444444444</v>
      </c>
      <c r="F61" s="71">
        <f>HOUR(Tabla13[[#This Row],[Hora fin ]]-Tabla13[[#This Row],[Hora inicio]])+MINUTE(Tabla13[[#This Row],[Hora fin ]]-Tabla13[[#This Row],[Hora inicio]])/60</f>
        <v>0.36666666666666664</v>
      </c>
      <c r="G61" s="60" t="s">
        <v>10</v>
      </c>
      <c r="H61" s="60" t="s">
        <v>30</v>
      </c>
      <c r="I61" s="60" t="s">
        <v>12</v>
      </c>
      <c r="J61" s="60" t="s">
        <v>270</v>
      </c>
      <c r="K61" s="57" t="s">
        <v>401</v>
      </c>
      <c r="L61" s="72"/>
    </row>
    <row r="62" spans="1:12" hidden="1">
      <c r="A62" s="72">
        <v>45969</v>
      </c>
      <c r="B62" s="103" t="str">
        <f>IF(Tabla13[[#This Row],[Fecha]]="","",TEXT(Tabla13[[#This Row],[Fecha]],"aaaa"))</f>
        <v>sábado</v>
      </c>
      <c r="C62" s="103" t="str">
        <f>IF(Tabla13[[#This Row],[Fecha]]="","",TEXT(Tabla13[[#This Row],[Fecha]],"mmmm"))</f>
        <v>noviembre</v>
      </c>
      <c r="D62" s="60">
        <v>0.61736111111111114</v>
      </c>
      <c r="E62" s="60">
        <v>0.62777777777777777</v>
      </c>
      <c r="F62" s="71">
        <f>HOUR(Tabla13[[#This Row],[Hora fin ]]-Tabla13[[#This Row],[Hora inicio]])+MINUTE(Tabla13[[#This Row],[Hora fin ]]-Tabla13[[#This Row],[Hora inicio]])/60</f>
        <v>0.25</v>
      </c>
      <c r="G62" s="60" t="s">
        <v>10</v>
      </c>
      <c r="H62" s="60" t="s">
        <v>30</v>
      </c>
      <c r="I62" s="60" t="s">
        <v>12</v>
      </c>
      <c r="J62" s="60" t="s">
        <v>270</v>
      </c>
      <c r="K62" s="57" t="s">
        <v>401</v>
      </c>
      <c r="L62" s="72"/>
    </row>
    <row r="63" spans="1:12" hidden="1">
      <c r="A63" s="72">
        <v>45969</v>
      </c>
      <c r="B63" s="103" t="str">
        <f>IF(Tabla13[[#This Row],[Fecha]]="","",TEXT(Tabla13[[#This Row],[Fecha]],"aaaa"))</f>
        <v>sábado</v>
      </c>
      <c r="C63" s="103" t="str">
        <f>IF(Tabla13[[#This Row],[Fecha]]="","",TEXT(Tabla13[[#This Row],[Fecha]],"mmmm"))</f>
        <v>noviembre</v>
      </c>
      <c r="D63" s="106">
        <v>0.77638888888888891</v>
      </c>
      <c r="E63" s="60">
        <v>0.78541666666666665</v>
      </c>
      <c r="F63" s="71">
        <f>HOUR(Tabla13[[#This Row],[Hora fin ]]-Tabla13[[#This Row],[Hora inicio]])+MINUTE(Tabla13[[#This Row],[Hora fin ]]-Tabla13[[#This Row],[Hora inicio]])/60</f>
        <v>0.21666666666666667</v>
      </c>
      <c r="G63" s="60" t="s">
        <v>10</v>
      </c>
      <c r="H63" s="60" t="s">
        <v>30</v>
      </c>
      <c r="I63" s="60" t="s">
        <v>12</v>
      </c>
      <c r="J63" s="60" t="s">
        <v>270</v>
      </c>
      <c r="K63" s="57" t="s">
        <v>401</v>
      </c>
      <c r="L63" s="72"/>
    </row>
    <row r="64" spans="1:12" hidden="1">
      <c r="A64" s="72">
        <v>45969</v>
      </c>
      <c r="B64" s="103" t="str">
        <f>IF(Tabla13[[#This Row],[Fecha]]="","",TEXT(Tabla13[[#This Row],[Fecha]],"aaaa"))</f>
        <v>sábado</v>
      </c>
      <c r="C64" s="103" t="str">
        <f>IF(Tabla13[[#This Row],[Fecha]]="","",TEXT(Tabla13[[#This Row],[Fecha]],"mmmm"))</f>
        <v>noviembre</v>
      </c>
      <c r="D64" s="60">
        <v>0.85624999999999996</v>
      </c>
      <c r="E64" s="60">
        <v>0.86527777777777781</v>
      </c>
      <c r="F64" s="71">
        <f>HOUR(Tabla13[[#This Row],[Hora fin ]]-Tabla13[[#This Row],[Hora inicio]])+MINUTE(Tabla13[[#This Row],[Hora fin ]]-Tabla13[[#This Row],[Hora inicio]])/60</f>
        <v>0.21666666666666667</v>
      </c>
      <c r="G64" s="60" t="s">
        <v>10</v>
      </c>
      <c r="H64" s="60" t="s">
        <v>30</v>
      </c>
      <c r="I64" s="60" t="s">
        <v>12</v>
      </c>
      <c r="J64" s="60" t="s">
        <v>270</v>
      </c>
      <c r="K64" s="57" t="s">
        <v>401</v>
      </c>
      <c r="L64" s="72"/>
    </row>
    <row r="65" spans="1:79" hidden="1">
      <c r="A65" s="72">
        <v>45969</v>
      </c>
      <c r="B65" s="103" t="str">
        <f>IF(Tabla13[[#This Row],[Fecha]]="","",TEXT(Tabla13[[#This Row],[Fecha]],"aaaa"))</f>
        <v>sábado</v>
      </c>
      <c r="C65" s="103" t="str">
        <f>IF(Tabla13[[#This Row],[Fecha]]="","",TEXT(Tabla13[[#This Row],[Fecha]],"mmmm"))</f>
        <v>noviembre</v>
      </c>
      <c r="D65" s="60">
        <v>0.94097222222222221</v>
      </c>
      <c r="E65" s="60">
        <v>0.96527777777777779</v>
      </c>
      <c r="F65" s="71">
        <f>HOUR(Tabla13[[#This Row],[Hora fin ]]-Tabla13[[#This Row],[Hora inicio]])+MINUTE(Tabla13[[#This Row],[Hora fin ]]-Tabla13[[#This Row],[Hora inicio]])/60</f>
        <v>0.58333333333333337</v>
      </c>
      <c r="G65" s="60" t="s">
        <v>10</v>
      </c>
      <c r="H65" s="60" t="s">
        <v>30</v>
      </c>
      <c r="I65" s="60" t="s">
        <v>12</v>
      </c>
      <c r="J65" s="60" t="s">
        <v>270</v>
      </c>
      <c r="K65" s="57" t="s">
        <v>401</v>
      </c>
      <c r="L65" s="72"/>
    </row>
    <row r="66" spans="1:79" hidden="1">
      <c r="A66" s="72">
        <v>45970</v>
      </c>
      <c r="B66" s="103" t="str">
        <f>IF(Tabla13[[#This Row],[Fecha]]="","",TEXT(Tabla13[[#This Row],[Fecha]],"aaaa"))</f>
        <v>domingo</v>
      </c>
      <c r="C66" s="103" t="str">
        <f>IF(Tabla13[[#This Row],[Fecha]]="","",TEXT(Tabla13[[#This Row],[Fecha]],"mmmm"))</f>
        <v>noviembre</v>
      </c>
      <c r="D66" s="60">
        <v>4.7222222222222221E-2</v>
      </c>
      <c r="E66" s="60">
        <v>9.166666666666666E-2</v>
      </c>
      <c r="F66" s="71">
        <f>HOUR(Tabla13[[#This Row],[Hora fin ]]-Tabla13[[#This Row],[Hora inicio]])+MINUTE(Tabla13[[#This Row],[Hora fin ]]-Tabla13[[#This Row],[Hora inicio]])/60</f>
        <v>1.0666666666666667</v>
      </c>
      <c r="G66" s="72" t="s">
        <v>7</v>
      </c>
      <c r="H66" s="72" t="s">
        <v>20</v>
      </c>
      <c r="I66" s="72" t="s">
        <v>258</v>
      </c>
      <c r="J66" s="72" t="s">
        <v>356</v>
      </c>
      <c r="K66" s="56" t="s">
        <v>423</v>
      </c>
      <c r="L66" s="72"/>
    </row>
    <row r="67" spans="1:79" hidden="1">
      <c r="A67" s="72">
        <v>45971</v>
      </c>
      <c r="B67" s="103" t="str">
        <f>IF(Tabla13[[#This Row],[Fecha]]="","",TEXT(Tabla13[[#This Row],[Fecha]],"aaaa"))</f>
        <v>lunes</v>
      </c>
      <c r="C67" s="103" t="str">
        <f>IF(Tabla13[[#This Row],[Fecha]]="","",TEXT(Tabla13[[#This Row],[Fecha]],"mmmm"))</f>
        <v>noviembre</v>
      </c>
      <c r="D67" s="60">
        <v>0.625</v>
      </c>
      <c r="E67" s="60">
        <v>0.63124999999999998</v>
      </c>
      <c r="F67" s="71">
        <f>HOUR(Tabla13[[#This Row],[Hora fin ]]-Tabla13[[#This Row],[Hora inicio]])+MINUTE(Tabla13[[#This Row],[Hora fin ]]-Tabla13[[#This Row],[Hora inicio]])/60</f>
        <v>0.15</v>
      </c>
      <c r="G67" s="60" t="s">
        <v>4</v>
      </c>
      <c r="H67" s="60" t="s">
        <v>5</v>
      </c>
      <c r="I67" s="60" t="s">
        <v>258</v>
      </c>
      <c r="J67" s="60" t="s">
        <v>356</v>
      </c>
      <c r="K67" s="57" t="s">
        <v>400</v>
      </c>
      <c r="L67" s="72"/>
    </row>
    <row r="68" spans="1:79" hidden="1">
      <c r="A68" s="72">
        <v>45971</v>
      </c>
      <c r="B68" s="103" t="str">
        <f>IF(Tabla13[[#This Row],[Fecha]]="","",TEXT(Tabla13[[#This Row],[Fecha]],"aaaa"))</f>
        <v>lunes</v>
      </c>
      <c r="C68" s="103" t="str">
        <f>IF(Tabla13[[#This Row],[Fecha]]="","",TEXT(Tabla13[[#This Row],[Fecha]],"mmmm"))</f>
        <v>noviembre</v>
      </c>
      <c r="D68" s="60">
        <v>0.65069444444444446</v>
      </c>
      <c r="E68" s="60">
        <v>0.65277777777777779</v>
      </c>
      <c r="F68" s="71">
        <f>HOUR(Tabla13[[#This Row],[Hora fin ]]-Tabla13[[#This Row],[Hora inicio]])+MINUTE(Tabla13[[#This Row],[Hora fin ]]-Tabla13[[#This Row],[Hora inicio]])/60</f>
        <v>0.05</v>
      </c>
      <c r="G68" s="60" t="s">
        <v>4</v>
      </c>
      <c r="H68" s="60" t="s">
        <v>5</v>
      </c>
      <c r="I68" s="60" t="s">
        <v>258</v>
      </c>
      <c r="J68" s="60" t="s">
        <v>356</v>
      </c>
      <c r="K68" s="57" t="s">
        <v>400</v>
      </c>
      <c r="L68" s="72"/>
    </row>
    <row r="69" spans="1:79" s="59" customFormat="1" hidden="1">
      <c r="A69" s="72">
        <v>45971</v>
      </c>
      <c r="B69" s="103" t="str">
        <f>IF(Tabla13[[#This Row],[Fecha]]="","",TEXT(Tabla13[[#This Row],[Fecha]],"aaaa"))</f>
        <v>lunes</v>
      </c>
      <c r="C69" s="103" t="str">
        <f>IF(Tabla13[[#This Row],[Fecha]]="","",TEXT(Tabla13[[#This Row],[Fecha]],"mmmm"))</f>
        <v>noviembre</v>
      </c>
      <c r="D69" s="58">
        <v>0.66111111111111109</v>
      </c>
      <c r="E69" s="58">
        <v>0.66319444444444442</v>
      </c>
      <c r="F69" s="71">
        <f>HOUR(Tabla13[[#This Row],[Hora fin ]]-Tabla13[[#This Row],[Hora inicio]])+MINUTE(Tabla13[[#This Row],[Hora fin ]]-Tabla13[[#This Row],[Hora inicio]])/60</f>
        <v>0.05</v>
      </c>
      <c r="G69" s="60" t="s">
        <v>4</v>
      </c>
      <c r="H69" s="60" t="s">
        <v>5</v>
      </c>
      <c r="I69" s="60" t="s">
        <v>258</v>
      </c>
      <c r="J69" s="60" t="s">
        <v>356</v>
      </c>
      <c r="K69" s="57" t="s">
        <v>400</v>
      </c>
      <c r="L69" s="72"/>
    </row>
    <row r="70" spans="1:79" hidden="1">
      <c r="A70" s="72">
        <v>45971</v>
      </c>
      <c r="B70" s="103" t="str">
        <f>IF(Tabla13[[#This Row],[Fecha]]="","",TEXT(Tabla13[[#This Row],[Fecha]],"aaaa"))</f>
        <v>lunes</v>
      </c>
      <c r="C70" s="103" t="str">
        <f>IF(Tabla13[[#This Row],[Fecha]]="","",TEXT(Tabla13[[#This Row],[Fecha]],"mmmm"))</f>
        <v>noviembre</v>
      </c>
      <c r="D70" s="60">
        <v>0.73750000000000004</v>
      </c>
      <c r="E70" s="60">
        <v>0.76111111111111107</v>
      </c>
      <c r="F70" s="71">
        <f>HOUR(Tabla13[[#This Row],[Hora fin ]]-Tabla13[[#This Row],[Hora inicio]])+MINUTE(Tabla13[[#This Row],[Hora fin ]]-Tabla13[[#This Row],[Hora inicio]])/60</f>
        <v>0.56666666666666665</v>
      </c>
      <c r="G70" s="72" t="s">
        <v>10</v>
      </c>
      <c r="H70" s="72" t="s">
        <v>26</v>
      </c>
      <c r="I70" s="72" t="s">
        <v>17</v>
      </c>
      <c r="J70" s="72" t="s">
        <v>291</v>
      </c>
      <c r="K70" s="56" t="s">
        <v>424</v>
      </c>
      <c r="L70" s="72"/>
      <c r="CA70" s="76" t="s">
        <v>121</v>
      </c>
    </row>
    <row r="71" spans="1:79" hidden="1">
      <c r="A71" s="72">
        <v>45975</v>
      </c>
      <c r="B71" s="103" t="str">
        <f>IF(Tabla13[[#This Row],[Fecha]]="","",TEXT(Tabla13[[#This Row],[Fecha]],"aaaa"))</f>
        <v>viernes</v>
      </c>
      <c r="C71" s="103" t="str">
        <f>IF(Tabla13[[#This Row],[Fecha]]="","",TEXT(Tabla13[[#This Row],[Fecha]],"mmmm"))</f>
        <v>noviembre</v>
      </c>
      <c r="D71" s="60">
        <v>0.5756944444444444</v>
      </c>
      <c r="E71" s="60">
        <v>0.57847222222222228</v>
      </c>
      <c r="F71" s="71">
        <f>HOUR(Tabla13[[#This Row],[Hora fin ]]-Tabla13[[#This Row],[Hora inicio]])+MINUTE(Tabla13[[#This Row],[Hora fin ]]-Tabla13[[#This Row],[Hora inicio]])/60</f>
        <v>6.6666666666666666E-2</v>
      </c>
      <c r="G71" s="60" t="s">
        <v>4</v>
      </c>
      <c r="H71" s="60" t="s">
        <v>5</v>
      </c>
      <c r="I71" s="60" t="s">
        <v>258</v>
      </c>
      <c r="J71" s="60" t="s">
        <v>356</v>
      </c>
      <c r="K71" s="57" t="s">
        <v>400</v>
      </c>
      <c r="L71" s="72"/>
    </row>
    <row r="72" spans="1:79" hidden="1">
      <c r="A72" s="72">
        <v>45976</v>
      </c>
      <c r="B72" s="103" t="str">
        <f>IF(Tabla13[[#This Row],[Fecha]]="","",TEXT(Tabla13[[#This Row],[Fecha]],"aaaa"))</f>
        <v>sábado</v>
      </c>
      <c r="C72" s="103" t="str">
        <f>IF(Tabla13[[#This Row],[Fecha]]="","",TEXT(Tabla13[[#This Row],[Fecha]],"mmmm"))</f>
        <v>noviembre</v>
      </c>
      <c r="D72" s="60">
        <v>0.47916666666666669</v>
      </c>
      <c r="E72" s="60">
        <v>0.58194444444444449</v>
      </c>
      <c r="F72" s="71">
        <f>HOUR(Tabla13[[#This Row],[Hora fin ]]-Tabla13[[#This Row],[Hora inicio]])+MINUTE(Tabla13[[#This Row],[Hora fin ]]-Tabla13[[#This Row],[Hora inicio]])/60</f>
        <v>2.4666666666666668</v>
      </c>
      <c r="G72" s="72" t="s">
        <v>10</v>
      </c>
      <c r="H72" s="72" t="s">
        <v>23</v>
      </c>
      <c r="I72" s="72" t="s">
        <v>15</v>
      </c>
      <c r="J72" s="72" t="s">
        <v>282</v>
      </c>
      <c r="K72" s="56" t="s">
        <v>425</v>
      </c>
      <c r="L72" s="72"/>
    </row>
    <row r="73" spans="1:79" hidden="1">
      <c r="A73" s="72">
        <v>45977</v>
      </c>
      <c r="B73" s="73" t="str">
        <f>IF(Tabla13[[#This Row],[Fecha]]="","",TEXT(Tabla13[[#This Row],[Fecha]],"aaaa"))</f>
        <v>domingo</v>
      </c>
      <c r="C73" s="74" t="str">
        <f>IF(Tabla13[[#This Row],[Fecha]]="","",TEXT(Tabla13[[#This Row],[Fecha]],"mmmm"))</f>
        <v>noviembre</v>
      </c>
      <c r="D73" s="75">
        <v>0.5805555555555556</v>
      </c>
      <c r="E73" s="75">
        <v>0.61041666666666672</v>
      </c>
      <c r="F73" s="71">
        <f>HOUR(Tabla13[[#This Row],[Hora fin ]]-Tabla13[[#This Row],[Hora inicio]])+MINUTE(Tabla13[[#This Row],[Hora fin ]]-Tabla13[[#This Row],[Hora inicio]])/60</f>
        <v>0.71666666666666667</v>
      </c>
      <c r="G73" s="60" t="s">
        <v>10</v>
      </c>
      <c r="H73" s="60" t="s">
        <v>30</v>
      </c>
      <c r="I73" s="60" t="s">
        <v>12</v>
      </c>
      <c r="J73" s="60" t="s">
        <v>270</v>
      </c>
      <c r="K73" s="57" t="s">
        <v>401</v>
      </c>
      <c r="L73" s="75"/>
    </row>
    <row r="74" spans="1:79" hidden="1">
      <c r="A74" s="72">
        <v>45977</v>
      </c>
      <c r="B74" s="73" t="str">
        <f>IF(Tabla13[[#This Row],[Fecha]]="","",TEXT(Tabla13[[#This Row],[Fecha]],"aaaa"))</f>
        <v>domingo</v>
      </c>
      <c r="C74" s="74" t="str">
        <f>IF(Tabla13[[#This Row],[Fecha]]="","",TEXT(Tabla13[[#This Row],[Fecha]],"mmmm"))</f>
        <v>noviembre</v>
      </c>
      <c r="D74" s="75">
        <v>0.77569444444444446</v>
      </c>
      <c r="E74" s="75">
        <v>0.79652777777777772</v>
      </c>
      <c r="F74" s="71">
        <f>HOUR(Tabla13[[#This Row],[Hora fin ]]-Tabla13[[#This Row],[Hora inicio]])+MINUTE(Tabla13[[#This Row],[Hora fin ]]-Tabla13[[#This Row],[Hora inicio]])/60</f>
        <v>0.5</v>
      </c>
      <c r="G74" s="60" t="s">
        <v>10</v>
      </c>
      <c r="H74" s="60" t="s">
        <v>23</v>
      </c>
      <c r="I74" s="60" t="s">
        <v>12</v>
      </c>
      <c r="J74" s="60" t="s">
        <v>274</v>
      </c>
      <c r="K74" s="57" t="s">
        <v>426</v>
      </c>
      <c r="L74" s="75"/>
    </row>
    <row r="75" spans="1:79" hidden="1">
      <c r="A75" s="72">
        <v>45979</v>
      </c>
      <c r="B75" s="73" t="str">
        <f>IF(Tabla13[[#This Row],[Fecha]]="","",TEXT(Tabla13[[#This Row],[Fecha]],"aaaa"))</f>
        <v>martes</v>
      </c>
      <c r="C75" s="74" t="str">
        <f>IF(Tabla13[[#This Row],[Fecha]]="","",TEXT(Tabla13[[#This Row],[Fecha]],"mmmm"))</f>
        <v>noviembre</v>
      </c>
      <c r="D75" s="75">
        <v>0.49375000000000002</v>
      </c>
      <c r="E75" s="75">
        <v>0.49583333333333335</v>
      </c>
      <c r="F75" s="71">
        <f>HOUR(Tabla13[[#This Row],[Hora fin ]]-Tabla13[[#This Row],[Hora inicio]])+MINUTE(Tabla13[[#This Row],[Hora fin ]]-Tabla13[[#This Row],[Hora inicio]])/60</f>
        <v>0.05</v>
      </c>
      <c r="G75" s="60" t="s">
        <v>4</v>
      </c>
      <c r="H75" s="60" t="s">
        <v>5</v>
      </c>
      <c r="I75" s="60" t="s">
        <v>258</v>
      </c>
      <c r="J75" s="60" t="s">
        <v>356</v>
      </c>
      <c r="K75" s="57" t="s">
        <v>400</v>
      </c>
      <c r="L75" s="75"/>
    </row>
    <row r="76" spans="1:79" hidden="1">
      <c r="A76" s="72">
        <v>45979</v>
      </c>
      <c r="B76" s="73" t="str">
        <f>IF(Tabla13[[#This Row],[Fecha]]="","",TEXT(Tabla13[[#This Row],[Fecha]],"aaaa"))</f>
        <v>martes</v>
      </c>
      <c r="C76" s="74" t="str">
        <f>IF(Tabla13[[#This Row],[Fecha]]="","",TEXT(Tabla13[[#This Row],[Fecha]],"mmmm"))</f>
        <v>noviembre</v>
      </c>
      <c r="D76" s="75">
        <v>0.50555555555555554</v>
      </c>
      <c r="E76" s="75">
        <v>0.89583333333333337</v>
      </c>
      <c r="F76" s="71">
        <f>HOUR(Tabla13[[#This Row],[Hora fin ]]-Tabla13[[#This Row],[Hora inicio]])+MINUTE(Tabla13[[#This Row],[Hora fin ]]-Tabla13[[#This Row],[Hora inicio]])/60</f>
        <v>9.3666666666666671</v>
      </c>
      <c r="G76" s="60" t="s">
        <v>7</v>
      </c>
      <c r="H76" s="60" t="s">
        <v>23</v>
      </c>
      <c r="I76" s="60" t="s">
        <v>27</v>
      </c>
      <c r="J76" s="60" t="s">
        <v>372</v>
      </c>
      <c r="K76" s="57" t="s">
        <v>427</v>
      </c>
      <c r="L76" s="75"/>
    </row>
    <row r="77" spans="1:79" ht="30" hidden="1">
      <c r="A77" s="72">
        <v>45979</v>
      </c>
      <c r="B77" s="73" t="str">
        <f>IF(Tabla13[[#This Row],[Fecha]]="","",TEXT(Tabla13[[#This Row],[Fecha]],"aaaa"))</f>
        <v>martes</v>
      </c>
      <c r="C77" s="74" t="str">
        <f>IF(Tabla13[[#This Row],[Fecha]]="","",TEXT(Tabla13[[#This Row],[Fecha]],"mmmm"))</f>
        <v>noviembre</v>
      </c>
      <c r="D77" s="75">
        <v>0.95833333333333337</v>
      </c>
      <c r="E77" s="75">
        <v>0.99027777777777781</v>
      </c>
      <c r="F77" s="71">
        <f>HOUR(Tabla13[[#This Row],[Hora fin ]]-Tabla13[[#This Row],[Hora inicio]])+MINUTE(Tabla13[[#This Row],[Hora fin ]]-Tabla13[[#This Row],[Hora inicio]])/60</f>
        <v>0.76666666666666672</v>
      </c>
      <c r="G77" s="60" t="s">
        <v>10</v>
      </c>
      <c r="H77" s="60" t="s">
        <v>25</v>
      </c>
      <c r="I77" s="60" t="s">
        <v>17</v>
      </c>
      <c r="J77" s="60" t="s">
        <v>292</v>
      </c>
      <c r="K77" s="57" t="s">
        <v>428</v>
      </c>
      <c r="L77" s="75"/>
    </row>
    <row r="78" spans="1:79" hidden="1">
      <c r="A78" s="72">
        <v>45980</v>
      </c>
      <c r="B78" s="73" t="str">
        <f>IF(Tabla13[[#This Row],[Fecha]]="","",TEXT(Tabla13[[#This Row],[Fecha]],"aaaa"))</f>
        <v>miércoles</v>
      </c>
      <c r="C78" s="74" t="str">
        <f>IF(Tabla13[[#This Row],[Fecha]]="","",TEXT(Tabla13[[#This Row],[Fecha]],"mmmm"))</f>
        <v>noviembre</v>
      </c>
      <c r="D78" s="75">
        <v>6.9444444444444448E-2</v>
      </c>
      <c r="E78" s="75">
        <v>7.5694444444444439E-2</v>
      </c>
      <c r="F78" s="71">
        <f>HOUR(Tabla13[[#This Row],[Hora fin ]]-Tabla13[[#This Row],[Hora inicio]])+MINUTE(Tabla13[[#This Row],[Hora fin ]]-Tabla13[[#This Row],[Hora inicio]])/60</f>
        <v>0.15</v>
      </c>
      <c r="G78" s="60" t="s">
        <v>4</v>
      </c>
      <c r="H78" s="60" t="s">
        <v>5</v>
      </c>
      <c r="I78" s="60" t="s">
        <v>258</v>
      </c>
      <c r="J78" s="60" t="s">
        <v>356</v>
      </c>
      <c r="K78" s="57" t="s">
        <v>400</v>
      </c>
      <c r="L78" s="75"/>
    </row>
    <row r="79" spans="1:79" hidden="1">
      <c r="A79" s="72">
        <v>45981</v>
      </c>
      <c r="B79" s="73" t="str">
        <f>IF(Tabla13[[#This Row],[Fecha]]="","",TEXT(Tabla13[[#This Row],[Fecha]],"aaaa"))</f>
        <v>jueves</v>
      </c>
      <c r="C79" s="74" t="str">
        <f>IF(Tabla13[[#This Row],[Fecha]]="","",TEXT(Tabla13[[#This Row],[Fecha]],"mmmm"))</f>
        <v>noviembre</v>
      </c>
      <c r="D79" s="75">
        <v>0.83333333333333337</v>
      </c>
      <c r="E79" s="75">
        <v>1</v>
      </c>
      <c r="F79" s="71">
        <f>HOUR(Tabla13[[#This Row],[Hora fin ]]-Tabla13[[#This Row],[Hora inicio]])+MINUTE(Tabla13[[#This Row],[Hora fin ]]-Tabla13[[#This Row],[Hora inicio]])/60</f>
        <v>4</v>
      </c>
      <c r="G79" s="60" t="s">
        <v>10</v>
      </c>
      <c r="H79" s="60" t="s">
        <v>23</v>
      </c>
      <c r="I79" s="60" t="s">
        <v>17</v>
      </c>
      <c r="J79" s="60" t="s">
        <v>290</v>
      </c>
      <c r="K79" s="57" t="s">
        <v>431</v>
      </c>
      <c r="L79" s="75"/>
    </row>
    <row r="80" spans="1:79" hidden="1">
      <c r="A80" s="72">
        <v>45982</v>
      </c>
      <c r="B80" s="73" t="str">
        <f>IF(Tabla13[[#This Row],[Fecha]]="","",TEXT(Tabla13[[#This Row],[Fecha]],"aaaa"))</f>
        <v>viernes</v>
      </c>
      <c r="C80" s="74" t="str">
        <f>IF(Tabla13[[#This Row],[Fecha]]="","",TEXT(Tabla13[[#This Row],[Fecha]],"mmmm"))</f>
        <v>noviembre</v>
      </c>
      <c r="D80" s="75">
        <v>6.9444444444444447E-4</v>
      </c>
      <c r="E80" s="75">
        <v>0.43055555555555558</v>
      </c>
      <c r="F80" s="71">
        <f>HOUR(Tabla13[[#This Row],[Hora fin ]]-Tabla13[[#This Row],[Hora inicio]])+MINUTE(Tabla13[[#This Row],[Hora fin ]]-Tabla13[[#This Row],[Hora inicio]])/60</f>
        <v>10.316666666666666</v>
      </c>
      <c r="G80" s="60" t="s">
        <v>10</v>
      </c>
      <c r="H80" s="60" t="s">
        <v>23</v>
      </c>
      <c r="I80" s="60" t="s">
        <v>17</v>
      </c>
      <c r="J80" s="60" t="s">
        <v>290</v>
      </c>
      <c r="K80" s="57" t="s">
        <v>431</v>
      </c>
      <c r="L80" s="75"/>
    </row>
    <row r="81" spans="1:12" hidden="1">
      <c r="A81" s="72">
        <v>45982</v>
      </c>
      <c r="B81" s="73" t="str">
        <f>IF(Tabla13[[#This Row],[Fecha]]="","",TEXT(Tabla13[[#This Row],[Fecha]],"aaaa"))</f>
        <v>viernes</v>
      </c>
      <c r="C81" s="74" t="str">
        <f>IF(Tabla13[[#This Row],[Fecha]]="","",TEXT(Tabla13[[#This Row],[Fecha]],"mmmm"))</f>
        <v>noviembre</v>
      </c>
      <c r="D81" s="75">
        <v>0.52083333333333337</v>
      </c>
      <c r="E81" s="75">
        <v>0.55138888888888893</v>
      </c>
      <c r="F81" s="71">
        <f>HOUR(Tabla13[[#This Row],[Hora fin ]]-Tabla13[[#This Row],[Hora inicio]])+MINUTE(Tabla13[[#This Row],[Hora fin ]]-Tabla13[[#This Row],[Hora inicio]])/60</f>
        <v>0.73333333333333328</v>
      </c>
      <c r="G81" s="60" t="s">
        <v>4</v>
      </c>
      <c r="H81" s="60" t="s">
        <v>16</v>
      </c>
      <c r="I81" s="60" t="s">
        <v>17</v>
      </c>
      <c r="J81" s="60" t="s">
        <v>290</v>
      </c>
      <c r="K81" s="57" t="s">
        <v>432</v>
      </c>
      <c r="L81" s="75"/>
    </row>
    <row r="82" spans="1:12" hidden="1">
      <c r="A82" s="72">
        <v>45983</v>
      </c>
      <c r="B82" s="73" t="str">
        <f>IF(Tabla13[[#This Row],[Fecha]]="","",TEXT(Tabla13[[#This Row],[Fecha]],"aaaa"))</f>
        <v>sábado</v>
      </c>
      <c r="C82" s="74" t="str">
        <f>IF(Tabla13[[#This Row],[Fecha]]="","",TEXT(Tabla13[[#This Row],[Fecha]],"mmmm"))</f>
        <v>noviembre</v>
      </c>
      <c r="D82" s="75">
        <v>0.54166666666666663</v>
      </c>
      <c r="E82" s="75">
        <v>0.56597222222222221</v>
      </c>
      <c r="F82" s="71">
        <f>HOUR(Tabla13[[#This Row],[Hora fin ]]-Tabla13[[#This Row],[Hora inicio]])+MINUTE(Tabla13[[#This Row],[Hora fin ]]-Tabla13[[#This Row],[Hora inicio]])/60</f>
        <v>0.58333333333333337</v>
      </c>
      <c r="G82" s="60" t="s">
        <v>4</v>
      </c>
      <c r="H82" s="60" t="s">
        <v>16</v>
      </c>
      <c r="I82" s="60" t="s">
        <v>17</v>
      </c>
      <c r="J82" s="60" t="s">
        <v>290</v>
      </c>
      <c r="K82" s="57" t="s">
        <v>432</v>
      </c>
      <c r="L82" s="75"/>
    </row>
    <row r="83" spans="1:12" hidden="1">
      <c r="A83" s="72">
        <v>45983</v>
      </c>
      <c r="B83" s="73" t="str">
        <f>IF(Tabla13[[#This Row],[Fecha]]="","",TEXT(Tabla13[[#This Row],[Fecha]],"aaaa"))</f>
        <v>sábado</v>
      </c>
      <c r="C83" s="74" t="str">
        <f>IF(Tabla13[[#This Row],[Fecha]]="","",TEXT(Tabla13[[#This Row],[Fecha]],"mmmm"))</f>
        <v>noviembre</v>
      </c>
      <c r="D83" s="75">
        <v>0.96250000000000002</v>
      </c>
      <c r="E83" s="75">
        <v>0.98124999999999996</v>
      </c>
      <c r="F83" s="71">
        <f>HOUR(Tabla13[[#This Row],[Hora fin ]]-Tabla13[[#This Row],[Hora inicio]])+MINUTE(Tabla13[[#This Row],[Hora fin ]]-Tabla13[[#This Row],[Hora inicio]])/60</f>
        <v>0.45</v>
      </c>
      <c r="G83" s="60" t="s">
        <v>4</v>
      </c>
      <c r="H83" s="60" t="s">
        <v>16</v>
      </c>
      <c r="I83" s="60" t="s">
        <v>17</v>
      </c>
      <c r="J83" s="60" t="s">
        <v>290</v>
      </c>
      <c r="K83" s="57" t="s">
        <v>432</v>
      </c>
      <c r="L83" s="75"/>
    </row>
    <row r="84" spans="1:12" hidden="1">
      <c r="A84" s="72">
        <v>45984</v>
      </c>
      <c r="B84" s="73" t="str">
        <f>IF(Tabla13[[#This Row],[Fecha]]="","",TEXT(Tabla13[[#This Row],[Fecha]],"aaaa"))</f>
        <v>domingo</v>
      </c>
      <c r="C84" s="74" t="str">
        <f>IF(Tabla13[[#This Row],[Fecha]]="","",TEXT(Tabla13[[#This Row],[Fecha]],"mmmm"))</f>
        <v>noviembre</v>
      </c>
      <c r="D84" s="75">
        <v>0.4861111111111111</v>
      </c>
      <c r="E84" s="75">
        <v>0.5</v>
      </c>
      <c r="F84" s="71">
        <f>HOUR(Tabla13[[#This Row],[Hora fin ]]-Tabla13[[#This Row],[Hora inicio]])+MINUTE(Tabla13[[#This Row],[Hora fin ]]-Tabla13[[#This Row],[Hora inicio]])/60</f>
        <v>0.33333333333333331</v>
      </c>
      <c r="G84" s="60" t="s">
        <v>4</v>
      </c>
      <c r="H84" s="60" t="s">
        <v>16</v>
      </c>
      <c r="I84" s="60" t="s">
        <v>17</v>
      </c>
      <c r="J84" s="60" t="s">
        <v>290</v>
      </c>
      <c r="K84" s="57" t="s">
        <v>432</v>
      </c>
      <c r="L84" s="75"/>
    </row>
    <row r="85" spans="1:12" hidden="1">
      <c r="A85" s="72">
        <v>45985</v>
      </c>
      <c r="B85" s="73" t="str">
        <f>IF(Tabla13[[#This Row],[Fecha]]="","",TEXT(Tabla13[[#This Row],[Fecha]],"aaaa"))</f>
        <v>lunes</v>
      </c>
      <c r="C85" s="74" t="str">
        <f>IF(Tabla13[[#This Row],[Fecha]]="","",TEXT(Tabla13[[#This Row],[Fecha]],"mmmm"))</f>
        <v>noviembre</v>
      </c>
      <c r="D85" s="60">
        <v>0.61736111111111114</v>
      </c>
      <c r="E85" s="75">
        <v>0.62013888888888891</v>
      </c>
      <c r="F85" s="71">
        <f>HOUR(Tabla13[[#This Row],[Hora fin ]]-Tabla13[[#This Row],[Hora inicio]])+MINUTE(Tabla13[[#This Row],[Hora fin ]]-Tabla13[[#This Row],[Hora inicio]])/60</f>
        <v>6.6666666666666666E-2</v>
      </c>
      <c r="G85" s="60" t="s">
        <v>4</v>
      </c>
      <c r="H85" s="60" t="s">
        <v>5</v>
      </c>
      <c r="I85" s="60" t="s">
        <v>258</v>
      </c>
      <c r="J85" s="60" t="s">
        <v>356</v>
      </c>
      <c r="K85" s="57" t="s">
        <v>400</v>
      </c>
      <c r="L85" s="75"/>
    </row>
    <row r="86" spans="1:12" hidden="1">
      <c r="A86" s="72">
        <v>45985</v>
      </c>
      <c r="B86" s="73" t="str">
        <f>IF(Tabla13[[#This Row],[Fecha]]="","",TEXT(Tabla13[[#This Row],[Fecha]],"aaaa"))</f>
        <v>lunes</v>
      </c>
      <c r="C86" s="74" t="str">
        <f>IF(Tabla13[[#This Row],[Fecha]]="","",TEXT(Tabla13[[#This Row],[Fecha]],"mmmm"))</f>
        <v>noviembre</v>
      </c>
      <c r="D86" s="75">
        <v>0.62916666666666665</v>
      </c>
      <c r="E86" s="75">
        <v>0.63194444444444442</v>
      </c>
      <c r="F86" s="71">
        <f>HOUR(Tabla13[[#This Row],[Hora fin ]]-Tabla13[[#This Row],[Hora inicio]])+MINUTE(Tabla13[[#This Row],[Hora fin ]]-Tabla13[[#This Row],[Hora inicio]])/60</f>
        <v>6.6666666666666666E-2</v>
      </c>
      <c r="G86" s="60" t="s">
        <v>4</v>
      </c>
      <c r="H86" s="60" t="s">
        <v>5</v>
      </c>
      <c r="I86" s="60" t="s">
        <v>258</v>
      </c>
      <c r="J86" s="60" t="s">
        <v>356</v>
      </c>
      <c r="K86" s="57" t="s">
        <v>400</v>
      </c>
      <c r="L86" s="75"/>
    </row>
    <row r="87" spans="1:12" hidden="1">
      <c r="A87" s="72">
        <v>45985</v>
      </c>
      <c r="B87" s="73" t="str">
        <f>IF(Tabla13[[#This Row],[Fecha]]="","",TEXT(Tabla13[[#This Row],[Fecha]],"aaaa"))</f>
        <v>lunes</v>
      </c>
      <c r="C87" s="74" t="str">
        <f>IF(Tabla13[[#This Row],[Fecha]]="","",TEXT(Tabla13[[#This Row],[Fecha]],"mmmm"))</f>
        <v>noviembre</v>
      </c>
      <c r="D87" s="75">
        <v>0.72499999999999998</v>
      </c>
      <c r="E87" s="75">
        <v>0.73402777777777772</v>
      </c>
      <c r="F87" s="71">
        <f>HOUR(Tabla13[[#This Row],[Hora fin ]]-Tabla13[[#This Row],[Hora inicio]])+MINUTE(Tabla13[[#This Row],[Hora fin ]]-Tabla13[[#This Row],[Hora inicio]])/60</f>
        <v>0.21666666666666667</v>
      </c>
      <c r="G87" s="60" t="s">
        <v>10</v>
      </c>
      <c r="H87" s="60" t="s">
        <v>30</v>
      </c>
      <c r="I87" s="60" t="s">
        <v>12</v>
      </c>
      <c r="J87" s="60" t="s">
        <v>270</v>
      </c>
      <c r="K87" s="57" t="s">
        <v>401</v>
      </c>
      <c r="L87" s="75"/>
    </row>
    <row r="88" spans="1:12" ht="30" hidden="1">
      <c r="A88" s="72">
        <v>45986</v>
      </c>
      <c r="B88" s="73" t="str">
        <f>IF(Tabla13[[#This Row],[Fecha]]="","",TEXT(Tabla13[[#This Row],[Fecha]],"aaaa"))</f>
        <v>martes</v>
      </c>
      <c r="C88" s="74" t="str">
        <f>IF(Tabla13[[#This Row],[Fecha]]="","",TEXT(Tabla13[[#This Row],[Fecha]],"mmmm"))</f>
        <v>noviembre</v>
      </c>
      <c r="D88" s="75">
        <v>0.45555555555555555</v>
      </c>
      <c r="E88" s="75">
        <v>0.45833333333333331</v>
      </c>
      <c r="F88" s="71">
        <f>HOUR(Tabla13[[#This Row],[Hora fin ]]-Tabla13[[#This Row],[Hora inicio]])+MINUTE(Tabla13[[#This Row],[Hora fin ]]-Tabla13[[#This Row],[Hora inicio]])/60</f>
        <v>6.6666666666666666E-2</v>
      </c>
      <c r="G88" s="60" t="s">
        <v>10</v>
      </c>
      <c r="H88" s="60" t="s">
        <v>23</v>
      </c>
      <c r="I88" s="60" t="s">
        <v>12</v>
      </c>
      <c r="J88" s="60" t="s">
        <v>270</v>
      </c>
      <c r="K88" s="57" t="s">
        <v>433</v>
      </c>
      <c r="L88" s="75"/>
    </row>
    <row r="89" spans="1:12" hidden="1">
      <c r="A89" s="72">
        <v>45986</v>
      </c>
      <c r="B89" s="73" t="str">
        <f>IF(Tabla13[[#This Row],[Fecha]]="","",TEXT(Tabla13[[#This Row],[Fecha]],"aaaa"))</f>
        <v>martes</v>
      </c>
      <c r="C89" s="74" t="str">
        <f>IF(Tabla13[[#This Row],[Fecha]]="","",TEXT(Tabla13[[#This Row],[Fecha]],"mmmm"))</f>
        <v>noviembre</v>
      </c>
      <c r="D89" s="75">
        <v>0.48958333333333331</v>
      </c>
      <c r="E89" s="75">
        <v>0.51666666666666672</v>
      </c>
      <c r="F89" s="71">
        <f>HOUR(Tabla13[[#This Row],[Hora fin ]]-Tabla13[[#This Row],[Hora inicio]])+MINUTE(Tabla13[[#This Row],[Hora fin ]]-Tabla13[[#This Row],[Hora inicio]])/60</f>
        <v>0.65</v>
      </c>
      <c r="G89" s="60" t="s">
        <v>4</v>
      </c>
      <c r="H89" s="60" t="s">
        <v>16</v>
      </c>
      <c r="I89" s="60" t="s">
        <v>17</v>
      </c>
      <c r="J89" s="60" t="s">
        <v>290</v>
      </c>
      <c r="K89" s="57" t="s">
        <v>432</v>
      </c>
      <c r="L89" s="75"/>
    </row>
    <row r="90" spans="1:12" hidden="1">
      <c r="A90" s="72">
        <v>45986</v>
      </c>
      <c r="B90" s="73" t="str">
        <f>IF(Tabla13[[#This Row],[Fecha]]="","",TEXT(Tabla13[[#This Row],[Fecha]],"aaaa"))</f>
        <v>martes</v>
      </c>
      <c r="C90" s="74" t="str">
        <f>IF(Tabla13[[#This Row],[Fecha]]="","",TEXT(Tabla13[[#This Row],[Fecha]],"mmmm"))</f>
        <v>noviembre</v>
      </c>
      <c r="D90" s="75">
        <v>0.82986111111111116</v>
      </c>
      <c r="E90" s="75">
        <v>0.87222222222222223</v>
      </c>
      <c r="F90" s="71">
        <f>HOUR(Tabla13[[#This Row],[Hora fin ]]-Tabla13[[#This Row],[Hora inicio]])+MINUTE(Tabla13[[#This Row],[Hora fin ]]-Tabla13[[#This Row],[Hora inicio]])/60</f>
        <v>1.0166666666666666</v>
      </c>
      <c r="G90" s="60" t="s">
        <v>10</v>
      </c>
      <c r="H90" s="60" t="s">
        <v>26</v>
      </c>
      <c r="I90" s="60" t="s">
        <v>17</v>
      </c>
      <c r="J90" s="60" t="s">
        <v>290</v>
      </c>
      <c r="K90" s="57" t="s">
        <v>434</v>
      </c>
      <c r="L90" s="75"/>
    </row>
    <row r="91" spans="1:12" hidden="1">
      <c r="A91" s="72">
        <v>45987</v>
      </c>
      <c r="B91" s="87"/>
      <c r="C91" s="74" t="str">
        <f>IF(Tabla13[[#This Row],[Fecha]]="","",TEXT(Tabla13[[#This Row],[Fecha]],"mmmm"))</f>
        <v>noviembre</v>
      </c>
      <c r="D91" s="75">
        <v>0.49583333333333335</v>
      </c>
      <c r="E91" s="75">
        <v>0.50555555555555554</v>
      </c>
      <c r="F91" s="71">
        <f>HOUR(Tabla13[[#This Row],[Hora fin ]]-Tabla13[[#This Row],[Hora inicio]])+MINUTE(Tabla13[[#This Row],[Hora fin ]]-Tabla13[[#This Row],[Hora inicio]])/60</f>
        <v>0.23333333333333334</v>
      </c>
      <c r="G91" s="60" t="s">
        <v>4</v>
      </c>
      <c r="H91" s="60" t="s">
        <v>16</v>
      </c>
      <c r="I91" s="60" t="s">
        <v>17</v>
      </c>
      <c r="J91" s="60" t="s">
        <v>290</v>
      </c>
      <c r="K91" s="57" t="s">
        <v>432</v>
      </c>
      <c r="L91" s="75"/>
    </row>
    <row r="92" spans="1:12" ht="30" hidden="1">
      <c r="A92" s="72">
        <v>45987</v>
      </c>
      <c r="B92" s="87"/>
      <c r="C92" s="74" t="str">
        <f>IF(Tabla13[[#This Row],[Fecha]]="","",TEXT(Tabla13[[#This Row],[Fecha]],"mmmm"))</f>
        <v>noviembre</v>
      </c>
      <c r="D92" s="75">
        <v>0.56805555555555554</v>
      </c>
      <c r="E92" s="75">
        <v>0.56944444444444442</v>
      </c>
      <c r="F92" s="71">
        <f>HOUR(Tabla13[[#This Row],[Hora fin ]]-Tabla13[[#This Row],[Hora inicio]])+MINUTE(Tabla13[[#This Row],[Hora fin ]]-Tabla13[[#This Row],[Hora inicio]])/60</f>
        <v>3.3333333333333333E-2</v>
      </c>
      <c r="G92" s="60" t="s">
        <v>10</v>
      </c>
      <c r="H92" s="60" t="s">
        <v>20</v>
      </c>
      <c r="I92" s="60" t="s">
        <v>24</v>
      </c>
      <c r="J92" s="60" t="s">
        <v>439</v>
      </c>
      <c r="K92" s="58" t="s">
        <v>438</v>
      </c>
      <c r="L92" s="75"/>
    </row>
    <row r="93" spans="1:12" hidden="1">
      <c r="A93" s="72">
        <v>45988</v>
      </c>
      <c r="B93" s="87"/>
      <c r="C93" s="74" t="str">
        <f>IF(Tabla13[[#This Row],[Fecha]]="","",TEXT(Tabla13[[#This Row],[Fecha]],"mmmm"))</f>
        <v>noviembre</v>
      </c>
      <c r="D93" s="75">
        <v>4.8611111111111112E-3</v>
      </c>
      <c r="E93" s="75">
        <v>4.7222222222222221E-2</v>
      </c>
      <c r="F93" s="71">
        <f>HOUR(Tabla13[[#This Row],[Hora fin ]]-Tabla13[[#This Row],[Hora inicio]])+MINUTE(Tabla13[[#This Row],[Hora fin ]]-Tabla13[[#This Row],[Hora inicio]])/60</f>
        <v>1.0166666666666666</v>
      </c>
      <c r="G93" s="60" t="s">
        <v>4</v>
      </c>
      <c r="H93" s="60" t="s">
        <v>16</v>
      </c>
      <c r="I93" s="60" t="s">
        <v>17</v>
      </c>
      <c r="J93" s="60" t="s">
        <v>290</v>
      </c>
      <c r="K93" s="57" t="s">
        <v>432</v>
      </c>
      <c r="L93" s="75"/>
    </row>
    <row r="94" spans="1:12" hidden="1">
      <c r="A94" s="72">
        <v>45988</v>
      </c>
      <c r="B94" s="87" t="str">
        <f>IF(Tabla13[[#This Row],[Fecha]]="","",TEXT(Tabla13[[#This Row],[Fecha]],"aaaa"))</f>
        <v>jueves</v>
      </c>
      <c r="C94" s="74" t="str">
        <f>IF(Tabla13[[#This Row],[Fecha]]="","",TEXT(Tabla13[[#This Row],[Fecha]],"mmmm"))</f>
        <v>noviembre</v>
      </c>
      <c r="D94" s="75">
        <v>0.46458333333333335</v>
      </c>
      <c r="E94" s="75">
        <v>0.47986111111111113</v>
      </c>
      <c r="F94" s="71">
        <f>HOUR(Tabla13[[#This Row],[Hora fin ]]-Tabla13[[#This Row],[Hora inicio]])+MINUTE(Tabla13[[#This Row],[Hora fin ]]-Tabla13[[#This Row],[Hora inicio]])/60</f>
        <v>0.36666666666666664</v>
      </c>
      <c r="G94" s="60" t="s">
        <v>4</v>
      </c>
      <c r="H94" s="60" t="s">
        <v>16</v>
      </c>
      <c r="I94" s="60" t="s">
        <v>17</v>
      </c>
      <c r="J94" s="60" t="s">
        <v>290</v>
      </c>
      <c r="K94" s="57" t="s">
        <v>432</v>
      </c>
      <c r="L94" s="75"/>
    </row>
    <row r="95" spans="1:12" hidden="1">
      <c r="A95" s="72">
        <v>45988</v>
      </c>
      <c r="B95" s="87" t="str">
        <f>IF(Tabla13[[#This Row],[Fecha]]="","",TEXT(Tabla13[[#This Row],[Fecha]],"aaaa"))</f>
        <v>jueves</v>
      </c>
      <c r="C95" s="74" t="str">
        <f>IF(Tabla13[[#This Row],[Fecha]]="","",TEXT(Tabla13[[#This Row],[Fecha]],"mmmm"))</f>
        <v>noviembre</v>
      </c>
      <c r="D95" s="75">
        <v>0.73124999999999996</v>
      </c>
      <c r="E95" s="75">
        <v>0.73611111111111116</v>
      </c>
      <c r="F95" s="71">
        <f>HOUR(Tabla13[[#This Row],[Hora fin ]]-Tabla13[[#This Row],[Hora inicio]])+MINUTE(Tabla13[[#This Row],[Hora fin ]]-Tabla13[[#This Row],[Hora inicio]])/60</f>
        <v>0.11666666666666667</v>
      </c>
      <c r="G95" s="60" t="s">
        <v>10</v>
      </c>
      <c r="H95" s="60" t="s">
        <v>30</v>
      </c>
      <c r="I95" s="60" t="s">
        <v>17</v>
      </c>
      <c r="J95" s="60" t="s">
        <v>291</v>
      </c>
      <c r="K95" s="57" t="s">
        <v>435</v>
      </c>
      <c r="L95" s="75"/>
    </row>
    <row r="96" spans="1:12" hidden="1">
      <c r="A96" s="72">
        <v>45988</v>
      </c>
      <c r="B96" s="87" t="str">
        <f>IF(Tabla13[[#This Row],[Fecha]]="","",TEXT(Tabla13[[#This Row],[Fecha]],"aaaa"))</f>
        <v>jueves</v>
      </c>
      <c r="C96" s="74" t="str">
        <f>IF(Tabla13[[#This Row],[Fecha]]="","",TEXT(Tabla13[[#This Row],[Fecha]],"mmmm"))</f>
        <v>noviembre</v>
      </c>
      <c r="D96" s="75">
        <v>0.79166666666666663</v>
      </c>
      <c r="E96" s="75">
        <v>0.81041666666666667</v>
      </c>
      <c r="F96" s="71">
        <f>HOUR(Tabla13[[#This Row],[Hora fin ]]-Tabla13[[#This Row],[Hora inicio]])+MINUTE(Tabla13[[#This Row],[Hora fin ]]-Tabla13[[#This Row],[Hora inicio]])/60</f>
        <v>0.45</v>
      </c>
      <c r="G96" s="60" t="s">
        <v>10</v>
      </c>
      <c r="H96" s="60" t="s">
        <v>30</v>
      </c>
      <c r="I96" s="60" t="s">
        <v>12</v>
      </c>
      <c r="J96" s="60" t="s">
        <v>270</v>
      </c>
      <c r="K96" s="57" t="s">
        <v>401</v>
      </c>
      <c r="L96" s="75"/>
    </row>
    <row r="97" spans="1:12" hidden="1">
      <c r="A97" s="72">
        <v>45989</v>
      </c>
      <c r="B97" s="87" t="str">
        <f>IF(Tabla13[[#This Row],[Fecha]]="","",TEXT(Tabla13[[#This Row],[Fecha]],"aaaa"))</f>
        <v>viernes</v>
      </c>
      <c r="C97" s="74" t="str">
        <f>IF(Tabla13[[#This Row],[Fecha]]="","",TEXT(Tabla13[[#This Row],[Fecha]],"mmmm"))</f>
        <v>noviembre</v>
      </c>
      <c r="D97" s="75">
        <v>0</v>
      </c>
      <c r="E97" s="75">
        <v>2.2916666666666665E-2</v>
      </c>
      <c r="F97" s="71">
        <f>HOUR(Tabla13[[#This Row],[Hora fin ]]-Tabla13[[#This Row],[Hora inicio]])+MINUTE(Tabla13[[#This Row],[Hora fin ]]-Tabla13[[#This Row],[Hora inicio]])/60</f>
        <v>0.55000000000000004</v>
      </c>
      <c r="G97" s="60" t="s">
        <v>4</v>
      </c>
      <c r="H97" s="60" t="s">
        <v>16</v>
      </c>
      <c r="I97" s="60" t="s">
        <v>17</v>
      </c>
      <c r="J97" s="60" t="s">
        <v>290</v>
      </c>
      <c r="K97" s="57" t="s">
        <v>432</v>
      </c>
      <c r="L97" s="75"/>
    </row>
    <row r="98" spans="1:12" ht="30" hidden="1">
      <c r="A98" s="72">
        <v>45989</v>
      </c>
      <c r="B98" s="87" t="str">
        <f>IF(Tabla13[[#This Row],[Fecha]]="","",TEXT(Tabla13[[#This Row],[Fecha]],"aaaa"))</f>
        <v>viernes</v>
      </c>
      <c r="C98" s="74" t="str">
        <f>IF(Tabla13[[#This Row],[Fecha]]="","",TEXT(Tabla13[[#This Row],[Fecha]],"mmmm"))</f>
        <v>noviembre</v>
      </c>
      <c r="D98" s="75">
        <v>0.24444444444444444</v>
      </c>
      <c r="E98" s="75">
        <v>0.35625000000000001</v>
      </c>
      <c r="F98" s="71">
        <f>HOUR(Tabla13[[#This Row],[Hora fin ]]-Tabla13[[#This Row],[Hora inicio]])+MINUTE(Tabla13[[#This Row],[Hora fin ]]-Tabla13[[#This Row],[Hora inicio]])/60</f>
        <v>2.6833333333333336</v>
      </c>
      <c r="G98" s="60" t="s">
        <v>10</v>
      </c>
      <c r="H98" s="60" t="s">
        <v>25</v>
      </c>
      <c r="I98" s="60" t="s">
        <v>19</v>
      </c>
      <c r="J98" s="60" t="s">
        <v>309</v>
      </c>
      <c r="K98" s="57" t="s">
        <v>436</v>
      </c>
      <c r="L98" s="75"/>
    </row>
    <row r="99" spans="1:12" hidden="1">
      <c r="A99" s="72">
        <v>45989</v>
      </c>
      <c r="B99" s="73" t="str">
        <f>IF(Tabla13[[#This Row],[Fecha]]="","",TEXT(Tabla13[[#This Row],[Fecha]],"aaaa"))</f>
        <v>viernes</v>
      </c>
      <c r="C99" s="74" t="str">
        <f>IF(Tabla13[[#This Row],[Fecha]]="","",TEXT(Tabla13[[#This Row],[Fecha]],"mmmm"))</f>
        <v>noviembre</v>
      </c>
      <c r="D99" s="75">
        <v>0.48819444444444443</v>
      </c>
      <c r="E99" s="75">
        <v>0.50416666666666665</v>
      </c>
      <c r="F99" s="71">
        <f>HOUR(Tabla13[[#This Row],[Hora fin ]]-Tabla13[[#This Row],[Hora inicio]])+MINUTE(Tabla13[[#This Row],[Hora fin ]]-Tabla13[[#This Row],[Hora inicio]])/60</f>
        <v>0.38333333333333336</v>
      </c>
      <c r="G99" s="60" t="s">
        <v>4</v>
      </c>
      <c r="H99" s="60" t="s">
        <v>16</v>
      </c>
      <c r="I99" s="60" t="s">
        <v>17</v>
      </c>
      <c r="J99" s="60" t="s">
        <v>290</v>
      </c>
      <c r="K99" s="57" t="s">
        <v>432</v>
      </c>
      <c r="L99" s="75"/>
    </row>
    <row r="100" spans="1:12" hidden="1">
      <c r="A100" s="72">
        <v>45989</v>
      </c>
      <c r="B100" s="73" t="str">
        <f>IF(Tabla13[[#This Row],[Fecha]]="","",TEXT(Tabla13[[#This Row],[Fecha]],"aaaa"))</f>
        <v>viernes</v>
      </c>
      <c r="C100" s="74" t="str">
        <f>IF(Tabla13[[#This Row],[Fecha]]="","",TEXT(Tabla13[[#This Row],[Fecha]],"mmmm"))</f>
        <v>noviembre</v>
      </c>
      <c r="D100" s="75">
        <v>0.70625000000000004</v>
      </c>
      <c r="E100" s="75">
        <v>0.74305555555555558</v>
      </c>
      <c r="F100" s="71">
        <f>HOUR(Tabla13[[#This Row],[Hora fin ]]-Tabla13[[#This Row],[Hora inicio]])+MINUTE(Tabla13[[#This Row],[Hora fin ]]-Tabla13[[#This Row],[Hora inicio]])/60</f>
        <v>0.8833333333333333</v>
      </c>
      <c r="G100" s="60" t="s">
        <v>10</v>
      </c>
      <c r="H100" s="60" t="s">
        <v>23</v>
      </c>
      <c r="I100" s="60" t="s">
        <v>17</v>
      </c>
      <c r="J100" s="60" t="s">
        <v>290</v>
      </c>
      <c r="K100" s="57" t="s">
        <v>437</v>
      </c>
      <c r="L100" s="75"/>
    </row>
    <row r="101" spans="1:12" hidden="1">
      <c r="A101" s="72">
        <v>45990</v>
      </c>
      <c r="B101" s="73" t="str">
        <f>IF(Tabla13[[#This Row],[Fecha]]="","",TEXT(Tabla13[[#This Row],[Fecha]],"aaaa"))</f>
        <v>sábado</v>
      </c>
      <c r="C101" s="74" t="str">
        <f>IF(Tabla13[[#This Row],[Fecha]]="","",TEXT(Tabla13[[#This Row],[Fecha]],"mmmm"))</f>
        <v>noviembre</v>
      </c>
      <c r="D101" s="75">
        <v>0.05</v>
      </c>
      <c r="E101" s="75">
        <v>8.611111111111111E-2</v>
      </c>
      <c r="F101" s="71">
        <f>HOUR(Tabla13[[#This Row],[Hora fin ]]-Tabla13[[#This Row],[Hora inicio]])+MINUTE(Tabla13[[#This Row],[Hora fin ]]-Tabla13[[#This Row],[Hora inicio]])/60</f>
        <v>0.8666666666666667</v>
      </c>
      <c r="G101" s="60" t="s">
        <v>4</v>
      </c>
      <c r="H101" s="60" t="s">
        <v>16</v>
      </c>
      <c r="I101" s="60" t="s">
        <v>17</v>
      </c>
      <c r="J101" s="60" t="s">
        <v>290</v>
      </c>
      <c r="K101" s="57" t="s">
        <v>432</v>
      </c>
      <c r="L101" s="75"/>
    </row>
    <row r="102" spans="1:12" hidden="1">
      <c r="A102" s="72">
        <v>45990</v>
      </c>
      <c r="B102" s="73" t="str">
        <f>IF(Tabla13[[#This Row],[Fecha]]="","",TEXT(Tabla13[[#This Row],[Fecha]],"aaaa"))</f>
        <v>sábado</v>
      </c>
      <c r="C102" s="74" t="str">
        <f>IF(Tabla13[[#This Row],[Fecha]]="","",TEXT(Tabla13[[#This Row],[Fecha]],"mmmm"))</f>
        <v>noviembre</v>
      </c>
      <c r="D102" s="75">
        <v>0.47013888888888888</v>
      </c>
      <c r="E102" s="75">
        <v>0.4861111111111111</v>
      </c>
      <c r="F102" s="71">
        <f>HOUR(Tabla13[[#This Row],[Hora fin ]]-Tabla13[[#This Row],[Hora inicio]])+MINUTE(Tabla13[[#This Row],[Hora fin ]]-Tabla13[[#This Row],[Hora inicio]])/60</f>
        <v>0.38333333333333336</v>
      </c>
      <c r="G102" s="60" t="s">
        <v>4</v>
      </c>
      <c r="H102" s="60" t="s">
        <v>16</v>
      </c>
      <c r="I102" s="60" t="s">
        <v>17</v>
      </c>
      <c r="J102" s="60" t="s">
        <v>290</v>
      </c>
      <c r="K102" s="57" t="s">
        <v>432</v>
      </c>
      <c r="L102" s="75"/>
    </row>
    <row r="103" spans="1:12" hidden="1">
      <c r="A103" s="72">
        <v>45991</v>
      </c>
      <c r="B103" s="73" t="str">
        <f>IF(Tabla13[[#This Row],[Fecha]]="","",TEXT(Tabla13[[#This Row],[Fecha]],"aaaa"))</f>
        <v>domingo</v>
      </c>
      <c r="C103" s="74" t="str">
        <f>IF(Tabla13[[#This Row],[Fecha]]="","",TEXT(Tabla13[[#This Row],[Fecha]],"mmmm"))</f>
        <v>noviembre</v>
      </c>
      <c r="D103" s="75">
        <v>1.5972222222222221E-2</v>
      </c>
      <c r="E103" s="75">
        <v>2.5000000000000001E-2</v>
      </c>
      <c r="F103" s="71">
        <f>HOUR(Tabla13[[#This Row],[Hora fin ]]-Tabla13[[#This Row],[Hora inicio]])+MINUTE(Tabla13[[#This Row],[Hora fin ]]-Tabla13[[#This Row],[Hora inicio]])/60</f>
        <v>0.21666666666666667</v>
      </c>
      <c r="G103" s="60" t="s">
        <v>4</v>
      </c>
      <c r="H103" s="60" t="s">
        <v>16</v>
      </c>
      <c r="I103" s="60" t="s">
        <v>17</v>
      </c>
      <c r="J103" s="60" t="s">
        <v>290</v>
      </c>
      <c r="K103" s="57" t="s">
        <v>432</v>
      </c>
      <c r="L103" s="75"/>
    </row>
    <row r="104" spans="1:12" hidden="1">
      <c r="A104" s="72">
        <v>45991</v>
      </c>
      <c r="B104" s="73" t="str">
        <f>IF(Tabla13[[#This Row],[Fecha]]="","",TEXT(Tabla13[[#This Row],[Fecha]],"aaaa"))</f>
        <v>domingo</v>
      </c>
      <c r="C104" s="74" t="str">
        <f>IF(Tabla13[[#This Row],[Fecha]]="","",TEXT(Tabla13[[#This Row],[Fecha]],"mmmm"))</f>
        <v>noviembre</v>
      </c>
      <c r="D104" s="75">
        <v>0.25555555555555554</v>
      </c>
      <c r="E104" s="75">
        <v>0.26041666666666669</v>
      </c>
      <c r="F104" s="71">
        <f>HOUR(Tabla13[[#This Row],[Hora fin ]]-Tabla13[[#This Row],[Hora inicio]])+MINUTE(Tabla13[[#This Row],[Hora fin ]]-Tabla13[[#This Row],[Hora inicio]])/60</f>
        <v>0.11666666666666667</v>
      </c>
      <c r="G104" s="60" t="s">
        <v>10</v>
      </c>
      <c r="H104" s="60" t="s">
        <v>30</v>
      </c>
      <c r="I104" s="60" t="s">
        <v>17</v>
      </c>
      <c r="J104" s="60" t="s">
        <v>291</v>
      </c>
      <c r="K104" s="57" t="s">
        <v>435</v>
      </c>
      <c r="L104" s="75"/>
    </row>
    <row r="105" spans="1:12" hidden="1">
      <c r="A105" s="72">
        <v>45992</v>
      </c>
      <c r="B105" s="87"/>
      <c r="C105" s="74" t="str">
        <f>IF(Tabla13[[#This Row],[Fecha]]="","",TEXT(Tabla13[[#This Row],[Fecha]],"mmmm"))</f>
        <v>diciembre</v>
      </c>
      <c r="D105" s="75">
        <v>0.53680555555555554</v>
      </c>
      <c r="E105" s="75">
        <v>0.80138888888888893</v>
      </c>
      <c r="F105" s="71">
        <f>HOUR(Tabla13[[#This Row],[Hora fin ]]-Tabla13[[#This Row],[Hora inicio]])+MINUTE(Tabla13[[#This Row],[Hora fin ]]-Tabla13[[#This Row],[Hora inicio]])/60</f>
        <v>6.35</v>
      </c>
      <c r="G105" s="60" t="s">
        <v>10</v>
      </c>
      <c r="H105" s="60" t="s">
        <v>25</v>
      </c>
      <c r="I105" s="60" t="s">
        <v>12</v>
      </c>
      <c r="J105" s="60" t="s">
        <v>270</v>
      </c>
      <c r="K105" s="57" t="s">
        <v>442</v>
      </c>
      <c r="L105" s="75"/>
    </row>
    <row r="106" spans="1:12" ht="30" hidden="1">
      <c r="A106" s="72">
        <v>45992</v>
      </c>
      <c r="B106" s="87" t="str">
        <f>IF(Tabla13[[#This Row],[Fecha]]="","",TEXT(Tabla13[[#This Row],[Fecha]],"aaaa"))</f>
        <v>lunes</v>
      </c>
      <c r="C106" s="74" t="str">
        <f>IF(Tabla13[[#This Row],[Fecha]]="","",TEXT(Tabla13[[#This Row],[Fecha]],"mmmm"))</f>
        <v>diciembre</v>
      </c>
      <c r="D106" s="75">
        <v>0.80555555555555558</v>
      </c>
      <c r="E106" s="75">
        <v>0.8125</v>
      </c>
      <c r="F106" s="71">
        <f>HOUR(Tabla13[[#This Row],[Hora fin ]]-Tabla13[[#This Row],[Hora inicio]])+MINUTE(Tabla13[[#This Row],[Hora fin ]]-Tabla13[[#This Row],[Hora inicio]])/60</f>
        <v>0.16666666666666666</v>
      </c>
      <c r="G106" s="60" t="s">
        <v>10</v>
      </c>
      <c r="H106" s="60" t="s">
        <v>25</v>
      </c>
      <c r="I106" s="60" t="s">
        <v>17</v>
      </c>
      <c r="J106" s="60" t="s">
        <v>291</v>
      </c>
      <c r="K106" s="57" t="s">
        <v>441</v>
      </c>
      <c r="L106" s="75"/>
    </row>
    <row r="107" spans="1:12" hidden="1">
      <c r="A107" s="72">
        <v>45993</v>
      </c>
      <c r="B107" s="73" t="str">
        <f>IF(Tabla13[[#This Row],[Fecha]]="","",TEXT(Tabla13[[#This Row],[Fecha]],"aaaa"))</f>
        <v>martes</v>
      </c>
      <c r="C107" s="74" t="str">
        <f>IF(Tabla13[[#This Row],[Fecha]]="","",TEXT(Tabla13[[#This Row],[Fecha]],"mmmm"))</f>
        <v>diciembre</v>
      </c>
      <c r="D107" s="75">
        <v>0.25</v>
      </c>
      <c r="E107" s="75">
        <v>0.5</v>
      </c>
      <c r="F107" s="71">
        <f>HOUR(Tabla13[[#This Row],[Hora fin ]]-Tabla13[[#This Row],[Hora inicio]])+MINUTE(Tabla13[[#This Row],[Hora fin ]]-Tabla13[[#This Row],[Hora inicio]])/60</f>
        <v>6</v>
      </c>
      <c r="G107" s="60" t="s">
        <v>7</v>
      </c>
      <c r="H107" s="60" t="s">
        <v>16</v>
      </c>
      <c r="I107" s="60" t="s">
        <v>6</v>
      </c>
      <c r="J107" s="60" t="s">
        <v>299</v>
      </c>
      <c r="K107" s="57" t="s">
        <v>440</v>
      </c>
      <c r="L107" s="75"/>
    </row>
    <row r="108" spans="1:12" hidden="1">
      <c r="A108" s="72">
        <v>45993</v>
      </c>
      <c r="B108" s="73" t="str">
        <f>IF(Tabla13[[#This Row],[Fecha]]="","",TEXT(Tabla13[[#This Row],[Fecha]],"aaaa"))</f>
        <v>martes</v>
      </c>
      <c r="C108" s="74" t="str">
        <f>IF(Tabla13[[#This Row],[Fecha]]="","",TEXT(Tabla13[[#This Row],[Fecha]],"mmmm"))</f>
        <v>diciembre</v>
      </c>
      <c r="D108" s="75">
        <v>0.92708333333333337</v>
      </c>
      <c r="E108" s="75">
        <v>0.93402777777777779</v>
      </c>
      <c r="F108" s="71">
        <f>HOUR(Tabla13[[#This Row],[Hora fin ]]-Tabla13[[#This Row],[Hora inicio]])+MINUTE(Tabla13[[#This Row],[Hora fin ]]-Tabla13[[#This Row],[Hora inicio]])/60</f>
        <v>0.16666666666666666</v>
      </c>
      <c r="G108" s="60" t="s">
        <v>10</v>
      </c>
      <c r="H108" s="60" t="s">
        <v>25</v>
      </c>
      <c r="I108" s="60" t="s">
        <v>17</v>
      </c>
      <c r="J108" s="60" t="s">
        <v>291</v>
      </c>
      <c r="K108" s="57" t="s">
        <v>443</v>
      </c>
      <c r="L108" s="75"/>
    </row>
    <row r="109" spans="1:12" ht="30" hidden="1">
      <c r="A109" s="72">
        <v>45993</v>
      </c>
      <c r="B109" s="73" t="str">
        <f>IF(Tabla13[[#This Row],[Fecha]]="","",TEXT(Tabla13[[#This Row],[Fecha]],"aaaa"))</f>
        <v>martes</v>
      </c>
      <c r="C109" s="74" t="str">
        <f>IF(Tabla13[[#This Row],[Fecha]]="","",TEXT(Tabla13[[#This Row],[Fecha]],"mmmm"))</f>
        <v>diciembre</v>
      </c>
      <c r="D109" s="75">
        <v>0.97222222222222221</v>
      </c>
      <c r="E109" s="75">
        <v>1</v>
      </c>
      <c r="F109" s="71">
        <f>HOUR(Tabla13[[#This Row],[Hora fin ]]-Tabla13[[#This Row],[Hora inicio]])+MINUTE(Tabla13[[#This Row],[Hora fin ]]-Tabla13[[#This Row],[Hora inicio]])/60</f>
        <v>0.66666666666666663</v>
      </c>
      <c r="G109" s="60" t="s">
        <v>10</v>
      </c>
      <c r="H109" s="60" t="s">
        <v>23</v>
      </c>
      <c r="I109" s="60" t="s">
        <v>19</v>
      </c>
      <c r="J109" s="58" t="s">
        <v>298</v>
      </c>
      <c r="K109" s="57" t="s">
        <v>444</v>
      </c>
      <c r="L109" s="75"/>
    </row>
    <row r="110" spans="1:12" ht="30" hidden="1">
      <c r="A110" s="72">
        <v>45994</v>
      </c>
      <c r="B110" s="73" t="str">
        <f>IF(Tabla13[[#This Row],[Fecha]]="","",TEXT(Tabla13[[#This Row],[Fecha]],"aaaa"))</f>
        <v>miércoles</v>
      </c>
      <c r="C110" s="74" t="str">
        <f>IF(Tabla13[[#This Row],[Fecha]]="","",TEXT(Tabla13[[#This Row],[Fecha]],"mmmm"))</f>
        <v>diciembre</v>
      </c>
      <c r="D110" s="75">
        <v>6.9444444444444447E-4</v>
      </c>
      <c r="E110" s="75">
        <v>0.375</v>
      </c>
      <c r="F110" s="71">
        <f>HOUR(Tabla13[[#This Row],[Hora fin ]]-Tabla13[[#This Row],[Hora inicio]])+MINUTE(Tabla13[[#This Row],[Hora fin ]]-Tabla13[[#This Row],[Hora inicio]])/60</f>
        <v>8.9833333333333325</v>
      </c>
      <c r="G110" s="60" t="s">
        <v>10</v>
      </c>
      <c r="H110" s="60" t="s">
        <v>23</v>
      </c>
      <c r="I110" s="60" t="s">
        <v>19</v>
      </c>
      <c r="J110" s="58" t="s">
        <v>298</v>
      </c>
      <c r="K110" s="57" t="s">
        <v>451</v>
      </c>
      <c r="L110" s="75"/>
    </row>
    <row r="111" spans="1:12" hidden="1">
      <c r="A111" s="72">
        <v>45995</v>
      </c>
      <c r="B111" s="73" t="str">
        <f>IF(Tabla13[[#This Row],[Fecha]]="","",TEXT(Tabla13[[#This Row],[Fecha]],"aaaa"))</f>
        <v>jueves</v>
      </c>
      <c r="C111" s="74" t="str">
        <f>IF(Tabla13[[#This Row],[Fecha]]="","",TEXT(Tabla13[[#This Row],[Fecha]],"mmmm"))</f>
        <v>diciembre</v>
      </c>
      <c r="D111" s="75">
        <v>0.37708333333333333</v>
      </c>
      <c r="E111" s="75">
        <v>0.44097222222222221</v>
      </c>
      <c r="F111" s="71">
        <f>HOUR(Tabla13[[#This Row],[Hora fin ]]-Tabla13[[#This Row],[Hora inicio]])+MINUTE(Tabla13[[#This Row],[Hora fin ]]-Tabla13[[#This Row],[Hora inicio]])/60</f>
        <v>1.5333333333333332</v>
      </c>
      <c r="G111" s="60" t="s">
        <v>10</v>
      </c>
      <c r="H111" s="60" t="s">
        <v>30</v>
      </c>
      <c r="I111" s="60" t="s">
        <v>12</v>
      </c>
      <c r="J111" s="60" t="s">
        <v>270</v>
      </c>
      <c r="K111" s="57" t="s">
        <v>401</v>
      </c>
      <c r="L111" s="75"/>
    </row>
    <row r="112" spans="1:12" hidden="1">
      <c r="A112" s="72">
        <v>45995</v>
      </c>
      <c r="B112" s="73" t="str">
        <f>IF(Tabla13[[#This Row],[Fecha]]="","",TEXT(Tabla13[[#This Row],[Fecha]],"aaaa"))</f>
        <v>jueves</v>
      </c>
      <c r="C112" s="74" t="str">
        <f>IF(Tabla13[[#This Row],[Fecha]]="","",TEXT(Tabla13[[#This Row],[Fecha]],"mmmm"))</f>
        <v>diciembre</v>
      </c>
      <c r="D112" s="75">
        <v>0.74652777777777779</v>
      </c>
      <c r="E112" s="75">
        <v>1</v>
      </c>
      <c r="F112" s="71">
        <f>HOUR(Tabla13[[#This Row],[Hora fin ]]-Tabla13[[#This Row],[Hora inicio]])+MINUTE(Tabla13[[#This Row],[Hora fin ]]-Tabla13[[#This Row],[Hora inicio]])/60</f>
        <v>6.083333333333333</v>
      </c>
      <c r="G112" s="60" t="s">
        <v>10</v>
      </c>
      <c r="H112" s="60" t="s">
        <v>23</v>
      </c>
      <c r="I112" s="60" t="s">
        <v>17</v>
      </c>
      <c r="J112" s="60" t="s">
        <v>292</v>
      </c>
      <c r="K112" s="57" t="s">
        <v>445</v>
      </c>
      <c r="L112" s="75"/>
    </row>
    <row r="113" spans="1:12" ht="30" hidden="1">
      <c r="A113" s="72">
        <v>45996</v>
      </c>
      <c r="B113" s="87" t="str">
        <f>IF(Tabla13[[#This Row],[Fecha]]="","",TEXT(Tabla13[[#This Row],[Fecha]],"aaaa"))</f>
        <v>viernes</v>
      </c>
      <c r="C113" s="74" t="str">
        <f>IF(Tabla13[[#This Row],[Fecha]]="","",TEXT(Tabla13[[#This Row],[Fecha]],"mmmm"))</f>
        <v>diciembre</v>
      </c>
      <c r="D113" s="75">
        <v>6.9444444444444447E-4</v>
      </c>
      <c r="E113" s="75">
        <v>0.41666666666666669</v>
      </c>
      <c r="F113" s="71">
        <f>HOUR(Tabla13[[#This Row],[Hora fin ]]-Tabla13[[#This Row],[Hora inicio]])+MINUTE(Tabla13[[#This Row],[Hora fin ]]-Tabla13[[#This Row],[Hora inicio]])/60</f>
        <v>9.9833333333333325</v>
      </c>
      <c r="G113" s="60" t="s">
        <v>10</v>
      </c>
      <c r="H113" s="60" t="s">
        <v>23</v>
      </c>
      <c r="I113" s="60" t="s">
        <v>17</v>
      </c>
      <c r="J113" s="60" t="s">
        <v>292</v>
      </c>
      <c r="K113" s="57" t="s">
        <v>452</v>
      </c>
      <c r="L113" s="75"/>
    </row>
    <row r="114" spans="1:12" hidden="1">
      <c r="A114" s="72">
        <v>45997</v>
      </c>
      <c r="B114" s="73" t="str">
        <f>IF(Tabla13[[#This Row],[Fecha]]="","",TEXT(Tabla13[[#This Row],[Fecha]],"aaaa"))</f>
        <v>sábado</v>
      </c>
      <c r="C114" s="74" t="str">
        <f>IF(Tabla13[[#This Row],[Fecha]]="","",TEXT(Tabla13[[#This Row],[Fecha]],"mmmm"))</f>
        <v>diciembre</v>
      </c>
      <c r="D114" s="75">
        <v>6.9444444444444447E-4</v>
      </c>
      <c r="E114" s="75">
        <v>0.62152777777777779</v>
      </c>
      <c r="F114" s="71">
        <f>HOUR(Tabla13[[#This Row],[Hora fin ]]-Tabla13[[#This Row],[Hora inicio]])+MINUTE(Tabla13[[#This Row],[Hora fin ]]-Tabla13[[#This Row],[Hora inicio]])/60</f>
        <v>14.9</v>
      </c>
      <c r="G114" s="60" t="s">
        <v>7</v>
      </c>
      <c r="H114" s="60" t="s">
        <v>23</v>
      </c>
      <c r="I114" s="60" t="s">
        <v>17</v>
      </c>
      <c r="J114" s="60" t="s">
        <v>290</v>
      </c>
      <c r="K114" s="57" t="s">
        <v>453</v>
      </c>
      <c r="L114" s="75"/>
    </row>
    <row r="115" spans="1:12" hidden="1">
      <c r="A115" s="72">
        <v>45998</v>
      </c>
      <c r="B115" s="73" t="str">
        <f>IF(Tabla13[[#This Row],[Fecha]]="","",TEXT(Tabla13[[#This Row],[Fecha]],"aaaa"))</f>
        <v>domingo</v>
      </c>
      <c r="C115" s="74" t="str">
        <f>IF(Tabla13[[#This Row],[Fecha]]="","",TEXT(Tabla13[[#This Row],[Fecha]],"mmmm"))</f>
        <v>diciembre</v>
      </c>
      <c r="D115" s="75">
        <v>0.21736111111111112</v>
      </c>
      <c r="E115" s="75">
        <v>0.27569444444444446</v>
      </c>
      <c r="F115" s="71">
        <f>HOUR(Tabla13[[#This Row],[Hora fin ]]-Tabla13[[#This Row],[Hora inicio]])+MINUTE(Tabla13[[#This Row],[Hora fin ]]-Tabla13[[#This Row],[Hora inicio]])/60</f>
        <v>1.4</v>
      </c>
      <c r="G115" s="60" t="s">
        <v>10</v>
      </c>
      <c r="H115" s="60" t="s">
        <v>26</v>
      </c>
      <c r="I115" s="60" t="s">
        <v>17</v>
      </c>
      <c r="J115" s="60" t="s">
        <v>290</v>
      </c>
      <c r="K115" s="57" t="s">
        <v>434</v>
      </c>
      <c r="L115" s="75"/>
    </row>
    <row r="116" spans="1:12" hidden="1">
      <c r="A116" s="72">
        <v>45998</v>
      </c>
      <c r="B116" s="73" t="str">
        <f>IF(Tabla13[[#This Row],[Fecha]]="","",TEXT(Tabla13[[#This Row],[Fecha]],"aaaa"))</f>
        <v>domingo</v>
      </c>
      <c r="C116" s="74" t="str">
        <f>IF(Tabla13[[#This Row],[Fecha]]="","",TEXT(Tabla13[[#This Row],[Fecha]],"mmmm"))</f>
        <v>diciembre</v>
      </c>
      <c r="D116" s="75">
        <v>0.33263888888888887</v>
      </c>
      <c r="E116" s="75">
        <v>0.3659722222222222</v>
      </c>
      <c r="F116" s="71">
        <f>HOUR(Tabla13[[#This Row],[Hora fin ]]-Tabla13[[#This Row],[Hora inicio]])+MINUTE(Tabla13[[#This Row],[Hora fin ]]-Tabla13[[#This Row],[Hora inicio]])/60</f>
        <v>0.8</v>
      </c>
      <c r="G116" s="60" t="s">
        <v>10</v>
      </c>
      <c r="H116" s="60" t="s">
        <v>23</v>
      </c>
      <c r="I116" s="60" t="s">
        <v>17</v>
      </c>
      <c r="J116" s="60" t="s">
        <v>290</v>
      </c>
      <c r="K116" s="57" t="s">
        <v>446</v>
      </c>
      <c r="L116" s="75"/>
    </row>
    <row r="117" spans="1:12" hidden="1">
      <c r="A117" s="72">
        <v>46000</v>
      </c>
      <c r="B117" s="73" t="str">
        <f>IF(Tabla13[[#This Row],[Fecha]]="","",TEXT(Tabla13[[#This Row],[Fecha]],"aaaa"))</f>
        <v>martes</v>
      </c>
      <c r="C117" s="74" t="str">
        <f>IF(Tabla13[[#This Row],[Fecha]]="","",TEXT(Tabla13[[#This Row],[Fecha]],"mmmm"))</f>
        <v>diciembre</v>
      </c>
      <c r="D117" s="75">
        <v>0.84722222222222221</v>
      </c>
      <c r="E117" s="75">
        <v>0.87222222222222223</v>
      </c>
      <c r="F117" s="71">
        <f>HOUR(Tabla13[[#This Row],[Hora fin ]]-Tabla13[[#This Row],[Hora inicio]])+MINUTE(Tabla13[[#This Row],[Hora fin ]]-Tabla13[[#This Row],[Hora inicio]])/60</f>
        <v>0.6</v>
      </c>
      <c r="G117" s="60" t="s">
        <v>10</v>
      </c>
      <c r="H117" s="60" t="s">
        <v>26</v>
      </c>
      <c r="I117" s="60" t="s">
        <v>17</v>
      </c>
      <c r="J117" s="60" t="s">
        <v>290</v>
      </c>
      <c r="K117" s="57" t="s">
        <v>434</v>
      </c>
      <c r="L117" s="75"/>
    </row>
    <row r="118" spans="1:12" hidden="1">
      <c r="A118" s="72">
        <v>46001</v>
      </c>
      <c r="B118" s="73" t="str">
        <f>IF(Tabla13[[#This Row],[Fecha]]="","",TEXT(Tabla13[[#This Row],[Fecha]],"aaaa"))</f>
        <v>miércoles</v>
      </c>
      <c r="C118" s="74" t="str">
        <f>IF(Tabla13[[#This Row],[Fecha]]="","",TEXT(Tabla13[[#This Row],[Fecha]],"mmmm"))</f>
        <v>diciembre</v>
      </c>
      <c r="D118" s="75">
        <v>0.37847222222222221</v>
      </c>
      <c r="E118" s="75">
        <v>0.625</v>
      </c>
      <c r="F118" s="71">
        <f>HOUR(Tabla13[[#This Row],[Hora fin ]]-Tabla13[[#This Row],[Hora inicio]])+MINUTE(Tabla13[[#This Row],[Hora fin ]]-Tabla13[[#This Row],[Hora inicio]])/60</f>
        <v>5.916666666666667</v>
      </c>
      <c r="G118" s="60" t="s">
        <v>10</v>
      </c>
      <c r="H118" s="60" t="s">
        <v>32</v>
      </c>
      <c r="I118" s="60" t="s">
        <v>9</v>
      </c>
      <c r="J118" s="60" t="s">
        <v>448</v>
      </c>
      <c r="K118" s="57" t="s">
        <v>447</v>
      </c>
      <c r="L118" s="75"/>
    </row>
    <row r="119" spans="1:12" hidden="1">
      <c r="A119" s="72">
        <v>46001</v>
      </c>
      <c r="B119" s="73" t="str">
        <f>IF(Tabla13[[#This Row],[Fecha]]="","",TEXT(Tabla13[[#This Row],[Fecha]],"aaaa"))</f>
        <v>miércoles</v>
      </c>
      <c r="C119" s="74" t="str">
        <f>IF(Tabla13[[#This Row],[Fecha]]="","",TEXT(Tabla13[[#This Row],[Fecha]],"mmmm"))</f>
        <v>diciembre</v>
      </c>
      <c r="D119" s="75">
        <v>0.41736111111111113</v>
      </c>
      <c r="E119" s="75">
        <v>0.43194444444444446</v>
      </c>
      <c r="F119" s="71">
        <f>HOUR(Tabla13[[#This Row],[Hora fin ]]-Tabla13[[#This Row],[Hora inicio]])+MINUTE(Tabla13[[#This Row],[Hora fin ]]-Tabla13[[#This Row],[Hora inicio]])/60</f>
        <v>0.35</v>
      </c>
      <c r="G119" s="60" t="s">
        <v>10</v>
      </c>
      <c r="H119" s="60" t="s">
        <v>30</v>
      </c>
      <c r="I119" s="60" t="s">
        <v>12</v>
      </c>
      <c r="J119" s="60" t="s">
        <v>270</v>
      </c>
      <c r="K119" s="57" t="s">
        <v>401</v>
      </c>
      <c r="L119" s="75"/>
    </row>
    <row r="120" spans="1:12" hidden="1">
      <c r="A120" s="72">
        <v>46001</v>
      </c>
      <c r="B120" s="73" t="str">
        <f>IF(Tabla13[[#This Row],[Fecha]]="","",TEXT(Tabla13[[#This Row],[Fecha]],"aaaa"))</f>
        <v>miércoles</v>
      </c>
      <c r="C120" s="74" t="str">
        <f>IF(Tabla13[[#This Row],[Fecha]]="","",TEXT(Tabla13[[#This Row],[Fecha]],"mmmm"))</f>
        <v>diciembre</v>
      </c>
      <c r="D120" s="75">
        <v>0.50138888888888888</v>
      </c>
      <c r="E120" s="75">
        <v>0.51041666666666663</v>
      </c>
      <c r="F120" s="71">
        <f>HOUR(Tabla13[[#This Row],[Hora fin ]]-Tabla13[[#This Row],[Hora inicio]])+MINUTE(Tabla13[[#This Row],[Hora fin ]]-Tabla13[[#This Row],[Hora inicio]])/60</f>
        <v>0.21666666666666667</v>
      </c>
      <c r="G120" s="60" t="s">
        <v>10</v>
      </c>
      <c r="H120" s="60" t="s">
        <v>30</v>
      </c>
      <c r="I120" s="60" t="s">
        <v>12</v>
      </c>
      <c r="J120" s="60" t="s">
        <v>270</v>
      </c>
      <c r="K120" s="57" t="s">
        <v>401</v>
      </c>
      <c r="L120" s="75"/>
    </row>
    <row r="121" spans="1:12" ht="30" hidden="1">
      <c r="A121" s="72">
        <v>46003</v>
      </c>
      <c r="B121" s="73" t="str">
        <f>IF(Tabla13[[#This Row],[Fecha]]="","",TEXT(Tabla13[[#This Row],[Fecha]],"aaaa"))</f>
        <v>viernes</v>
      </c>
      <c r="C121" s="74" t="str">
        <f>IF(Tabla13[[#This Row],[Fecha]]="","",TEXT(Tabla13[[#This Row],[Fecha]],"mmmm"))</f>
        <v>diciembre</v>
      </c>
      <c r="D121" s="75">
        <v>0.63124999999999998</v>
      </c>
      <c r="E121" s="75">
        <v>0.7416666666666667</v>
      </c>
      <c r="F121" s="71">
        <f>HOUR(Tabla13[[#This Row],[Hora fin ]]-Tabla13[[#This Row],[Hora inicio]])+MINUTE(Tabla13[[#This Row],[Hora fin ]]-Tabla13[[#This Row],[Hora inicio]])/60</f>
        <v>2.65</v>
      </c>
      <c r="G121" s="60" t="s">
        <v>7</v>
      </c>
      <c r="H121" s="60" t="s">
        <v>16</v>
      </c>
      <c r="I121" s="60" t="s">
        <v>12</v>
      </c>
      <c r="J121" s="60" t="s">
        <v>270</v>
      </c>
      <c r="K121" s="57" t="s">
        <v>449</v>
      </c>
      <c r="L121" s="75"/>
    </row>
    <row r="122" spans="1:12" hidden="1">
      <c r="A122" s="72">
        <v>46003</v>
      </c>
      <c r="B122" s="73" t="str">
        <f>IF(Tabla13[[#This Row],[Fecha]]="","",TEXT(Tabla13[[#This Row],[Fecha]],"aaaa"))</f>
        <v>viernes</v>
      </c>
      <c r="C122" s="74" t="str">
        <f>IF(Tabla13[[#This Row],[Fecha]]="","",TEXT(Tabla13[[#This Row],[Fecha]],"mmmm"))</f>
        <v>diciembre</v>
      </c>
      <c r="D122" s="75">
        <v>0.93472222222222223</v>
      </c>
      <c r="E122" s="75">
        <v>0.96666666666666667</v>
      </c>
      <c r="F122" s="71">
        <f>HOUR(Tabla13[[#This Row],[Hora fin ]]-Tabla13[[#This Row],[Hora inicio]])+MINUTE(Tabla13[[#This Row],[Hora fin ]]-Tabla13[[#This Row],[Hora inicio]])/60</f>
        <v>0.76666666666666672</v>
      </c>
      <c r="G122" s="60" t="s">
        <v>10</v>
      </c>
      <c r="H122" s="60" t="s">
        <v>26</v>
      </c>
      <c r="I122" s="60" t="s">
        <v>257</v>
      </c>
      <c r="J122" s="60" t="s">
        <v>287</v>
      </c>
      <c r="K122" s="57" t="s">
        <v>414</v>
      </c>
      <c r="L122" s="75"/>
    </row>
    <row r="123" spans="1:12" hidden="1">
      <c r="A123" s="72">
        <v>46004</v>
      </c>
      <c r="B123" s="73" t="str">
        <f>IF(Tabla13[[#This Row],[Fecha]]="","",TEXT(Tabla13[[#This Row],[Fecha]],"aaaa"))</f>
        <v>sábado</v>
      </c>
      <c r="C123" s="74" t="str">
        <f>IF(Tabla13[[#This Row],[Fecha]]="","",TEXT(Tabla13[[#This Row],[Fecha]],"mmmm"))</f>
        <v>diciembre</v>
      </c>
      <c r="D123" s="75">
        <v>0.32569444444444445</v>
      </c>
      <c r="E123" s="75">
        <v>0.34236111111111112</v>
      </c>
      <c r="F123" s="71">
        <f>HOUR(Tabla13[[#This Row],[Hora fin ]]-Tabla13[[#This Row],[Hora inicio]])+MINUTE(Tabla13[[#This Row],[Hora fin ]]-Tabla13[[#This Row],[Hora inicio]])/60</f>
        <v>0.4</v>
      </c>
      <c r="G123" s="60" t="s">
        <v>10</v>
      </c>
      <c r="H123" s="60" t="s">
        <v>30</v>
      </c>
      <c r="I123" s="60" t="s">
        <v>12</v>
      </c>
      <c r="J123" s="60" t="s">
        <v>270</v>
      </c>
      <c r="K123" s="57" t="s">
        <v>401</v>
      </c>
      <c r="L123" s="75"/>
    </row>
    <row r="124" spans="1:12" ht="30" hidden="1">
      <c r="A124" s="72">
        <v>46004</v>
      </c>
      <c r="B124" s="73" t="str">
        <f>IF(Tabla13[[#This Row],[Fecha]]="","",TEXT(Tabla13[[#This Row],[Fecha]],"aaaa"))</f>
        <v>sábado</v>
      </c>
      <c r="C124" s="74" t="str">
        <f>IF(Tabla13[[#This Row],[Fecha]]="","",TEXT(Tabla13[[#This Row],[Fecha]],"mmmm"))</f>
        <v>diciembre</v>
      </c>
      <c r="D124" s="75">
        <v>0.41180555555555554</v>
      </c>
      <c r="E124" s="75">
        <v>0.4236111111111111</v>
      </c>
      <c r="F124" s="71">
        <f>HOUR(Tabla13[[#This Row],[Hora fin ]]-Tabla13[[#This Row],[Hora inicio]])+MINUTE(Tabla13[[#This Row],[Hora fin ]]-Tabla13[[#This Row],[Hora inicio]])/60</f>
        <v>0.28333333333333333</v>
      </c>
      <c r="G124" s="60" t="s">
        <v>10</v>
      </c>
      <c r="H124" s="60" t="s">
        <v>26</v>
      </c>
      <c r="I124" s="60" t="s">
        <v>15</v>
      </c>
      <c r="J124" s="60" t="s">
        <v>282</v>
      </c>
      <c r="K124" s="57" t="s">
        <v>450</v>
      </c>
      <c r="L124" s="75"/>
    </row>
    <row r="125" spans="1:12" hidden="1">
      <c r="A125" s="72">
        <v>46005</v>
      </c>
      <c r="B125" s="73" t="str">
        <f>IF(Tabla13[[#This Row],[Fecha]]="","",TEXT(Tabla13[[#This Row],[Fecha]],"aaaa"))</f>
        <v>domingo</v>
      </c>
      <c r="C125" s="74" t="str">
        <f>IF(Tabla13[[#This Row],[Fecha]]="","",TEXT(Tabla13[[#This Row],[Fecha]],"mmmm"))</f>
        <v>diciembre</v>
      </c>
      <c r="D125" s="75">
        <v>0.30208333333333331</v>
      </c>
      <c r="E125" s="75">
        <v>0.30763888888888891</v>
      </c>
      <c r="F125" s="71">
        <f>HOUR(Tabla13[[#This Row],[Hora fin ]]-Tabla13[[#This Row],[Hora inicio]])+MINUTE(Tabla13[[#This Row],[Hora fin ]]-Tabla13[[#This Row],[Hora inicio]])/60</f>
        <v>0.13333333333333333</v>
      </c>
      <c r="G125" s="60" t="s">
        <v>10</v>
      </c>
      <c r="H125" s="60" t="s">
        <v>30</v>
      </c>
      <c r="I125" s="60" t="s">
        <v>12</v>
      </c>
      <c r="J125" s="60" t="s">
        <v>270</v>
      </c>
      <c r="K125" s="57" t="s">
        <v>401</v>
      </c>
      <c r="L125" s="75"/>
    </row>
    <row r="126" spans="1:12" hidden="1">
      <c r="A126" s="72">
        <v>46006</v>
      </c>
      <c r="B126" s="73" t="str">
        <f>IF(Tabla13[[#This Row],[Fecha]]="","",TEXT(Tabla13[[#This Row],[Fecha]],"aaaa"))</f>
        <v>lunes</v>
      </c>
      <c r="C126" s="74" t="str">
        <f>IF(Tabla13[[#This Row],[Fecha]]="","",TEXT(Tabla13[[#This Row],[Fecha]],"mmmm"))</f>
        <v>diciembre</v>
      </c>
      <c r="D126" s="75">
        <v>0.76041666666666663</v>
      </c>
      <c r="E126" s="75">
        <v>0.77777777777777779</v>
      </c>
      <c r="F126" s="71">
        <f>HOUR(Tabla13[[#This Row],[Hora fin ]]-Tabla13[[#This Row],[Hora inicio]])+MINUTE(Tabla13[[#This Row],[Hora fin ]]-Tabla13[[#This Row],[Hora inicio]])/60</f>
        <v>0.41666666666666669</v>
      </c>
      <c r="G126" s="60" t="s">
        <v>10</v>
      </c>
      <c r="H126" s="60" t="s">
        <v>26</v>
      </c>
      <c r="I126" s="60" t="s">
        <v>257</v>
      </c>
      <c r="J126" s="60" t="s">
        <v>287</v>
      </c>
      <c r="K126" s="57" t="s">
        <v>414</v>
      </c>
      <c r="L126" s="75"/>
    </row>
    <row r="127" spans="1:12" ht="30" hidden="1">
      <c r="A127" s="72">
        <v>46006</v>
      </c>
      <c r="B127" s="73" t="str">
        <f>IF(Tabla13[[#This Row],[Fecha]]="","",TEXT(Tabla13[[#This Row],[Fecha]],"aaaa"))</f>
        <v>lunes</v>
      </c>
      <c r="C127" s="74" t="str">
        <f>IF(Tabla13[[#This Row],[Fecha]]="","",TEXT(Tabla13[[#This Row],[Fecha]],"mmmm"))</f>
        <v>diciembre</v>
      </c>
      <c r="D127" s="75">
        <v>0.83263888888888893</v>
      </c>
      <c r="E127" s="75">
        <v>1</v>
      </c>
      <c r="F127" s="71">
        <f>HOUR(Tabla13[[#This Row],[Hora fin ]]-Tabla13[[#This Row],[Hora inicio]])+MINUTE(Tabla13[[#This Row],[Hora fin ]]-Tabla13[[#This Row],[Hora inicio]])/60</f>
        <v>4.0166666666666666</v>
      </c>
      <c r="G127" s="60" t="s">
        <v>4</v>
      </c>
      <c r="H127" s="60" t="s">
        <v>8</v>
      </c>
      <c r="I127" s="60" t="s">
        <v>19</v>
      </c>
      <c r="J127" s="60" t="s">
        <v>295</v>
      </c>
      <c r="K127" s="57" t="s">
        <v>454</v>
      </c>
      <c r="L127" s="75"/>
    </row>
    <row r="128" spans="1:12" ht="30" hidden="1">
      <c r="A128" s="72">
        <v>46007</v>
      </c>
      <c r="B128" s="73" t="str">
        <f>IF(Tabla13[[#This Row],[Fecha]]="","",TEXT(Tabla13[[#This Row],[Fecha]],"aaaa"))</f>
        <v>martes</v>
      </c>
      <c r="C128" s="74" t="str">
        <f>IF(Tabla13[[#This Row],[Fecha]]="","",TEXT(Tabla13[[#This Row],[Fecha]],"mmmm"))</f>
        <v>diciembre</v>
      </c>
      <c r="D128" s="75">
        <v>6.9444444444444447E-4</v>
      </c>
      <c r="E128" s="75">
        <v>0.19444444444444445</v>
      </c>
      <c r="F128" s="71">
        <f>HOUR(Tabla13[[#This Row],[Hora fin ]]-Tabla13[[#This Row],[Hora inicio]])+MINUTE(Tabla13[[#This Row],[Hora fin ]]-Tabla13[[#This Row],[Hora inicio]])/60</f>
        <v>4.6500000000000004</v>
      </c>
      <c r="G128" s="60" t="s">
        <v>4</v>
      </c>
      <c r="H128" s="60" t="s">
        <v>8</v>
      </c>
      <c r="I128" s="60" t="s">
        <v>19</v>
      </c>
      <c r="J128" s="60" t="s">
        <v>295</v>
      </c>
      <c r="K128" s="57" t="s">
        <v>454</v>
      </c>
      <c r="L128" s="75"/>
    </row>
    <row r="129" spans="1:12" hidden="1">
      <c r="A129" s="72">
        <v>46007</v>
      </c>
      <c r="B129" s="73" t="str">
        <f>IF(Tabla13[[#This Row],[Fecha]]="","",TEXT(Tabla13[[#This Row],[Fecha]],"aaaa"))</f>
        <v>martes</v>
      </c>
      <c r="C129" s="74" t="str">
        <f>IF(Tabla13[[#This Row],[Fecha]]="","",TEXT(Tabla13[[#This Row],[Fecha]],"mmmm"))</f>
        <v>diciembre</v>
      </c>
      <c r="D129" s="75">
        <v>0.25416666666666665</v>
      </c>
      <c r="E129" s="75">
        <v>0.27777777777777779</v>
      </c>
      <c r="F129" s="71">
        <f>HOUR(Tabla13[[#This Row],[Hora fin ]]-Tabla13[[#This Row],[Hora inicio]])+MINUTE(Tabla13[[#This Row],[Hora fin ]]-Tabla13[[#This Row],[Hora inicio]])/60</f>
        <v>0.56666666666666665</v>
      </c>
      <c r="G129" s="60" t="s">
        <v>10</v>
      </c>
      <c r="H129" s="60" t="s">
        <v>30</v>
      </c>
      <c r="I129" s="60" t="s">
        <v>12</v>
      </c>
      <c r="J129" s="60" t="s">
        <v>270</v>
      </c>
      <c r="K129" s="57" t="s">
        <v>401</v>
      </c>
      <c r="L129" s="75"/>
    </row>
    <row r="130" spans="1:12" hidden="1">
      <c r="A130" s="72">
        <v>46007</v>
      </c>
      <c r="B130" s="73" t="str">
        <f>IF(Tabla13[[#This Row],[Fecha]]="","",TEXT(Tabla13[[#This Row],[Fecha]],"aaaa"))</f>
        <v>martes</v>
      </c>
      <c r="C130" s="74" t="str">
        <f>IF(Tabla13[[#This Row],[Fecha]]="","",TEXT(Tabla13[[#This Row],[Fecha]],"mmmm"))</f>
        <v>diciembre</v>
      </c>
      <c r="D130" s="75">
        <v>0.79166666666666663</v>
      </c>
      <c r="E130" s="75">
        <v>0.84375</v>
      </c>
      <c r="F130" s="71">
        <f>HOUR(Tabla13[[#This Row],[Hora fin ]]-Tabla13[[#This Row],[Hora inicio]])+MINUTE(Tabla13[[#This Row],[Hora fin ]]-Tabla13[[#This Row],[Hora inicio]])/60</f>
        <v>1.25</v>
      </c>
      <c r="G130" s="60" t="s">
        <v>10</v>
      </c>
      <c r="H130" s="60" t="s">
        <v>30</v>
      </c>
      <c r="I130" s="60" t="s">
        <v>12</v>
      </c>
      <c r="J130" s="60" t="s">
        <v>270</v>
      </c>
      <c r="K130" s="57" t="s">
        <v>401</v>
      </c>
      <c r="L130" s="75"/>
    </row>
    <row r="131" spans="1:12" hidden="1">
      <c r="A131" s="72">
        <v>46008</v>
      </c>
      <c r="B131" s="73" t="str">
        <f>IF(Tabla13[[#This Row],[Fecha]]="","",TEXT(Tabla13[[#This Row],[Fecha]],"aaaa"))</f>
        <v>miércoles</v>
      </c>
      <c r="C131" s="74" t="str">
        <f>IF(Tabla13[[#This Row],[Fecha]]="","",TEXT(Tabla13[[#This Row],[Fecha]],"mmmm"))</f>
        <v>diciembre</v>
      </c>
      <c r="D131" s="75">
        <v>0.16944444444444445</v>
      </c>
      <c r="E131" s="75">
        <v>0.19583333333333333</v>
      </c>
      <c r="F131" s="71">
        <f>HOUR(Tabla13[[#This Row],[Hora fin ]]-Tabla13[[#This Row],[Hora inicio]])+MINUTE(Tabla13[[#This Row],[Hora fin ]]-Tabla13[[#This Row],[Hora inicio]])/60</f>
        <v>0.6333333333333333</v>
      </c>
      <c r="G131" s="60" t="s">
        <v>10</v>
      </c>
      <c r="H131" s="60" t="s">
        <v>30</v>
      </c>
      <c r="I131" s="60" t="s">
        <v>12</v>
      </c>
      <c r="J131" s="60" t="s">
        <v>270</v>
      </c>
      <c r="K131" s="57" t="s">
        <v>401</v>
      </c>
      <c r="L131" s="75"/>
    </row>
    <row r="132" spans="1:12" hidden="1">
      <c r="A132" s="72">
        <v>46008</v>
      </c>
      <c r="B132" s="73" t="str">
        <f>IF(Tabla13[[#This Row],[Fecha]]="","",TEXT(Tabla13[[#This Row],[Fecha]],"aaaa"))</f>
        <v>miércoles</v>
      </c>
      <c r="C132" s="74" t="str">
        <f>IF(Tabla13[[#This Row],[Fecha]]="","",TEXT(Tabla13[[#This Row],[Fecha]],"mmmm"))</f>
        <v>diciembre</v>
      </c>
      <c r="D132" s="75">
        <v>0.79305555555555551</v>
      </c>
      <c r="E132" s="75">
        <v>0.82361111111111107</v>
      </c>
      <c r="F132" s="71">
        <f>HOUR(Tabla13[[#This Row],[Hora fin ]]-Tabla13[[#This Row],[Hora inicio]])+MINUTE(Tabla13[[#This Row],[Hora fin ]]-Tabla13[[#This Row],[Hora inicio]])/60</f>
        <v>0.73333333333333328</v>
      </c>
      <c r="G132" s="60" t="s">
        <v>10</v>
      </c>
      <c r="H132" s="60" t="s">
        <v>30</v>
      </c>
      <c r="I132" s="60" t="s">
        <v>12</v>
      </c>
      <c r="J132" s="60" t="s">
        <v>270</v>
      </c>
      <c r="K132" s="57" t="s">
        <v>401</v>
      </c>
      <c r="L132" s="75"/>
    </row>
    <row r="133" spans="1:12" hidden="1">
      <c r="A133" s="72">
        <v>46008</v>
      </c>
      <c r="B133" s="73" t="str">
        <f>IF(Tabla13[[#This Row],[Fecha]]="","",TEXT(Tabla13[[#This Row],[Fecha]],"aaaa"))</f>
        <v>miércoles</v>
      </c>
      <c r="C133" s="74" t="str">
        <f>IF(Tabla13[[#This Row],[Fecha]]="","",TEXT(Tabla13[[#This Row],[Fecha]],"mmmm"))</f>
        <v>diciembre</v>
      </c>
      <c r="D133" s="75">
        <v>0.95833333333333337</v>
      </c>
      <c r="E133" s="75">
        <v>1</v>
      </c>
      <c r="F133" s="71">
        <f>HOUR(Tabla13[[#This Row],[Hora fin ]]-Tabla13[[#This Row],[Hora inicio]])+MINUTE(Tabla13[[#This Row],[Hora fin ]]-Tabla13[[#This Row],[Hora inicio]])/60</f>
        <v>1</v>
      </c>
      <c r="G133" s="60" t="s">
        <v>10</v>
      </c>
      <c r="H133" s="60" t="s">
        <v>26</v>
      </c>
      <c r="I133" s="60" t="s">
        <v>17</v>
      </c>
      <c r="J133" s="60" t="s">
        <v>290</v>
      </c>
      <c r="K133" s="57" t="s">
        <v>434</v>
      </c>
      <c r="L133" s="75"/>
    </row>
    <row r="134" spans="1:12" ht="30" hidden="1">
      <c r="A134" s="72">
        <v>46009</v>
      </c>
      <c r="B134" s="73" t="str">
        <f>IF(Tabla13[[#This Row],[Fecha]]="","",TEXT(Tabla13[[#This Row],[Fecha]],"aaaa"))</f>
        <v>jueves</v>
      </c>
      <c r="C134" s="74" t="str">
        <f>IF(Tabla13[[#This Row],[Fecha]]="","",TEXT(Tabla13[[#This Row],[Fecha]],"mmmm"))</f>
        <v>diciembre</v>
      </c>
      <c r="D134" s="75">
        <v>9.3055555555555558E-2</v>
      </c>
      <c r="E134" s="75">
        <v>9.4444444444444442E-2</v>
      </c>
      <c r="F134" s="71">
        <f>HOUR(Tabla13[[#This Row],[Hora fin ]]-Tabla13[[#This Row],[Hora inicio]])+MINUTE(Tabla13[[#This Row],[Hora fin ]]-Tabla13[[#This Row],[Hora inicio]])/60</f>
        <v>3.3333333333333333E-2</v>
      </c>
      <c r="G134" s="60" t="s">
        <v>10</v>
      </c>
      <c r="H134" s="60" t="s">
        <v>26</v>
      </c>
      <c r="I134" s="60" t="s">
        <v>19</v>
      </c>
      <c r="J134" s="60" t="s">
        <v>299</v>
      </c>
      <c r="K134" s="57" t="s">
        <v>455</v>
      </c>
      <c r="L134" s="75"/>
    </row>
    <row r="135" spans="1:12" hidden="1">
      <c r="A135" s="72">
        <v>46009</v>
      </c>
      <c r="B135" s="73" t="str">
        <f>IF(Tabla13[[#This Row],[Fecha]]="","",TEXT(Tabla13[[#This Row],[Fecha]],"aaaa"))</f>
        <v>jueves</v>
      </c>
      <c r="C135" s="74" t="str">
        <f>IF(Tabla13[[#This Row],[Fecha]]="","",TEXT(Tabla13[[#This Row],[Fecha]],"mmmm"))</f>
        <v>diciembre</v>
      </c>
      <c r="D135" s="75">
        <v>0.37361111111111112</v>
      </c>
      <c r="E135" s="75">
        <v>0.65902777777777777</v>
      </c>
      <c r="F135" s="71">
        <f>HOUR(Tabla13[[#This Row],[Hora fin ]]-Tabla13[[#This Row],[Hora inicio]])+MINUTE(Tabla13[[#This Row],[Hora fin ]]-Tabla13[[#This Row],[Hora inicio]])/60</f>
        <v>6.85</v>
      </c>
      <c r="G135" s="60" t="s">
        <v>10</v>
      </c>
      <c r="H135" s="60" t="s">
        <v>32</v>
      </c>
      <c r="I135" s="60" t="s">
        <v>9</v>
      </c>
      <c r="J135" s="60" t="s">
        <v>448</v>
      </c>
      <c r="K135" s="57" t="s">
        <v>447</v>
      </c>
      <c r="L135" s="75"/>
    </row>
    <row r="136" spans="1:12" hidden="1">
      <c r="A136" s="72">
        <v>46009</v>
      </c>
      <c r="B136" s="73" t="str">
        <f>IF(Tabla13[[#This Row],[Fecha]]="","",TEXT(Tabla13[[#This Row],[Fecha]],"aaaa"))</f>
        <v>jueves</v>
      </c>
      <c r="C136" s="74" t="str">
        <f>IF(Tabla13[[#This Row],[Fecha]]="","",TEXT(Tabla13[[#This Row],[Fecha]],"mmmm"))</f>
        <v>diciembre</v>
      </c>
      <c r="D136" s="75">
        <v>0.94791666666666663</v>
      </c>
      <c r="E136" s="75">
        <v>1</v>
      </c>
      <c r="F136" s="71">
        <f>HOUR(Tabla13[[#This Row],[Hora fin ]]-Tabla13[[#This Row],[Hora inicio]])+MINUTE(Tabla13[[#This Row],[Hora fin ]]-Tabla13[[#This Row],[Hora inicio]])/60</f>
        <v>1.25</v>
      </c>
      <c r="G136" s="60" t="s">
        <v>10</v>
      </c>
      <c r="H136" s="60" t="s">
        <v>26</v>
      </c>
      <c r="I136" s="60" t="s">
        <v>17</v>
      </c>
      <c r="J136" s="60" t="s">
        <v>290</v>
      </c>
      <c r="K136" s="57" t="s">
        <v>434</v>
      </c>
      <c r="L136" s="75"/>
    </row>
    <row r="137" spans="1:12" hidden="1">
      <c r="A137" s="72">
        <v>46010</v>
      </c>
      <c r="B137" s="73" t="str">
        <f>IF(Tabla13[[#This Row],[Fecha]]="","",TEXT(Tabla13[[#This Row],[Fecha]],"aaaa"))</f>
        <v>viernes</v>
      </c>
      <c r="C137" s="74" t="str">
        <f>IF(Tabla13[[#This Row],[Fecha]]="","",TEXT(Tabla13[[#This Row],[Fecha]],"mmmm"))</f>
        <v>diciembre</v>
      </c>
      <c r="D137" s="75">
        <v>6.9444444444444447E-4</v>
      </c>
      <c r="E137" s="75">
        <v>3.2638888888888891E-2</v>
      </c>
      <c r="F137" s="71">
        <f>HOUR(Tabla13[[#This Row],[Hora fin ]]-Tabla13[[#This Row],[Hora inicio]])+MINUTE(Tabla13[[#This Row],[Hora fin ]]-Tabla13[[#This Row],[Hora inicio]])/60</f>
        <v>0.76666666666666672</v>
      </c>
      <c r="G137" s="60" t="s">
        <v>10</v>
      </c>
      <c r="H137" s="60" t="s">
        <v>26</v>
      </c>
      <c r="I137" s="60" t="s">
        <v>17</v>
      </c>
      <c r="J137" s="60" t="s">
        <v>290</v>
      </c>
      <c r="K137" s="57" t="s">
        <v>434</v>
      </c>
      <c r="L137" s="75"/>
    </row>
    <row r="138" spans="1:12" hidden="1">
      <c r="A138" s="72">
        <v>46010</v>
      </c>
      <c r="B138" s="73" t="str">
        <f>IF(Tabla13[[#This Row],[Fecha]]="","",TEXT(Tabla13[[#This Row],[Fecha]],"aaaa"))</f>
        <v>viernes</v>
      </c>
      <c r="C138" s="74" t="str">
        <f>IF(Tabla13[[#This Row],[Fecha]]="","",TEXT(Tabla13[[#This Row],[Fecha]],"mmmm"))</f>
        <v>diciembre</v>
      </c>
      <c r="D138" s="75">
        <v>0.43402777777777779</v>
      </c>
      <c r="E138" s="75">
        <v>0.61805555555555558</v>
      </c>
      <c r="F138" s="71">
        <f>HOUR(Tabla13[[#This Row],[Hora fin ]]-Tabla13[[#This Row],[Hora inicio]])+MINUTE(Tabla13[[#This Row],[Hora fin ]]-Tabla13[[#This Row],[Hora inicio]])/60</f>
        <v>4.416666666666667</v>
      </c>
      <c r="G138" s="60" t="s">
        <v>10</v>
      </c>
      <c r="H138" s="60" t="s">
        <v>32</v>
      </c>
      <c r="I138" s="60" t="s">
        <v>9</v>
      </c>
      <c r="J138" s="60" t="s">
        <v>448</v>
      </c>
      <c r="K138" s="57" t="s">
        <v>447</v>
      </c>
      <c r="L138" s="75"/>
    </row>
    <row r="139" spans="1:12" ht="30" hidden="1">
      <c r="A139" s="72">
        <v>46010</v>
      </c>
      <c r="B139" s="73" t="str">
        <f>IF(Tabla13[[#This Row],[Fecha]]="","",TEXT(Tabla13[[#This Row],[Fecha]],"aaaa"))</f>
        <v>viernes</v>
      </c>
      <c r="C139" s="74" t="str">
        <f>IF(Tabla13[[#This Row],[Fecha]]="","",TEXT(Tabla13[[#This Row],[Fecha]],"mmmm"))</f>
        <v>diciembre</v>
      </c>
      <c r="D139" s="75">
        <v>0.65972222222222221</v>
      </c>
      <c r="E139" s="75">
        <v>0.66597222222222219</v>
      </c>
      <c r="F139" s="71">
        <f>HOUR(Tabla13[[#This Row],[Hora fin ]]-Tabla13[[#This Row],[Hora inicio]])+MINUTE(Tabla13[[#This Row],[Hora fin ]]-Tabla13[[#This Row],[Hora inicio]])/60</f>
        <v>0.15</v>
      </c>
      <c r="G139" s="60" t="s">
        <v>10</v>
      </c>
      <c r="H139" s="60" t="s">
        <v>26</v>
      </c>
      <c r="I139" s="60" t="s">
        <v>17</v>
      </c>
      <c r="J139" s="60" t="s">
        <v>291</v>
      </c>
      <c r="K139" s="57" t="s">
        <v>441</v>
      </c>
      <c r="L139" s="75"/>
    </row>
    <row r="140" spans="1:12" hidden="1">
      <c r="A140" s="72">
        <v>46013</v>
      </c>
      <c r="B140" s="73"/>
      <c r="C140" s="74" t="str">
        <f>IF(Tabla13[[#This Row],[Fecha]]="","",TEXT(Tabla13[[#This Row],[Fecha]],"mmmm"))</f>
        <v>diciembre</v>
      </c>
      <c r="D140" s="75">
        <v>0.43680555555555556</v>
      </c>
      <c r="E140" s="75">
        <v>0.44305555555555554</v>
      </c>
      <c r="F140" s="71">
        <f>HOUR(Tabla13[[#This Row],[Hora fin ]]-Tabla13[[#This Row],[Hora inicio]])+MINUTE(Tabla13[[#This Row],[Hora fin ]]-Tabla13[[#This Row],[Hora inicio]])/60</f>
        <v>0.15</v>
      </c>
      <c r="G140" s="60" t="s">
        <v>10</v>
      </c>
      <c r="H140" s="60" t="s">
        <v>30</v>
      </c>
      <c r="I140" s="60" t="s">
        <v>12</v>
      </c>
      <c r="J140" s="60" t="s">
        <v>270</v>
      </c>
      <c r="K140" s="57" t="s">
        <v>401</v>
      </c>
      <c r="L140" s="75"/>
    </row>
    <row r="141" spans="1:12" hidden="1">
      <c r="A141" s="72">
        <v>46013</v>
      </c>
      <c r="B141" s="73"/>
      <c r="C141" s="74" t="str">
        <f>IF(Tabla13[[#This Row],[Fecha]]="","",TEXT(Tabla13[[#This Row],[Fecha]],"mmmm"))</f>
        <v>diciembre</v>
      </c>
      <c r="D141" s="75">
        <v>0.44444444444444442</v>
      </c>
      <c r="E141" s="75">
        <v>0.47638888888888886</v>
      </c>
      <c r="F141" s="71">
        <f>HOUR(Tabla13[[#This Row],[Hora fin ]]-Tabla13[[#This Row],[Hora inicio]])+MINUTE(Tabla13[[#This Row],[Hora fin ]]-Tabla13[[#This Row],[Hora inicio]])/60</f>
        <v>0.76666666666666672</v>
      </c>
      <c r="G141" s="60" t="s">
        <v>10</v>
      </c>
      <c r="H141" s="60" t="s">
        <v>23</v>
      </c>
      <c r="I141" s="60" t="s">
        <v>17</v>
      </c>
      <c r="J141" s="60" t="s">
        <v>290</v>
      </c>
      <c r="K141" s="57" t="s">
        <v>456</v>
      </c>
      <c r="L141" s="75"/>
    </row>
    <row r="142" spans="1:12" hidden="1">
      <c r="A142" s="72">
        <v>46013</v>
      </c>
      <c r="B142" s="73"/>
      <c r="C142" s="74" t="str">
        <f>IF(Tabla13[[#This Row],[Fecha]]="","",TEXT(Tabla13[[#This Row],[Fecha]],"mmmm"))</f>
        <v>diciembre</v>
      </c>
      <c r="D142" s="75">
        <v>0.5395833333333333</v>
      </c>
      <c r="E142" s="75">
        <v>0.60069444444444442</v>
      </c>
      <c r="F142" s="71">
        <f>HOUR(Tabla13[[#This Row],[Hora fin ]]-Tabla13[[#This Row],[Hora inicio]])+MINUTE(Tabla13[[#This Row],[Hora fin ]]-Tabla13[[#This Row],[Hora inicio]])/60</f>
        <v>1.4666666666666668</v>
      </c>
      <c r="G142" s="60" t="s">
        <v>10</v>
      </c>
      <c r="H142" s="60" t="s">
        <v>20</v>
      </c>
      <c r="I142" s="60" t="s">
        <v>258</v>
      </c>
      <c r="J142" s="60" t="s">
        <v>356</v>
      </c>
      <c r="K142" s="57" t="s">
        <v>457</v>
      </c>
      <c r="L142" s="75"/>
    </row>
    <row r="143" spans="1:12" ht="30" hidden="1">
      <c r="A143" s="72">
        <v>46014</v>
      </c>
      <c r="B143" s="73"/>
      <c r="C143" s="74" t="str">
        <f>IF(Tabla13[[#This Row],[Fecha]]="","",TEXT(Tabla13[[#This Row],[Fecha]],"mmmm"))</f>
        <v>diciembre</v>
      </c>
      <c r="D143" s="75">
        <v>0.35694444444444445</v>
      </c>
      <c r="E143" s="75">
        <v>0.43472222222222223</v>
      </c>
      <c r="F143" s="71">
        <f>HOUR(Tabla13[[#This Row],[Hora fin ]]-Tabla13[[#This Row],[Hora inicio]])+MINUTE(Tabla13[[#This Row],[Hora fin ]]-Tabla13[[#This Row],[Hora inicio]])/60</f>
        <v>1.8666666666666667</v>
      </c>
      <c r="G143" s="60" t="s">
        <v>7</v>
      </c>
      <c r="H143" s="60" t="s">
        <v>16</v>
      </c>
      <c r="I143" s="60" t="s">
        <v>12</v>
      </c>
      <c r="J143" s="60" t="s">
        <v>270</v>
      </c>
      <c r="K143" s="57" t="s">
        <v>458</v>
      </c>
      <c r="L143" s="75"/>
    </row>
    <row r="144" spans="1:12" hidden="1">
      <c r="A144" s="72">
        <v>46015</v>
      </c>
      <c r="B144" s="73"/>
      <c r="C144" s="74" t="str">
        <f>IF(Tabla13[[#This Row],[Fecha]]="","",TEXT(Tabla13[[#This Row],[Fecha]],"mmmm"))</f>
        <v>diciembre</v>
      </c>
      <c r="D144" s="75">
        <v>0.3576388888888889</v>
      </c>
      <c r="E144" s="75">
        <v>0.36319444444444443</v>
      </c>
      <c r="F144" s="71">
        <f>HOUR(Tabla13[[#This Row],[Hora fin ]]-Tabla13[[#This Row],[Hora inicio]])+MINUTE(Tabla13[[#This Row],[Hora fin ]]-Tabla13[[#This Row],[Hora inicio]])/60</f>
        <v>0.13333333333333333</v>
      </c>
      <c r="G144" s="60" t="s">
        <v>10</v>
      </c>
      <c r="H144" s="60" t="s">
        <v>26</v>
      </c>
      <c r="I144" s="60" t="s">
        <v>257</v>
      </c>
      <c r="J144" s="60" t="s">
        <v>287</v>
      </c>
      <c r="K144" s="57" t="s">
        <v>459</v>
      </c>
      <c r="L144" s="75"/>
    </row>
    <row r="145" spans="1:12" hidden="1">
      <c r="A145" s="72">
        <v>46017</v>
      </c>
      <c r="B145" s="73"/>
      <c r="C145" s="74" t="str">
        <f>IF(Tabla13[[#This Row],[Fecha]]="","",TEXT(Tabla13[[#This Row],[Fecha]],"mmmm"))</f>
        <v>diciembre</v>
      </c>
      <c r="D145" s="75">
        <v>0.48333333333333334</v>
      </c>
      <c r="E145" s="75">
        <v>0.49166666666666664</v>
      </c>
      <c r="F145" s="71">
        <f>HOUR(Tabla13[[#This Row],[Hora fin ]]-Tabla13[[#This Row],[Hora inicio]])+MINUTE(Tabla13[[#This Row],[Hora fin ]]-Tabla13[[#This Row],[Hora inicio]])/60</f>
        <v>0.2</v>
      </c>
      <c r="G145" s="60" t="s">
        <v>10</v>
      </c>
      <c r="H145" s="60" t="s">
        <v>23</v>
      </c>
      <c r="I145" s="60" t="s">
        <v>24</v>
      </c>
      <c r="J145" s="60" t="s">
        <v>327</v>
      </c>
      <c r="K145" s="57" t="s">
        <v>460</v>
      </c>
      <c r="L145" s="75"/>
    </row>
    <row r="146" spans="1:12" ht="30" hidden="1">
      <c r="A146" s="72">
        <v>46017</v>
      </c>
      <c r="B146" s="73"/>
      <c r="C146" s="74" t="str">
        <f>IF(Tabla13[[#This Row],[Fecha]]="","",TEXT(Tabla13[[#This Row],[Fecha]],"mmmm"))</f>
        <v>diciembre</v>
      </c>
      <c r="D146" s="75">
        <v>0.91666666666666663</v>
      </c>
      <c r="E146" s="75">
        <v>1</v>
      </c>
      <c r="F146" s="71">
        <f>HOUR(Tabla13[[#This Row],[Hora fin ]]-Tabla13[[#This Row],[Hora inicio]])+MINUTE(Tabla13[[#This Row],[Hora fin ]]-Tabla13[[#This Row],[Hora inicio]])/60</f>
        <v>2</v>
      </c>
      <c r="G146" s="60" t="s">
        <v>10</v>
      </c>
      <c r="H146" s="60" t="s">
        <v>23</v>
      </c>
      <c r="I146" s="60" t="s">
        <v>27</v>
      </c>
      <c r="J146" s="60" t="s">
        <v>374</v>
      </c>
      <c r="K146" s="57" t="s">
        <v>461</v>
      </c>
      <c r="L146" s="75"/>
    </row>
    <row r="147" spans="1:12" ht="30" hidden="1">
      <c r="A147" s="72">
        <v>46018</v>
      </c>
      <c r="B147" s="73"/>
      <c r="C147" s="74" t="str">
        <f>IF(Tabla13[[#This Row],[Fecha]]="","",TEXT(Tabla13[[#This Row],[Fecha]],"mmmm"))</f>
        <v>diciembre</v>
      </c>
      <c r="D147" s="75">
        <v>0.12083333333333333</v>
      </c>
      <c r="E147" s="75">
        <v>0.1701388888888889</v>
      </c>
      <c r="F147" s="71">
        <f>HOUR(Tabla13[[#This Row],[Hora fin ]]-Tabla13[[#This Row],[Hora inicio]])+MINUTE(Tabla13[[#This Row],[Hora fin ]]-Tabla13[[#This Row],[Hora inicio]])/60</f>
        <v>1.1833333333333333</v>
      </c>
      <c r="G147" s="60" t="s">
        <v>10</v>
      </c>
      <c r="H147" s="60" t="s">
        <v>26</v>
      </c>
      <c r="I147" s="60" t="s">
        <v>17</v>
      </c>
      <c r="J147" s="60" t="s">
        <v>291</v>
      </c>
      <c r="K147" s="57" t="s">
        <v>441</v>
      </c>
      <c r="L147" s="75"/>
    </row>
    <row r="148" spans="1:12" hidden="1">
      <c r="A148" s="72">
        <v>46020</v>
      </c>
      <c r="B148" s="73"/>
      <c r="C148" s="74" t="str">
        <f>IF(Tabla13[[#This Row],[Fecha]]="","",TEXT(Tabla13[[#This Row],[Fecha]],"mmmm"))</f>
        <v>diciembre</v>
      </c>
      <c r="D148" s="75">
        <v>0.78125</v>
      </c>
      <c r="E148" s="75">
        <v>0.80555555555555558</v>
      </c>
      <c r="F148" s="71">
        <f>HOUR(Tabla13[[#This Row],[Hora fin ]]-Tabla13[[#This Row],[Hora inicio]])+MINUTE(Tabla13[[#This Row],[Hora fin ]]-Tabla13[[#This Row],[Hora inicio]])/60</f>
        <v>0.58333333333333337</v>
      </c>
      <c r="G148" s="60" t="s">
        <v>10</v>
      </c>
      <c r="H148" s="60" t="s">
        <v>30</v>
      </c>
      <c r="I148" s="60" t="s">
        <v>12</v>
      </c>
      <c r="J148" s="60" t="s">
        <v>270</v>
      </c>
      <c r="K148" s="57" t="s">
        <v>401</v>
      </c>
      <c r="L148" s="75"/>
    </row>
    <row r="149" spans="1:12" hidden="1">
      <c r="A149" s="72">
        <v>46021</v>
      </c>
      <c r="B149" s="73"/>
      <c r="C149" s="74" t="str">
        <f>IF(Tabla13[[#This Row],[Fecha]]="","",TEXT(Tabla13[[#This Row],[Fecha]],"mmmm"))</f>
        <v>diciembre</v>
      </c>
      <c r="D149" s="75">
        <v>1.3888888888888889E-3</v>
      </c>
      <c r="E149" s="75">
        <v>4.8611111111111112E-2</v>
      </c>
      <c r="F149" s="71">
        <f>HOUR(Tabla13[[#This Row],[Hora fin ]]-Tabla13[[#This Row],[Hora inicio]])+MINUTE(Tabla13[[#This Row],[Hora fin ]]-Tabla13[[#This Row],[Hora inicio]])/60</f>
        <v>1.1333333333333333</v>
      </c>
      <c r="G149" s="60" t="s">
        <v>10</v>
      </c>
      <c r="H149" s="60" t="s">
        <v>20</v>
      </c>
      <c r="I149" s="60" t="s">
        <v>258</v>
      </c>
      <c r="J149" s="60" t="s">
        <v>356</v>
      </c>
      <c r="K149" s="57" t="s">
        <v>457</v>
      </c>
      <c r="L149" s="75"/>
    </row>
    <row r="150" spans="1:12" hidden="1">
      <c r="A150" s="72">
        <v>46021</v>
      </c>
      <c r="B150" s="73"/>
      <c r="C150" s="74" t="str">
        <f>IF(Tabla13[[#This Row],[Fecha]]="","",TEXT(Tabla13[[#This Row],[Fecha]],"mmmm"))</f>
        <v>diciembre</v>
      </c>
      <c r="D150" s="75">
        <v>5.2083333333333336E-2</v>
      </c>
      <c r="E150" s="75">
        <v>7.2916666666666671E-2</v>
      </c>
      <c r="F150" s="71">
        <f>HOUR(Tabla13[[#This Row],[Hora fin ]]-Tabla13[[#This Row],[Hora inicio]])+MINUTE(Tabla13[[#This Row],[Hora fin ]]-Tabla13[[#This Row],[Hora inicio]])/60</f>
        <v>0.5</v>
      </c>
      <c r="G150" s="60" t="s">
        <v>10</v>
      </c>
      <c r="H150" s="60" t="s">
        <v>30</v>
      </c>
      <c r="I150" s="60" t="s">
        <v>12</v>
      </c>
      <c r="J150" s="60" t="s">
        <v>270</v>
      </c>
      <c r="K150" s="57" t="s">
        <v>401</v>
      </c>
      <c r="L150" s="75"/>
    </row>
    <row r="151" spans="1:12" hidden="1">
      <c r="A151" s="72">
        <v>46022</v>
      </c>
      <c r="B151" s="73"/>
      <c r="C151" s="74" t="str">
        <f>IF(Tabla13[[#This Row],[Fecha]]="","",TEXT(Tabla13[[#This Row],[Fecha]],"mmmm"))</f>
        <v>diciembre</v>
      </c>
      <c r="D151" s="75">
        <v>0.27986111111111112</v>
      </c>
      <c r="E151" s="75">
        <v>0.28333333333333333</v>
      </c>
      <c r="F151" s="71">
        <f>HOUR(Tabla13[[#This Row],[Hora fin ]]-Tabla13[[#This Row],[Hora inicio]])+MINUTE(Tabla13[[#This Row],[Hora fin ]]-Tabla13[[#This Row],[Hora inicio]])/60</f>
        <v>8.3333333333333329E-2</v>
      </c>
      <c r="G151" s="60" t="s">
        <v>10</v>
      </c>
      <c r="H151" s="60" t="s">
        <v>23</v>
      </c>
      <c r="I151" s="60" t="s">
        <v>24</v>
      </c>
      <c r="J151" s="60" t="s">
        <v>327</v>
      </c>
      <c r="K151" s="57" t="s">
        <v>462</v>
      </c>
      <c r="L151" s="75"/>
    </row>
    <row r="152" spans="1:12" ht="30" hidden="1">
      <c r="A152" s="72">
        <v>46034</v>
      </c>
      <c r="B152" s="73"/>
      <c r="C152" s="74" t="str">
        <f>IF(Tabla13[[#This Row],[Fecha]]="","",TEXT(Tabla13[[#This Row],[Fecha]],"mmmm"))</f>
        <v>enero</v>
      </c>
      <c r="D152" s="75">
        <v>0.6743055555555556</v>
      </c>
      <c r="E152" s="75">
        <v>0.95138888888888884</v>
      </c>
      <c r="F152" s="71">
        <f>HOUR(Tabla13[[#This Row],[Hora fin ]]-Tabla13[[#This Row],[Hora inicio]])+MINUTE(Tabla13[[#This Row],[Hora fin ]]-Tabla13[[#This Row],[Hora inicio]])/60</f>
        <v>6.65</v>
      </c>
      <c r="G152" s="60" t="s">
        <v>10</v>
      </c>
      <c r="H152" s="60" t="s">
        <v>26</v>
      </c>
      <c r="I152" s="60" t="s">
        <v>17</v>
      </c>
      <c r="J152" s="60" t="s">
        <v>291</v>
      </c>
      <c r="K152" s="57" t="s">
        <v>463</v>
      </c>
      <c r="L152" s="75"/>
    </row>
    <row r="153" spans="1:12" ht="30" hidden="1">
      <c r="A153" s="72">
        <v>46035</v>
      </c>
      <c r="B153" s="73"/>
      <c r="C153" s="74" t="str">
        <f>IF(Tabla13[[#This Row],[Fecha]]="","",TEXT(Tabla13[[#This Row],[Fecha]],"mmmm"))</f>
        <v>enero</v>
      </c>
      <c r="D153" s="75">
        <v>5.5555555555555552E-2</v>
      </c>
      <c r="E153" s="75">
        <v>6.5972222222222224E-2</v>
      </c>
      <c r="F153" s="71">
        <f>HOUR(Tabla13[[#This Row],[Hora fin ]]-Tabla13[[#This Row],[Hora inicio]])+MINUTE(Tabla13[[#This Row],[Hora fin ]]-Tabla13[[#This Row],[Hora inicio]])/60</f>
        <v>0.25</v>
      </c>
      <c r="G153" s="60" t="s">
        <v>10</v>
      </c>
      <c r="H153" s="60" t="s">
        <v>26</v>
      </c>
      <c r="I153" s="60" t="s">
        <v>257</v>
      </c>
      <c r="J153" s="60" t="s">
        <v>287</v>
      </c>
      <c r="K153" s="57" t="s">
        <v>464</v>
      </c>
      <c r="L153" s="75"/>
    </row>
    <row r="154" spans="1:12" ht="30" hidden="1">
      <c r="A154" s="72">
        <v>46035</v>
      </c>
      <c r="B154" s="73"/>
      <c r="C154" s="74" t="str">
        <f>IF(Tabla13[[#This Row],[Fecha]]="","",TEXT(Tabla13[[#This Row],[Fecha]],"mmmm"))</f>
        <v>enero</v>
      </c>
      <c r="D154" s="75">
        <v>0.67847222222222225</v>
      </c>
      <c r="E154" s="75">
        <v>0.68402777777777779</v>
      </c>
      <c r="F154" s="71">
        <f>HOUR(Tabla13[[#This Row],[Hora fin ]]-Tabla13[[#This Row],[Hora inicio]])+MINUTE(Tabla13[[#This Row],[Hora fin ]]-Tabla13[[#This Row],[Hora inicio]])/60</f>
        <v>0.13333333333333333</v>
      </c>
      <c r="G154" s="60" t="s">
        <v>10</v>
      </c>
      <c r="H154" s="60" t="s">
        <v>20</v>
      </c>
      <c r="I154" s="60" t="s">
        <v>24</v>
      </c>
      <c r="J154" s="60" t="s">
        <v>327</v>
      </c>
      <c r="K154" s="57" t="s">
        <v>465</v>
      </c>
      <c r="L154" s="75"/>
    </row>
    <row r="155" spans="1:12" hidden="1">
      <c r="A155" s="72">
        <v>46035</v>
      </c>
      <c r="B155" s="73"/>
      <c r="C155" s="74" t="str">
        <f>IF(Tabla13[[#This Row],[Fecha]]="","",TEXT(Tabla13[[#This Row],[Fecha]],"mmmm"))</f>
        <v>enero</v>
      </c>
      <c r="D155" s="75">
        <v>0.86388888888888893</v>
      </c>
      <c r="E155" s="75">
        <v>0.90763888888888888</v>
      </c>
      <c r="F155" s="71">
        <f>HOUR(Tabla13[[#This Row],[Hora fin ]]-Tabla13[[#This Row],[Hora inicio]])+MINUTE(Tabla13[[#This Row],[Hora fin ]]-Tabla13[[#This Row],[Hora inicio]])/60</f>
        <v>1.05</v>
      </c>
      <c r="G155" s="60" t="s">
        <v>10</v>
      </c>
      <c r="H155" s="60" t="s">
        <v>30</v>
      </c>
      <c r="I155" s="60" t="s">
        <v>12</v>
      </c>
      <c r="J155" s="60" t="s">
        <v>270</v>
      </c>
      <c r="K155" s="57" t="s">
        <v>401</v>
      </c>
      <c r="L155" s="75"/>
    </row>
    <row r="156" spans="1:12" hidden="1">
      <c r="A156" s="72">
        <v>46036</v>
      </c>
      <c r="B156" s="73"/>
      <c r="C156" s="74" t="str">
        <f>IF(Tabla13[[#This Row],[Fecha]]="","",TEXT(Tabla13[[#This Row],[Fecha]],"mmmm"))</f>
        <v>enero</v>
      </c>
      <c r="D156" s="75">
        <v>0.11944444444444445</v>
      </c>
      <c r="E156" s="75">
        <v>0.14305555555555555</v>
      </c>
      <c r="F156" s="71">
        <f>HOUR(Tabla13[[#This Row],[Hora fin ]]-Tabla13[[#This Row],[Hora inicio]])+MINUTE(Tabla13[[#This Row],[Hora fin ]]-Tabla13[[#This Row],[Hora inicio]])/60</f>
        <v>0.56666666666666665</v>
      </c>
      <c r="G156" s="60" t="s">
        <v>10</v>
      </c>
      <c r="H156" s="60" t="s">
        <v>30</v>
      </c>
      <c r="I156" s="60" t="s">
        <v>12</v>
      </c>
      <c r="J156" s="60" t="s">
        <v>270</v>
      </c>
      <c r="K156" s="57" t="s">
        <v>401</v>
      </c>
      <c r="L156" s="75"/>
    </row>
    <row r="157" spans="1:12" hidden="1">
      <c r="A157" s="72">
        <v>46036</v>
      </c>
      <c r="B157" s="73"/>
      <c r="C157" s="74" t="str">
        <f>IF(Tabla13[[#This Row],[Fecha]]="","",TEXT(Tabla13[[#This Row],[Fecha]],"mmmm"))</f>
        <v>enero</v>
      </c>
      <c r="D157" s="75">
        <v>0.87083333333333335</v>
      </c>
      <c r="E157" s="75">
        <v>0.88611111111111107</v>
      </c>
      <c r="F157" s="71">
        <f>HOUR(Tabla13[[#This Row],[Hora fin ]]-Tabla13[[#This Row],[Hora inicio]])+MINUTE(Tabla13[[#This Row],[Hora fin ]]-Tabla13[[#This Row],[Hora inicio]])/60</f>
        <v>0.36666666666666664</v>
      </c>
      <c r="G157" s="60" t="s">
        <v>10</v>
      </c>
      <c r="H157" s="60" t="s">
        <v>30</v>
      </c>
      <c r="I157" s="60" t="s">
        <v>12</v>
      </c>
      <c r="J157" s="60" t="s">
        <v>270</v>
      </c>
      <c r="K157" s="57" t="s">
        <v>401</v>
      </c>
      <c r="L157" s="75"/>
    </row>
    <row r="158" spans="1:12" hidden="1">
      <c r="A158" s="72">
        <v>46036</v>
      </c>
      <c r="B158" s="73"/>
      <c r="C158" s="74" t="str">
        <f>IF(Tabla13[[#This Row],[Fecha]]="","",TEXT(Tabla13[[#This Row],[Fecha]],"mmmm"))</f>
        <v>enero</v>
      </c>
      <c r="D158" s="75">
        <v>0.29444444444444445</v>
      </c>
      <c r="E158" s="75">
        <v>0.30902777777777779</v>
      </c>
      <c r="F158" s="71">
        <f>HOUR(Tabla13[[#This Row],[Hora fin ]]-Tabla13[[#This Row],[Hora inicio]])+MINUTE(Tabla13[[#This Row],[Hora fin ]]-Tabla13[[#This Row],[Hora inicio]])/60</f>
        <v>0.35</v>
      </c>
      <c r="G158" s="60" t="s">
        <v>10</v>
      </c>
      <c r="H158" s="60" t="s">
        <v>30</v>
      </c>
      <c r="I158" s="60" t="s">
        <v>12</v>
      </c>
      <c r="J158" s="60" t="s">
        <v>270</v>
      </c>
      <c r="K158" s="57" t="s">
        <v>401</v>
      </c>
      <c r="L158" s="75"/>
    </row>
    <row r="159" spans="1:12" ht="30" hidden="1">
      <c r="A159" s="72">
        <v>46036</v>
      </c>
      <c r="B159" s="73"/>
      <c r="C159" s="74" t="str">
        <f>IF(Tabla13[[#This Row],[Fecha]]="","",TEXT(Tabla13[[#This Row],[Fecha]],"mmmm"))</f>
        <v>enero</v>
      </c>
      <c r="D159" s="75">
        <v>0.53263888888888888</v>
      </c>
      <c r="E159" s="75">
        <v>0.56666666666666665</v>
      </c>
      <c r="F159" s="71">
        <f>HOUR(Tabla13[[#This Row],[Hora fin ]]-Tabla13[[#This Row],[Hora inicio]])+MINUTE(Tabla13[[#This Row],[Hora fin ]]-Tabla13[[#This Row],[Hora inicio]])/60</f>
        <v>0.81666666666666665</v>
      </c>
      <c r="G159" s="60" t="s">
        <v>7</v>
      </c>
      <c r="H159" s="60" t="s">
        <v>16</v>
      </c>
      <c r="I159" s="60" t="s">
        <v>27</v>
      </c>
      <c r="J159" s="60" t="s">
        <v>359</v>
      </c>
      <c r="K159" s="57" t="s">
        <v>467</v>
      </c>
      <c r="L159" s="75"/>
    </row>
    <row r="160" spans="1:12" ht="30" hidden="1">
      <c r="A160" s="72">
        <v>46036</v>
      </c>
      <c r="B160" s="73"/>
      <c r="C160" s="74" t="str">
        <f>IF(Tabla13[[#This Row],[Fecha]]="","",TEXT(Tabla13[[#This Row],[Fecha]],"mmmm"))</f>
        <v>enero</v>
      </c>
      <c r="D160" s="75">
        <v>0.61597222222222225</v>
      </c>
      <c r="E160" s="75">
        <v>1</v>
      </c>
      <c r="F160" s="71">
        <f>HOUR(Tabla13[[#This Row],[Hora fin ]]-Tabla13[[#This Row],[Hora inicio]])+MINUTE(Tabla13[[#This Row],[Hora fin ]]-Tabla13[[#This Row],[Hora inicio]])/60</f>
        <v>9.2166666666666668</v>
      </c>
      <c r="G160" s="60" t="s">
        <v>10</v>
      </c>
      <c r="H160" s="58" t="s">
        <v>23</v>
      </c>
      <c r="I160" s="60" t="s">
        <v>17</v>
      </c>
      <c r="J160" s="60" t="s">
        <v>292</v>
      </c>
      <c r="K160" s="57" t="s">
        <v>466</v>
      </c>
      <c r="L160" s="75"/>
    </row>
    <row r="161" spans="1:12" ht="30" hidden="1">
      <c r="A161" s="72">
        <v>46037</v>
      </c>
      <c r="B161" s="73"/>
      <c r="C161" s="74" t="str">
        <f>IF(Tabla13[[#This Row],[Fecha]]="","",TEXT(Tabla13[[#This Row],[Fecha]],"mmmm"))</f>
        <v>enero</v>
      </c>
      <c r="D161" s="75">
        <v>6.9444444444444447E-4</v>
      </c>
      <c r="E161" s="75">
        <v>0.15</v>
      </c>
      <c r="F161" s="71">
        <f>HOUR(Tabla13[[#This Row],[Hora fin ]]-Tabla13[[#This Row],[Hora inicio]])+MINUTE(Tabla13[[#This Row],[Hora fin ]]-Tabla13[[#This Row],[Hora inicio]])/60</f>
        <v>3.5833333333333335</v>
      </c>
      <c r="G161" s="60" t="s">
        <v>10</v>
      </c>
      <c r="H161" s="58" t="s">
        <v>23</v>
      </c>
      <c r="I161" s="60" t="s">
        <v>17</v>
      </c>
      <c r="J161" s="60" t="s">
        <v>292</v>
      </c>
      <c r="K161" s="57" t="s">
        <v>466</v>
      </c>
      <c r="L161" s="75"/>
    </row>
    <row r="162" spans="1:12" hidden="1">
      <c r="A162" s="72">
        <v>46037</v>
      </c>
      <c r="B162" s="73"/>
      <c r="C162" s="74" t="str">
        <f>IF(Tabla13[[#This Row],[Fecha]]="","",TEXT(Tabla13[[#This Row],[Fecha]],"mmmm"))</f>
        <v>enero</v>
      </c>
      <c r="D162" s="75">
        <v>0.39097222222222222</v>
      </c>
      <c r="E162" s="75">
        <v>0.39513888888888887</v>
      </c>
      <c r="F162" s="71">
        <f>HOUR(Tabla13[[#This Row],[Hora fin ]]-Tabla13[[#This Row],[Hora inicio]])+MINUTE(Tabla13[[#This Row],[Hora fin ]]-Tabla13[[#This Row],[Hora inicio]])/60</f>
        <v>0.1</v>
      </c>
      <c r="G162" s="60" t="s">
        <v>4</v>
      </c>
      <c r="H162" s="60" t="s">
        <v>5</v>
      </c>
      <c r="I162" s="60" t="s">
        <v>258</v>
      </c>
      <c r="J162" s="60" t="s">
        <v>359</v>
      </c>
      <c r="K162" s="58" t="s">
        <v>400</v>
      </c>
      <c r="L162" s="75"/>
    </row>
    <row r="163" spans="1:12" hidden="1">
      <c r="A163" s="72">
        <v>46037</v>
      </c>
      <c r="B163" s="73"/>
      <c r="C163" s="74" t="str">
        <f>IF(Tabla13[[#This Row],[Fecha]]="","",TEXT(Tabla13[[#This Row],[Fecha]],"mmmm"))</f>
        <v>enero</v>
      </c>
      <c r="D163" s="75">
        <v>0.77986111111111112</v>
      </c>
      <c r="E163" s="75">
        <v>0.85347222222222219</v>
      </c>
      <c r="F163" s="71">
        <f>HOUR(Tabla13[[#This Row],[Hora fin ]]-Tabla13[[#This Row],[Hora inicio]])+MINUTE(Tabla13[[#This Row],[Hora fin ]]-Tabla13[[#This Row],[Hora inicio]])/60</f>
        <v>1.7666666666666666</v>
      </c>
      <c r="G163" s="60" t="s">
        <v>10</v>
      </c>
      <c r="H163" s="60" t="s">
        <v>26</v>
      </c>
      <c r="I163" s="60" t="s">
        <v>17</v>
      </c>
      <c r="J163" s="60" t="s">
        <v>290</v>
      </c>
      <c r="K163" s="57" t="s">
        <v>434</v>
      </c>
      <c r="L163" s="75"/>
    </row>
    <row r="164" spans="1:12" hidden="1">
      <c r="A164" s="72">
        <v>46038</v>
      </c>
      <c r="B164" s="73"/>
      <c r="C164" s="74" t="str">
        <f>IF(Tabla13[[#This Row],[Fecha]]="","",TEXT(Tabla13[[#This Row],[Fecha]],"mmmm"))</f>
        <v>enero</v>
      </c>
      <c r="D164" s="75">
        <v>0.30902777777777779</v>
      </c>
      <c r="E164" s="75">
        <v>0.3576388888888889</v>
      </c>
      <c r="F164" s="71">
        <f>HOUR(Tabla13[[#This Row],[Hora fin ]]-Tabla13[[#This Row],[Hora inicio]])+MINUTE(Tabla13[[#This Row],[Hora fin ]]-Tabla13[[#This Row],[Hora inicio]])/60</f>
        <v>1.1666666666666667</v>
      </c>
      <c r="G164" s="60" t="s">
        <v>10</v>
      </c>
      <c r="H164" s="60" t="s">
        <v>26</v>
      </c>
      <c r="I164" s="60" t="s">
        <v>17</v>
      </c>
      <c r="J164" s="60" t="s">
        <v>290</v>
      </c>
      <c r="K164" s="57" t="s">
        <v>434</v>
      </c>
      <c r="L164" s="75"/>
    </row>
    <row r="165" spans="1:12" hidden="1">
      <c r="A165" s="72">
        <v>46038</v>
      </c>
      <c r="B165" s="73"/>
      <c r="C165" s="74" t="str">
        <f>IF(Tabla13[[#This Row],[Fecha]]="","",TEXT(Tabla13[[#This Row],[Fecha]],"mmmm"))</f>
        <v>enero</v>
      </c>
      <c r="D165" s="75">
        <v>0.4236111111111111</v>
      </c>
      <c r="E165" s="75">
        <v>0.43888888888888888</v>
      </c>
      <c r="F165" s="71">
        <f>HOUR(Tabla13[[#This Row],[Hora fin ]]-Tabla13[[#This Row],[Hora inicio]])+MINUTE(Tabla13[[#This Row],[Hora fin ]]-Tabla13[[#This Row],[Hora inicio]])/60</f>
        <v>0.36666666666666664</v>
      </c>
      <c r="G165" s="60" t="s">
        <v>10</v>
      </c>
      <c r="H165" s="60" t="s">
        <v>23</v>
      </c>
      <c r="I165" s="60" t="s">
        <v>257</v>
      </c>
      <c r="J165" s="60" t="s">
        <v>287</v>
      </c>
      <c r="K165" s="57" t="s">
        <v>468</v>
      </c>
      <c r="L165" s="75"/>
    </row>
    <row r="166" spans="1:12" hidden="1">
      <c r="A166" s="72">
        <v>46039</v>
      </c>
      <c r="B166" s="73"/>
      <c r="C166" s="74" t="str">
        <f>IF(Tabla13[[#This Row],[Fecha]]="","",TEXT(Tabla13[[#This Row],[Fecha]],"mmmm"))</f>
        <v>enero</v>
      </c>
      <c r="D166" s="75">
        <v>0.30902777777777779</v>
      </c>
      <c r="E166" s="75">
        <v>0.34444444444444444</v>
      </c>
      <c r="F166" s="71">
        <f>HOUR(Tabla13[[#This Row],[Hora fin ]]-Tabla13[[#This Row],[Hora inicio]])+MINUTE(Tabla13[[#This Row],[Hora fin ]]-Tabla13[[#This Row],[Hora inicio]])/60</f>
        <v>0.85</v>
      </c>
      <c r="G166" s="60" t="s">
        <v>10</v>
      </c>
      <c r="H166" s="60" t="s">
        <v>30</v>
      </c>
      <c r="I166" s="60" t="s">
        <v>12</v>
      </c>
      <c r="J166" s="60" t="s">
        <v>270</v>
      </c>
      <c r="K166" s="57" t="s">
        <v>401</v>
      </c>
      <c r="L166" s="75"/>
    </row>
    <row r="167" spans="1:12" ht="45" hidden="1">
      <c r="A167" s="72">
        <v>46039</v>
      </c>
      <c r="B167" s="73"/>
      <c r="C167" s="74" t="str">
        <f>IF(Tabla13[[#This Row],[Fecha]]="","",TEXT(Tabla13[[#This Row],[Fecha]],"mmmm"))</f>
        <v>enero</v>
      </c>
      <c r="D167" s="75">
        <v>0.45902777777777776</v>
      </c>
      <c r="E167" s="75">
        <v>0.51041666666666663</v>
      </c>
      <c r="F167" s="71">
        <f>HOUR(Tabla13[[#This Row],[Hora fin ]]-Tabla13[[#This Row],[Hora inicio]])+MINUTE(Tabla13[[#This Row],[Hora fin ]]-Tabla13[[#This Row],[Hora inicio]])/60</f>
        <v>1.2333333333333334</v>
      </c>
      <c r="G167" s="60" t="s">
        <v>10</v>
      </c>
      <c r="H167" s="60" t="s">
        <v>26</v>
      </c>
      <c r="I167" s="60" t="s">
        <v>21</v>
      </c>
      <c r="J167" s="60" t="s">
        <v>321</v>
      </c>
      <c r="K167" s="57" t="s">
        <v>469</v>
      </c>
      <c r="L167" s="75"/>
    </row>
    <row r="168" spans="1:12" hidden="1">
      <c r="A168" s="72">
        <v>46039</v>
      </c>
      <c r="B168" s="73"/>
      <c r="C168" s="74" t="str">
        <f>IF(Tabla13[[#This Row],[Fecha]]="","",TEXT(Tabla13[[#This Row],[Fecha]],"mmmm"))</f>
        <v>enero</v>
      </c>
      <c r="D168" s="75">
        <v>0.81597222222222221</v>
      </c>
      <c r="E168" s="75">
        <v>0.83750000000000002</v>
      </c>
      <c r="F168" s="71">
        <f>HOUR(Tabla13[[#This Row],[Hora fin ]]-Tabla13[[#This Row],[Hora inicio]])+MINUTE(Tabla13[[#This Row],[Hora fin ]]-Tabla13[[#This Row],[Hora inicio]])/60</f>
        <v>0.51666666666666672</v>
      </c>
      <c r="G168" s="60" t="s">
        <v>10</v>
      </c>
      <c r="H168" s="60" t="s">
        <v>30</v>
      </c>
      <c r="I168" s="60" t="s">
        <v>12</v>
      </c>
      <c r="J168" s="60" t="s">
        <v>270</v>
      </c>
      <c r="K168" s="57" t="s">
        <v>401</v>
      </c>
      <c r="L168" s="75"/>
    </row>
    <row r="169" spans="1:12" hidden="1">
      <c r="A169" s="72">
        <v>46039</v>
      </c>
      <c r="B169" s="73"/>
      <c r="C169" s="74" t="str">
        <f>IF(Tabla13[[#This Row],[Fecha]]="","",TEXT(Tabla13[[#This Row],[Fecha]],"mmmm"))</f>
        <v>enero</v>
      </c>
      <c r="D169" s="75">
        <v>0.95347222222222228</v>
      </c>
      <c r="E169" s="75">
        <v>0.96319444444444446</v>
      </c>
      <c r="F169" s="71">
        <f>HOUR(Tabla13[[#This Row],[Hora fin ]]-Tabla13[[#This Row],[Hora inicio]])+MINUTE(Tabla13[[#This Row],[Hora fin ]]-Tabla13[[#This Row],[Hora inicio]])/60</f>
        <v>0.23333333333333334</v>
      </c>
      <c r="G169" s="60" t="s">
        <v>10</v>
      </c>
      <c r="H169" s="60" t="s">
        <v>30</v>
      </c>
      <c r="I169" s="60" t="s">
        <v>12</v>
      </c>
      <c r="J169" s="60" t="s">
        <v>270</v>
      </c>
      <c r="K169" s="57" t="s">
        <v>401</v>
      </c>
      <c r="L169" s="75"/>
    </row>
    <row r="170" spans="1:12" hidden="1">
      <c r="A170" s="72">
        <v>46040</v>
      </c>
      <c r="B170" s="73"/>
      <c r="C170" s="74" t="str">
        <f>IF(Tabla13[[#This Row],[Fecha]]="","",TEXT(Tabla13[[#This Row],[Fecha]],"mmmm"))</f>
        <v>enero</v>
      </c>
      <c r="D170" s="75">
        <v>9.375E-2</v>
      </c>
      <c r="E170" s="75">
        <v>0.10486111111111111</v>
      </c>
      <c r="F170" s="71">
        <f>HOUR(Tabla13[[#This Row],[Hora fin ]]-Tabla13[[#This Row],[Hora inicio]])+MINUTE(Tabla13[[#This Row],[Hora fin ]]-Tabla13[[#This Row],[Hora inicio]])/60</f>
        <v>0.26666666666666666</v>
      </c>
      <c r="G170" s="60" t="s">
        <v>10</v>
      </c>
      <c r="H170" s="60" t="s">
        <v>30</v>
      </c>
      <c r="I170" s="60" t="s">
        <v>12</v>
      </c>
      <c r="J170" s="60" t="s">
        <v>270</v>
      </c>
      <c r="K170" s="57" t="s">
        <v>401</v>
      </c>
      <c r="L170" s="75"/>
    </row>
    <row r="171" spans="1:12" hidden="1">
      <c r="A171" s="72">
        <v>46040</v>
      </c>
      <c r="B171" s="73"/>
      <c r="C171" s="74" t="str">
        <f>IF(Tabla13[[#This Row],[Fecha]]="","",TEXT(Tabla13[[#This Row],[Fecha]],"mmmm"))</f>
        <v>enero</v>
      </c>
      <c r="D171" s="75">
        <v>0.16875000000000001</v>
      </c>
      <c r="E171" s="75">
        <v>0.19166666666666668</v>
      </c>
      <c r="F171" s="71">
        <f>HOUR(Tabla13[[#This Row],[Hora fin ]]-Tabla13[[#This Row],[Hora inicio]])+MINUTE(Tabla13[[#This Row],[Hora fin ]]-Tabla13[[#This Row],[Hora inicio]])/60</f>
        <v>0.55000000000000004</v>
      </c>
      <c r="G171" s="60" t="s">
        <v>10</v>
      </c>
      <c r="H171" s="60" t="s">
        <v>30</v>
      </c>
      <c r="I171" s="60" t="s">
        <v>12</v>
      </c>
      <c r="J171" s="60" t="s">
        <v>270</v>
      </c>
      <c r="K171" s="57" t="s">
        <v>401</v>
      </c>
      <c r="L171" s="75"/>
    </row>
    <row r="172" spans="1:12" hidden="1">
      <c r="A172" s="72">
        <v>46040</v>
      </c>
      <c r="B172" s="73"/>
      <c r="C172" s="74" t="str">
        <f>IF(Tabla13[[#This Row],[Fecha]]="","",TEXT(Tabla13[[#This Row],[Fecha]],"mmmm"))</f>
        <v>enero</v>
      </c>
      <c r="D172" s="75">
        <v>0.26180555555555557</v>
      </c>
      <c r="E172" s="75">
        <v>0.29444444444444445</v>
      </c>
      <c r="F172" s="71">
        <f>HOUR(Tabla13[[#This Row],[Hora fin ]]-Tabla13[[#This Row],[Hora inicio]])+MINUTE(Tabla13[[#This Row],[Hora fin ]]-Tabla13[[#This Row],[Hora inicio]])/60</f>
        <v>0.78333333333333333</v>
      </c>
      <c r="G172" s="60" t="s">
        <v>10</v>
      </c>
      <c r="H172" s="60" t="s">
        <v>30</v>
      </c>
      <c r="I172" s="60" t="s">
        <v>12</v>
      </c>
      <c r="J172" s="60" t="s">
        <v>270</v>
      </c>
      <c r="K172" s="57" t="s">
        <v>401</v>
      </c>
      <c r="L172" s="75"/>
    </row>
    <row r="173" spans="1:12" hidden="1">
      <c r="A173" s="72">
        <v>46041</v>
      </c>
      <c r="B173" s="73"/>
      <c r="C173" s="74" t="str">
        <f>IF(Tabla13[[#This Row],[Fecha]]="","",TEXT(Tabla13[[#This Row],[Fecha]],"mmmm"))</f>
        <v>enero</v>
      </c>
      <c r="D173" s="75">
        <v>0.45833333333333331</v>
      </c>
      <c r="E173" s="75">
        <v>0.46041666666666664</v>
      </c>
      <c r="F173" s="71">
        <f>HOUR(Tabla13[[#This Row],[Hora fin ]]-Tabla13[[#This Row],[Hora inicio]])+MINUTE(Tabla13[[#This Row],[Hora fin ]]-Tabla13[[#This Row],[Hora inicio]])/60</f>
        <v>0.05</v>
      </c>
      <c r="G173" s="60" t="s">
        <v>4</v>
      </c>
      <c r="H173" s="60" t="s">
        <v>5</v>
      </c>
      <c r="I173" s="60" t="s">
        <v>258</v>
      </c>
      <c r="J173" s="60" t="s">
        <v>359</v>
      </c>
      <c r="K173" s="58" t="s">
        <v>400</v>
      </c>
      <c r="L173" s="75"/>
    </row>
    <row r="174" spans="1:12" hidden="1">
      <c r="A174" s="72">
        <v>46041</v>
      </c>
      <c r="B174" s="73"/>
      <c r="C174" s="74" t="str">
        <f>IF(Tabla13[[#This Row],[Fecha]]="","",TEXT(Tabla13[[#This Row],[Fecha]],"mmmm"))</f>
        <v>enero</v>
      </c>
      <c r="D174" s="75">
        <v>0.58333333333333337</v>
      </c>
      <c r="E174" s="75">
        <v>0.62708333333333333</v>
      </c>
      <c r="F174" s="71">
        <f>HOUR(Tabla13[[#This Row],[Hora fin ]]-Tabla13[[#This Row],[Hora inicio]])+MINUTE(Tabla13[[#This Row],[Hora fin ]]-Tabla13[[#This Row],[Hora inicio]])/60</f>
        <v>1.05</v>
      </c>
      <c r="G174" s="60" t="s">
        <v>10</v>
      </c>
      <c r="H174" s="60" t="s">
        <v>26</v>
      </c>
      <c r="I174" s="60" t="s">
        <v>17</v>
      </c>
      <c r="J174" s="60" t="s">
        <v>290</v>
      </c>
      <c r="K174" s="57" t="s">
        <v>434</v>
      </c>
      <c r="L174" s="75"/>
    </row>
    <row r="175" spans="1:12" hidden="1">
      <c r="A175" s="72">
        <v>46041</v>
      </c>
      <c r="B175" s="73"/>
      <c r="C175" s="74" t="str">
        <f>IF(Tabla13[[#This Row],[Fecha]]="","",TEXT(Tabla13[[#This Row],[Fecha]],"mmmm"))</f>
        <v>enero</v>
      </c>
      <c r="D175" s="75">
        <v>0.44166666666666665</v>
      </c>
      <c r="E175" s="75">
        <v>0.4826388888888889</v>
      </c>
      <c r="F175" s="71">
        <f>HOUR(Tabla13[[#This Row],[Hora fin ]]-Tabla13[[#This Row],[Hora inicio]])+MINUTE(Tabla13[[#This Row],[Hora fin ]]-Tabla13[[#This Row],[Hora inicio]])/60</f>
        <v>0.98333333333333328</v>
      </c>
      <c r="G175" s="60" t="s">
        <v>10</v>
      </c>
      <c r="H175" s="60" t="s">
        <v>26</v>
      </c>
      <c r="I175" s="60" t="s">
        <v>17</v>
      </c>
      <c r="J175" s="60" t="s">
        <v>290</v>
      </c>
      <c r="K175" s="57" t="s">
        <v>434</v>
      </c>
      <c r="L175" s="75"/>
    </row>
    <row r="176" spans="1:12" hidden="1">
      <c r="A176" s="72">
        <v>46042</v>
      </c>
      <c r="B176" s="73"/>
      <c r="C176" s="74" t="str">
        <f>IF(Tabla13[[#This Row],[Fecha]]="","",TEXT(Tabla13[[#This Row],[Fecha]],"mmmm"))</f>
        <v>enero</v>
      </c>
      <c r="D176" s="75">
        <v>0.32500000000000001</v>
      </c>
      <c r="E176" s="75">
        <v>0.34930555555555554</v>
      </c>
      <c r="F176" s="71">
        <f>HOUR(Tabla13[[#This Row],[Hora fin ]]-Tabla13[[#This Row],[Hora inicio]])+MINUTE(Tabla13[[#This Row],[Hora fin ]]-Tabla13[[#This Row],[Hora inicio]])/60</f>
        <v>0.58333333333333337</v>
      </c>
      <c r="G176" s="60" t="s">
        <v>10</v>
      </c>
      <c r="H176" s="60" t="s">
        <v>26</v>
      </c>
      <c r="I176" s="60" t="s">
        <v>17</v>
      </c>
      <c r="J176" s="60" t="s">
        <v>290</v>
      </c>
      <c r="K176" s="57" t="s">
        <v>434</v>
      </c>
      <c r="L176" s="75"/>
    </row>
    <row r="177" spans="1:12" hidden="1">
      <c r="A177" s="72">
        <v>46043</v>
      </c>
      <c r="B177" s="73"/>
      <c r="C177" s="74" t="str">
        <f>IF(Tabla13[[#This Row],[Fecha]]="","",TEXT(Tabla13[[#This Row],[Fecha]],"mmmm"))</f>
        <v>enero</v>
      </c>
      <c r="D177" s="75">
        <v>0.34027777777777779</v>
      </c>
      <c r="E177" s="75">
        <v>0.41944444444444445</v>
      </c>
      <c r="F177" s="71">
        <f>HOUR(Tabla13[[#This Row],[Hora fin ]]-Tabla13[[#This Row],[Hora inicio]])+MINUTE(Tabla13[[#This Row],[Hora fin ]]-Tabla13[[#This Row],[Hora inicio]])/60</f>
        <v>1.9</v>
      </c>
      <c r="G177" s="60" t="s">
        <v>10</v>
      </c>
      <c r="H177" s="60" t="s">
        <v>23</v>
      </c>
      <c r="I177" s="60" t="s">
        <v>17</v>
      </c>
      <c r="J177" s="60" t="s">
        <v>290</v>
      </c>
      <c r="K177" s="57" t="s">
        <v>470</v>
      </c>
      <c r="L177" s="75"/>
    </row>
    <row r="178" spans="1:12" ht="30" hidden="1">
      <c r="A178" s="72">
        <v>46043</v>
      </c>
      <c r="B178" s="87" t="str">
        <f>IF(Tabla13[[#This Row],[Fecha]]="","",TEXT(Tabla13[[#This Row],[Fecha]],"aaaa"))</f>
        <v>miércoles</v>
      </c>
      <c r="C178" s="74" t="str">
        <f>IF(Tabla13[[#This Row],[Fecha]]="","",TEXT(Tabla13[[#This Row],[Fecha]],"mmmm"))</f>
        <v>enero</v>
      </c>
      <c r="D178" s="75">
        <v>0.50902777777777775</v>
      </c>
      <c r="E178" s="75">
        <v>0.51388888888888884</v>
      </c>
      <c r="F178" s="71">
        <f>HOUR(Tabla13[[#This Row],[Hora fin ]]-Tabla13[[#This Row],[Hora inicio]])+MINUTE(Tabla13[[#This Row],[Hora fin ]]-Tabla13[[#This Row],[Hora inicio]])/60</f>
        <v>0.11666666666666667</v>
      </c>
      <c r="G178" s="60" t="s">
        <v>10</v>
      </c>
      <c r="H178" s="60" t="s">
        <v>23</v>
      </c>
      <c r="I178" s="60" t="s">
        <v>17</v>
      </c>
      <c r="J178" s="60" t="s">
        <v>290</v>
      </c>
      <c r="K178" s="57" t="s">
        <v>473</v>
      </c>
      <c r="L178" s="75"/>
    </row>
    <row r="179" spans="1:12" hidden="1">
      <c r="A179" s="72">
        <v>46043</v>
      </c>
      <c r="B179" s="87" t="str">
        <f>IF(Tabla13[[#This Row],[Fecha]]="","",TEXT(Tabla13[[#This Row],[Fecha]],"aaaa"))</f>
        <v>miércoles</v>
      </c>
      <c r="C179" s="74" t="str">
        <f>IF(Tabla13[[#This Row],[Fecha]]="","",TEXT(Tabla13[[#This Row],[Fecha]],"mmmm"))</f>
        <v>enero</v>
      </c>
      <c r="D179" s="75">
        <v>0.55347222222222225</v>
      </c>
      <c r="E179" s="75">
        <v>0.5625</v>
      </c>
      <c r="F179" s="71">
        <f>HOUR(Tabla13[[#This Row],[Hora fin ]]-Tabla13[[#This Row],[Hora inicio]])+MINUTE(Tabla13[[#This Row],[Hora fin ]]-Tabla13[[#This Row],[Hora inicio]])/60</f>
        <v>0.21666666666666667</v>
      </c>
      <c r="G179" s="60" t="s">
        <v>10</v>
      </c>
      <c r="H179" s="60" t="s">
        <v>30</v>
      </c>
      <c r="I179" s="60" t="s">
        <v>12</v>
      </c>
      <c r="J179" s="60" t="s">
        <v>270</v>
      </c>
      <c r="K179" s="57" t="s">
        <v>401</v>
      </c>
      <c r="L179" s="75"/>
    </row>
    <row r="180" spans="1:12" hidden="1">
      <c r="A180" s="72">
        <v>46044</v>
      </c>
      <c r="B180" s="73"/>
      <c r="C180" s="74" t="str">
        <f>IF(Tabla13[[#This Row],[Fecha]]="","",TEXT(Tabla13[[#This Row],[Fecha]],"mmmm"))</f>
        <v>enero</v>
      </c>
      <c r="D180" s="75">
        <v>0.33888888888888891</v>
      </c>
      <c r="E180" s="75">
        <v>0.35833333333333334</v>
      </c>
      <c r="F180" s="71">
        <f>HOUR(Tabla13[[#This Row],[Hora fin ]]-Tabla13[[#This Row],[Hora inicio]])+MINUTE(Tabla13[[#This Row],[Hora fin ]]-Tabla13[[#This Row],[Hora inicio]])/60</f>
        <v>0.46666666666666667</v>
      </c>
      <c r="G180" s="60" t="s">
        <v>10</v>
      </c>
      <c r="H180" s="60" t="s">
        <v>23</v>
      </c>
      <c r="I180" s="60" t="s">
        <v>17</v>
      </c>
      <c r="J180" s="60" t="s">
        <v>290</v>
      </c>
      <c r="K180" s="57" t="s">
        <v>471</v>
      </c>
      <c r="L180" s="75"/>
    </row>
    <row r="181" spans="1:12" ht="45" hidden="1">
      <c r="A181" s="72">
        <v>46044</v>
      </c>
      <c r="B181" s="73"/>
      <c r="C181" s="74" t="str">
        <f>IF(Tabla13[[#This Row],[Fecha]]="","",TEXT(Tabla13[[#This Row],[Fecha]],"mmmm"))</f>
        <v>enero</v>
      </c>
      <c r="D181" s="75">
        <v>0.5625</v>
      </c>
      <c r="E181" s="75">
        <v>0.57986111111111116</v>
      </c>
      <c r="F181" s="71">
        <f>HOUR(Tabla13[[#This Row],[Hora fin ]]-Tabla13[[#This Row],[Hora inicio]])+MINUTE(Tabla13[[#This Row],[Hora fin ]]-Tabla13[[#This Row],[Hora inicio]])/60</f>
        <v>0.41666666666666669</v>
      </c>
      <c r="G181" s="60" t="s">
        <v>10</v>
      </c>
      <c r="H181" s="60" t="s">
        <v>23</v>
      </c>
      <c r="I181" s="60" t="s">
        <v>17</v>
      </c>
      <c r="J181" s="60" t="s">
        <v>290</v>
      </c>
      <c r="K181" s="57" t="s">
        <v>472</v>
      </c>
      <c r="L181" s="75"/>
    </row>
    <row r="182" spans="1:12" hidden="1">
      <c r="A182" s="72">
        <v>46044</v>
      </c>
      <c r="B182" s="73"/>
      <c r="C182" s="74" t="str">
        <f>IF(Tabla13[[#This Row],[Fecha]]="","",TEXT(Tabla13[[#This Row],[Fecha]],"mmmm"))</f>
        <v>enero</v>
      </c>
      <c r="D182" s="75">
        <v>0.71875</v>
      </c>
      <c r="E182" s="75">
        <v>0.72499999999999998</v>
      </c>
      <c r="F182" s="71">
        <f>HOUR(Tabla13[[#This Row],[Hora fin ]]-Tabla13[[#This Row],[Hora inicio]])+MINUTE(Tabla13[[#This Row],[Hora fin ]]-Tabla13[[#This Row],[Hora inicio]])/60</f>
        <v>0.15</v>
      </c>
      <c r="G182" s="60" t="s">
        <v>10</v>
      </c>
      <c r="H182" s="60" t="s">
        <v>30</v>
      </c>
      <c r="I182" s="60" t="s">
        <v>12</v>
      </c>
      <c r="J182" s="60" t="s">
        <v>270</v>
      </c>
      <c r="K182" s="57" t="s">
        <v>401</v>
      </c>
      <c r="L182" s="75"/>
    </row>
    <row r="183" spans="1:12" hidden="1">
      <c r="A183" s="72">
        <v>46044</v>
      </c>
      <c r="B183" s="73"/>
      <c r="C183" s="74" t="str">
        <f>IF(Tabla13[[#This Row],[Fecha]]="","",TEXT(Tabla13[[#This Row],[Fecha]],"mmmm"))</f>
        <v>enero</v>
      </c>
      <c r="D183" s="75">
        <v>0.79791666666666672</v>
      </c>
      <c r="E183" s="75">
        <v>0.82777777777777772</v>
      </c>
      <c r="F183" s="71">
        <f>HOUR(Tabla13[[#This Row],[Hora fin ]]-Tabla13[[#This Row],[Hora inicio]])+MINUTE(Tabla13[[#This Row],[Hora fin ]]-Tabla13[[#This Row],[Hora inicio]])/60</f>
        <v>0.71666666666666667</v>
      </c>
      <c r="G183" s="60" t="s">
        <v>10</v>
      </c>
      <c r="H183" s="60" t="s">
        <v>30</v>
      </c>
      <c r="I183" s="60" t="s">
        <v>12</v>
      </c>
      <c r="J183" s="60" t="s">
        <v>270</v>
      </c>
      <c r="K183" s="57" t="s">
        <v>401</v>
      </c>
      <c r="L183" s="75"/>
    </row>
    <row r="184" spans="1:12" hidden="1">
      <c r="A184" s="72">
        <v>46045</v>
      </c>
      <c r="B184" s="73"/>
      <c r="C184" s="74" t="str">
        <f>IF(Tabla13[[#This Row],[Fecha]]="","",TEXT(Tabla13[[#This Row],[Fecha]],"mmmm"))</f>
        <v>enero</v>
      </c>
      <c r="D184" s="75">
        <v>2.7777777777777776E-2</v>
      </c>
      <c r="E184" s="75">
        <v>7.4999999999999997E-2</v>
      </c>
      <c r="F184" s="71">
        <f>HOUR(Tabla13[[#This Row],[Hora fin ]]-Tabla13[[#This Row],[Hora inicio]])+MINUTE(Tabla13[[#This Row],[Hora fin ]]-Tabla13[[#This Row],[Hora inicio]])/60</f>
        <v>1.1333333333333333</v>
      </c>
      <c r="G184" s="60" t="s">
        <v>10</v>
      </c>
      <c r="H184" s="60" t="s">
        <v>30</v>
      </c>
      <c r="I184" s="60" t="s">
        <v>12</v>
      </c>
      <c r="J184" s="60" t="s">
        <v>270</v>
      </c>
      <c r="K184" s="57" t="s">
        <v>401</v>
      </c>
      <c r="L184" s="75"/>
    </row>
    <row r="185" spans="1:12" hidden="1">
      <c r="A185" s="72">
        <v>46045</v>
      </c>
      <c r="B185" s="73"/>
      <c r="C185" s="74" t="str">
        <f>IF(Tabla13[[#This Row],[Fecha]]="","",TEXT(Tabla13[[#This Row],[Fecha]],"mmmm"))</f>
        <v>enero</v>
      </c>
      <c r="D185" s="75">
        <v>0.37152777777777779</v>
      </c>
      <c r="E185" s="75">
        <v>0.38611111111111113</v>
      </c>
      <c r="F185" s="71">
        <f>HOUR(Tabla13[[#This Row],[Hora fin ]]-Tabla13[[#This Row],[Hora inicio]])+MINUTE(Tabla13[[#This Row],[Hora fin ]]-Tabla13[[#This Row],[Hora inicio]])/60</f>
        <v>0.35</v>
      </c>
      <c r="G185" s="60" t="s">
        <v>10</v>
      </c>
      <c r="H185" s="60" t="s">
        <v>30</v>
      </c>
      <c r="I185" s="60" t="s">
        <v>12</v>
      </c>
      <c r="J185" s="60" t="s">
        <v>270</v>
      </c>
      <c r="K185" s="57" t="s">
        <v>401</v>
      </c>
      <c r="L185" s="75"/>
    </row>
    <row r="186" spans="1:12" hidden="1">
      <c r="A186" s="72">
        <v>46045</v>
      </c>
      <c r="B186" s="73"/>
      <c r="C186" s="74" t="str">
        <f>IF(Tabla13[[#This Row],[Fecha]]="","",TEXT(Tabla13[[#This Row],[Fecha]],"mmmm"))</f>
        <v>enero</v>
      </c>
      <c r="D186" s="75">
        <v>0.45833333333333331</v>
      </c>
      <c r="E186" s="75">
        <v>0.46805555555555556</v>
      </c>
      <c r="F186" s="71">
        <f>HOUR(Tabla13[[#This Row],[Hora fin ]]-Tabla13[[#This Row],[Hora inicio]])+MINUTE(Tabla13[[#This Row],[Hora fin ]]-Tabla13[[#This Row],[Hora inicio]])/60</f>
        <v>0.23333333333333334</v>
      </c>
      <c r="G186" s="60" t="s">
        <v>10</v>
      </c>
      <c r="H186" s="60" t="s">
        <v>30</v>
      </c>
      <c r="I186" s="60" t="s">
        <v>12</v>
      </c>
      <c r="J186" s="60" t="s">
        <v>270</v>
      </c>
      <c r="K186" s="57" t="s">
        <v>401</v>
      </c>
      <c r="L186" s="75"/>
    </row>
    <row r="187" spans="1:12" hidden="1">
      <c r="A187" s="72">
        <v>46045</v>
      </c>
      <c r="B187" s="73"/>
      <c r="C187" s="74" t="str">
        <f>IF(Tabla13[[#This Row],[Fecha]]="","",TEXT(Tabla13[[#This Row],[Fecha]],"mmmm"))</f>
        <v>enero</v>
      </c>
      <c r="D187" s="75">
        <v>0.53541666666666665</v>
      </c>
      <c r="E187" s="75">
        <v>0.54791666666666672</v>
      </c>
      <c r="F187" s="71">
        <f>HOUR(Tabla13[[#This Row],[Hora fin ]]-Tabla13[[#This Row],[Hora inicio]])+MINUTE(Tabla13[[#This Row],[Hora fin ]]-Tabla13[[#This Row],[Hora inicio]])/60</f>
        <v>0.3</v>
      </c>
      <c r="G187" s="60" t="s">
        <v>10</v>
      </c>
      <c r="H187" s="60" t="s">
        <v>30</v>
      </c>
      <c r="I187" s="60" t="s">
        <v>12</v>
      </c>
      <c r="J187" s="60" t="s">
        <v>270</v>
      </c>
      <c r="K187" s="57" t="s">
        <v>401</v>
      </c>
      <c r="L187" s="75"/>
    </row>
    <row r="188" spans="1:12" hidden="1">
      <c r="A188" s="72">
        <v>46045</v>
      </c>
      <c r="B188" s="73"/>
      <c r="C188" s="74" t="str">
        <f>IF(Tabla13[[#This Row],[Fecha]]="","",TEXT(Tabla13[[#This Row],[Fecha]],"mmmm"))</f>
        <v>enero</v>
      </c>
      <c r="D188" s="75">
        <v>0.69166666666666665</v>
      </c>
      <c r="E188" s="75">
        <v>0.69722222222222219</v>
      </c>
      <c r="F188" s="71">
        <f>HOUR(Tabla13[[#This Row],[Hora fin ]]-Tabla13[[#This Row],[Hora inicio]])+MINUTE(Tabla13[[#This Row],[Hora fin ]]-Tabla13[[#This Row],[Hora inicio]])/60</f>
        <v>0.13333333333333333</v>
      </c>
      <c r="G188" s="60" t="s">
        <v>10</v>
      </c>
      <c r="H188" s="60" t="s">
        <v>30</v>
      </c>
      <c r="I188" s="60" t="s">
        <v>12</v>
      </c>
      <c r="J188" s="60" t="s">
        <v>270</v>
      </c>
      <c r="K188" s="57" t="s">
        <v>401</v>
      </c>
      <c r="L188" s="75"/>
    </row>
    <row r="189" spans="1:12" hidden="1">
      <c r="A189" s="72">
        <v>46045</v>
      </c>
      <c r="B189" s="73"/>
      <c r="C189" s="74" t="str">
        <f>IF(Tabla13[[#This Row],[Fecha]]="","",TEXT(Tabla13[[#This Row],[Fecha]],"mmmm"))</f>
        <v>enero</v>
      </c>
      <c r="D189" s="75">
        <v>0.77083333333333337</v>
      </c>
      <c r="E189" s="75">
        <v>0.8569444444444444</v>
      </c>
      <c r="F189" s="71">
        <f>HOUR(Tabla13[[#This Row],[Hora fin ]]-Tabla13[[#This Row],[Hora inicio]])+MINUTE(Tabla13[[#This Row],[Hora fin ]]-Tabla13[[#This Row],[Hora inicio]])/60</f>
        <v>2.0666666666666669</v>
      </c>
      <c r="G189" s="60" t="s">
        <v>10</v>
      </c>
      <c r="H189" s="60" t="s">
        <v>30</v>
      </c>
      <c r="I189" s="60" t="s">
        <v>12</v>
      </c>
      <c r="J189" s="60" t="s">
        <v>270</v>
      </c>
      <c r="K189" s="57" t="s">
        <v>401</v>
      </c>
      <c r="L189" s="75"/>
    </row>
    <row r="190" spans="1:12" hidden="1">
      <c r="A190" s="72">
        <v>46046</v>
      </c>
      <c r="B190" s="73"/>
      <c r="C190" s="74" t="str">
        <f>IF(Tabla13[[#This Row],[Fecha]]="","",TEXT(Tabla13[[#This Row],[Fecha]],"mmmm"))</f>
        <v>enero</v>
      </c>
      <c r="D190" s="75">
        <v>0.63541666666666663</v>
      </c>
      <c r="E190" s="75">
        <v>0.6479166666666667</v>
      </c>
      <c r="F190" s="71">
        <f>HOUR(Tabla13[[#This Row],[Hora fin ]]-Tabla13[[#This Row],[Hora inicio]])+MINUTE(Tabla13[[#This Row],[Hora fin ]]-Tabla13[[#This Row],[Hora inicio]])/60</f>
        <v>0.3</v>
      </c>
      <c r="G190" s="60" t="s">
        <v>10</v>
      </c>
      <c r="H190" s="60" t="s">
        <v>30</v>
      </c>
      <c r="I190" s="60" t="s">
        <v>12</v>
      </c>
      <c r="J190" s="60" t="s">
        <v>270</v>
      </c>
      <c r="K190" s="57" t="s">
        <v>401</v>
      </c>
      <c r="L190" s="75"/>
    </row>
    <row r="191" spans="1:12" hidden="1">
      <c r="A191" s="72">
        <v>46046</v>
      </c>
      <c r="B191" s="73"/>
      <c r="C191" s="74" t="str">
        <f>IF(Tabla13[[#This Row],[Fecha]]="","",TEXT(Tabla13[[#This Row],[Fecha]],"mmmm"))</f>
        <v>enero</v>
      </c>
      <c r="D191" s="75">
        <v>0.35902777777777778</v>
      </c>
      <c r="E191" s="75">
        <v>0.40347222222222223</v>
      </c>
      <c r="F191" s="71">
        <f>HOUR(Tabla13[[#This Row],[Hora fin ]]-Tabla13[[#This Row],[Hora inicio]])+MINUTE(Tabla13[[#This Row],[Hora fin ]]-Tabla13[[#This Row],[Hora inicio]])/60</f>
        <v>1.0666666666666667</v>
      </c>
      <c r="G191" s="60" t="s">
        <v>10</v>
      </c>
      <c r="H191" s="60" t="s">
        <v>30</v>
      </c>
      <c r="I191" s="60" t="s">
        <v>12</v>
      </c>
      <c r="J191" s="60" t="s">
        <v>270</v>
      </c>
      <c r="K191" s="57" t="s">
        <v>401</v>
      </c>
      <c r="L191" s="75"/>
    </row>
    <row r="192" spans="1:12" ht="30" hidden="1">
      <c r="A192" s="72">
        <v>46046</v>
      </c>
      <c r="B192" s="73"/>
      <c r="C192" s="74" t="str">
        <f>IF(Tabla13[[#This Row],[Fecha]]="","",TEXT(Tabla13[[#This Row],[Fecha]],"mmmm"))</f>
        <v>enero</v>
      </c>
      <c r="D192" s="75">
        <v>0.47638888888888886</v>
      </c>
      <c r="E192" s="75">
        <v>1</v>
      </c>
      <c r="F192" s="71">
        <f>HOUR(Tabla13[[#This Row],[Hora fin ]]-Tabla13[[#This Row],[Hora inicio]])+MINUTE(Tabla13[[#This Row],[Hora fin ]]-Tabla13[[#This Row],[Hora inicio]])/60</f>
        <v>12.566666666666666</v>
      </c>
      <c r="G192" s="60" t="s">
        <v>10</v>
      </c>
      <c r="H192" s="58" t="s">
        <v>23</v>
      </c>
      <c r="I192" s="60" t="s">
        <v>17</v>
      </c>
      <c r="J192" s="60" t="s">
        <v>292</v>
      </c>
      <c r="K192" s="57" t="s">
        <v>452</v>
      </c>
      <c r="L192" s="75"/>
    </row>
    <row r="193" spans="1:12" ht="30" hidden="1">
      <c r="A193" s="72">
        <v>46047</v>
      </c>
      <c r="B193" s="73"/>
      <c r="C193" s="74" t="str">
        <f>IF(Tabla13[[#This Row],[Fecha]]="","",TEXT(Tabla13[[#This Row],[Fecha]],"mmmm"))</f>
        <v>enero</v>
      </c>
      <c r="D193" s="75">
        <v>6.9444444444444447E-4</v>
      </c>
      <c r="E193" s="75">
        <v>0.84791666666666665</v>
      </c>
      <c r="F193" s="71">
        <f>HOUR(Tabla13[[#This Row],[Hora fin ]]-Tabla13[[#This Row],[Hora inicio]])+MINUTE(Tabla13[[#This Row],[Hora fin ]]-Tabla13[[#This Row],[Hora inicio]])/60</f>
        <v>20.333333333333332</v>
      </c>
      <c r="G193" s="60" t="s">
        <v>10</v>
      </c>
      <c r="H193" s="58" t="s">
        <v>23</v>
      </c>
      <c r="I193" s="60" t="s">
        <v>17</v>
      </c>
      <c r="J193" s="60" t="s">
        <v>292</v>
      </c>
      <c r="K193" s="57" t="s">
        <v>474</v>
      </c>
      <c r="L193" s="75"/>
    </row>
    <row r="194" spans="1:12" hidden="1">
      <c r="A194" s="72">
        <v>46048</v>
      </c>
      <c r="B194" s="73"/>
      <c r="C194" s="74" t="str">
        <f>IF(Tabla13[[#This Row],[Fecha]]="","",TEXT(Tabla13[[#This Row],[Fecha]],"mmmm"))</f>
        <v>enero</v>
      </c>
      <c r="D194" s="75">
        <v>0.5708333333333333</v>
      </c>
      <c r="E194" s="75">
        <v>0.58888888888888891</v>
      </c>
      <c r="F194" s="71">
        <f>HOUR(Tabla13[[#This Row],[Hora fin ]]-Tabla13[[#This Row],[Hora inicio]])+MINUTE(Tabla13[[#This Row],[Hora fin ]]-Tabla13[[#This Row],[Hora inicio]])/60</f>
        <v>0.43333333333333335</v>
      </c>
      <c r="G194" s="60" t="s">
        <v>10</v>
      </c>
      <c r="H194" s="60" t="s">
        <v>26</v>
      </c>
      <c r="I194" s="60" t="s">
        <v>12</v>
      </c>
      <c r="J194" s="60" t="s">
        <v>273</v>
      </c>
      <c r="K194" s="57" t="s">
        <v>475</v>
      </c>
      <c r="L194" s="75"/>
    </row>
    <row r="195" spans="1:12" hidden="1">
      <c r="A195" s="72">
        <v>46048</v>
      </c>
      <c r="B195" s="73"/>
      <c r="C195" s="74" t="str">
        <f>IF(Tabla13[[#This Row],[Fecha]]="","",TEXT(Tabla13[[#This Row],[Fecha]],"mmmm"))</f>
        <v>enero</v>
      </c>
      <c r="D195" s="75">
        <v>0.64652777777777781</v>
      </c>
      <c r="E195" s="75">
        <v>0.65277777777777779</v>
      </c>
      <c r="F195" s="71">
        <f>HOUR(Tabla13[[#This Row],[Hora fin ]]-Tabla13[[#This Row],[Hora inicio]])+MINUTE(Tabla13[[#This Row],[Hora fin ]]-Tabla13[[#This Row],[Hora inicio]])/60</f>
        <v>0.15</v>
      </c>
      <c r="G195" s="60" t="s">
        <v>10</v>
      </c>
      <c r="H195" s="60" t="s">
        <v>20</v>
      </c>
      <c r="I195" s="60" t="s">
        <v>21</v>
      </c>
      <c r="J195" s="60" t="s">
        <v>339</v>
      </c>
      <c r="K195" s="57" t="s">
        <v>476</v>
      </c>
      <c r="L195" s="75"/>
    </row>
    <row r="196" spans="1:12" hidden="1">
      <c r="A196" s="72">
        <v>46048</v>
      </c>
      <c r="B196" s="73"/>
      <c r="C196" s="74" t="str">
        <f>IF(Tabla13[[#This Row],[Fecha]]="","",TEXT(Tabla13[[#This Row],[Fecha]],"mmmm"))</f>
        <v>enero</v>
      </c>
      <c r="D196" s="75">
        <v>0.68333333333333335</v>
      </c>
      <c r="E196" s="75">
        <v>0.68680555555555556</v>
      </c>
      <c r="F196" s="71">
        <f>HOUR(Tabla13[[#This Row],[Hora fin ]]-Tabla13[[#This Row],[Hora inicio]])+MINUTE(Tabla13[[#This Row],[Hora fin ]]-Tabla13[[#This Row],[Hora inicio]])/60</f>
        <v>8.3333333333333329E-2</v>
      </c>
      <c r="G196" s="60" t="s">
        <v>4</v>
      </c>
      <c r="H196" s="60" t="s">
        <v>5</v>
      </c>
      <c r="I196" s="60" t="s">
        <v>258</v>
      </c>
      <c r="J196" s="60" t="s">
        <v>359</v>
      </c>
      <c r="K196" s="58" t="s">
        <v>400</v>
      </c>
      <c r="L196" s="75"/>
    </row>
    <row r="197" spans="1:12" hidden="1">
      <c r="A197" s="72">
        <v>46048</v>
      </c>
      <c r="B197" s="73"/>
      <c r="C197" s="74" t="str">
        <f>IF(Tabla13[[#This Row],[Fecha]]="","",TEXT(Tabla13[[#This Row],[Fecha]],"mmmm"))</f>
        <v>enero</v>
      </c>
      <c r="D197" s="75">
        <v>0.69374999999999998</v>
      </c>
      <c r="E197" s="75">
        <v>0.69513888888888886</v>
      </c>
      <c r="F197" s="71">
        <f>HOUR(Tabla13[[#This Row],[Hora fin ]]-Tabla13[[#This Row],[Hora inicio]])+MINUTE(Tabla13[[#This Row],[Hora fin ]]-Tabla13[[#This Row],[Hora inicio]])/60</f>
        <v>3.3333333333333333E-2</v>
      </c>
      <c r="G197" s="60" t="s">
        <v>4</v>
      </c>
      <c r="H197" s="60" t="s">
        <v>5</v>
      </c>
      <c r="I197" s="60" t="s">
        <v>258</v>
      </c>
      <c r="J197" s="60" t="s">
        <v>359</v>
      </c>
      <c r="K197" s="58" t="s">
        <v>400</v>
      </c>
      <c r="L197" s="75"/>
    </row>
    <row r="198" spans="1:12" hidden="1">
      <c r="A198" s="72">
        <v>46048</v>
      </c>
      <c r="B198" s="73"/>
      <c r="C198" s="74" t="str">
        <f>IF(Tabla13[[#This Row],[Fecha]]="","",TEXT(Tabla13[[#This Row],[Fecha]],"mmmm"))</f>
        <v>enero</v>
      </c>
      <c r="D198" s="75">
        <v>0.72083333333333333</v>
      </c>
      <c r="E198" s="75">
        <v>0.72499999999999998</v>
      </c>
      <c r="F198" s="71">
        <f>HOUR(Tabla13[[#This Row],[Hora fin ]]-Tabla13[[#This Row],[Hora inicio]])+MINUTE(Tabla13[[#This Row],[Hora fin ]]-Tabla13[[#This Row],[Hora inicio]])/60</f>
        <v>0.1</v>
      </c>
      <c r="G198" s="60" t="s">
        <v>10</v>
      </c>
      <c r="H198" s="60" t="s">
        <v>20</v>
      </c>
      <c r="I198" s="60" t="s">
        <v>24</v>
      </c>
      <c r="J198" s="60" t="s">
        <v>327</v>
      </c>
      <c r="K198" s="57" t="s">
        <v>477</v>
      </c>
      <c r="L198" s="75"/>
    </row>
    <row r="199" spans="1:12" hidden="1">
      <c r="A199" s="72">
        <v>46049</v>
      </c>
      <c r="B199" s="73"/>
      <c r="C199" s="74" t="str">
        <f>IF(Tabla13[[#This Row],[Fecha]]="","",TEXT(Tabla13[[#This Row],[Fecha]],"mmmm"))</f>
        <v>enero</v>
      </c>
      <c r="D199" s="75">
        <v>0.57986111111111116</v>
      </c>
      <c r="E199" s="75">
        <v>0.63263888888888886</v>
      </c>
      <c r="F199" s="71">
        <f>HOUR(Tabla13[[#This Row],[Hora fin ]]-Tabla13[[#This Row],[Hora inicio]])+MINUTE(Tabla13[[#This Row],[Hora fin ]]-Tabla13[[#This Row],[Hora inicio]])/60</f>
        <v>1.2666666666666666</v>
      </c>
      <c r="G199" s="60" t="s">
        <v>10</v>
      </c>
      <c r="H199" s="60" t="s">
        <v>30</v>
      </c>
      <c r="I199" s="60" t="s">
        <v>12</v>
      </c>
      <c r="J199" s="60" t="s">
        <v>270</v>
      </c>
      <c r="K199" s="57" t="s">
        <v>401</v>
      </c>
      <c r="L199" s="75"/>
    </row>
    <row r="200" spans="1:12" hidden="1">
      <c r="A200" s="72">
        <v>46050</v>
      </c>
      <c r="B200" s="73"/>
      <c r="C200" s="74" t="str">
        <f>IF(Tabla13[[#This Row],[Fecha]]="","",TEXT(Tabla13[[#This Row],[Fecha]],"mmmm"))</f>
        <v>enero</v>
      </c>
      <c r="D200" s="75">
        <v>5.9027777777777776E-2</v>
      </c>
      <c r="E200" s="75">
        <v>8.611111111111111E-2</v>
      </c>
      <c r="F200" s="71">
        <f>HOUR(Tabla13[[#This Row],[Hora fin ]]-Tabla13[[#This Row],[Hora inicio]])+MINUTE(Tabla13[[#This Row],[Hora fin ]]-Tabla13[[#This Row],[Hora inicio]])/60</f>
        <v>0.65</v>
      </c>
      <c r="G200" s="60" t="s">
        <v>10</v>
      </c>
      <c r="H200" s="60" t="s">
        <v>30</v>
      </c>
      <c r="I200" s="60" t="s">
        <v>12</v>
      </c>
      <c r="J200" s="60" t="s">
        <v>270</v>
      </c>
      <c r="K200" s="57" t="s">
        <v>401</v>
      </c>
      <c r="L200" s="75"/>
    </row>
    <row r="201" spans="1:12" hidden="1">
      <c r="A201" s="72">
        <v>46050</v>
      </c>
      <c r="B201" s="73"/>
      <c r="C201" s="74" t="str">
        <f>IF(Tabla13[[#This Row],[Fecha]]="","",TEXT(Tabla13[[#This Row],[Fecha]],"mmmm"))</f>
        <v>enero</v>
      </c>
      <c r="D201" s="75">
        <v>0.16180555555555556</v>
      </c>
      <c r="E201" s="75">
        <v>0.16805555555555557</v>
      </c>
      <c r="F201" s="71">
        <f>HOUR(Tabla13[[#This Row],[Hora fin ]]-Tabla13[[#This Row],[Hora inicio]])+MINUTE(Tabla13[[#This Row],[Hora fin ]]-Tabla13[[#This Row],[Hora inicio]])/60</f>
        <v>0.15</v>
      </c>
      <c r="G201" s="60" t="s">
        <v>10</v>
      </c>
      <c r="H201" s="60" t="s">
        <v>26</v>
      </c>
      <c r="I201" s="60" t="s">
        <v>257</v>
      </c>
      <c r="J201" s="60" t="s">
        <v>285</v>
      </c>
      <c r="K201" s="57" t="s">
        <v>478</v>
      </c>
      <c r="L201" s="75"/>
    </row>
    <row r="202" spans="1:12" ht="30" hidden="1">
      <c r="A202" s="72">
        <v>46050</v>
      </c>
      <c r="B202" s="73"/>
      <c r="C202" s="74" t="str">
        <f>IF(Tabla13[[#This Row],[Fecha]]="","",TEXT(Tabla13[[#This Row],[Fecha]],"mmmm"))</f>
        <v>enero</v>
      </c>
      <c r="D202" s="75">
        <v>0.32222222222222224</v>
      </c>
      <c r="E202" s="75">
        <v>0.47083333333333333</v>
      </c>
      <c r="F202" s="71">
        <f>HOUR(Tabla13[[#This Row],[Hora fin ]]-Tabla13[[#This Row],[Hora inicio]])+MINUTE(Tabla13[[#This Row],[Hora fin ]]-Tabla13[[#This Row],[Hora inicio]])/60</f>
        <v>3.5666666666666664</v>
      </c>
      <c r="G202" s="60" t="s">
        <v>10</v>
      </c>
      <c r="H202" s="60" t="s">
        <v>23</v>
      </c>
      <c r="I202" s="60" t="s">
        <v>257</v>
      </c>
      <c r="J202" s="60" t="s">
        <v>285</v>
      </c>
      <c r="K202" s="57" t="s">
        <v>479</v>
      </c>
      <c r="L202" s="75"/>
    </row>
    <row r="203" spans="1:12" hidden="1">
      <c r="A203" s="72">
        <v>46050</v>
      </c>
      <c r="B203" s="73"/>
      <c r="C203" s="74" t="str">
        <f>IF(Tabla13[[#This Row],[Fecha]]="","",TEXT(Tabla13[[#This Row],[Fecha]],"mmmm"))</f>
        <v>enero</v>
      </c>
      <c r="D203" s="75">
        <v>0.55347222222222225</v>
      </c>
      <c r="E203" s="75">
        <v>0.57777777777777772</v>
      </c>
      <c r="F203" s="71">
        <f>HOUR(Tabla13[[#This Row],[Hora fin ]]-Tabla13[[#This Row],[Hora inicio]])+MINUTE(Tabla13[[#This Row],[Hora fin ]]-Tabla13[[#This Row],[Hora inicio]])/60</f>
        <v>0.58333333333333337</v>
      </c>
      <c r="G203" s="60" t="s">
        <v>10</v>
      </c>
      <c r="H203" s="60" t="s">
        <v>26</v>
      </c>
      <c r="I203" s="60" t="s">
        <v>17</v>
      </c>
      <c r="J203" s="60" t="s">
        <v>290</v>
      </c>
      <c r="K203" s="57" t="s">
        <v>434</v>
      </c>
      <c r="L203" s="75"/>
    </row>
    <row r="204" spans="1:12" hidden="1">
      <c r="A204" s="72">
        <v>46051</v>
      </c>
      <c r="B204" s="73"/>
      <c r="C204" s="74" t="str">
        <f>IF(Tabla13[[#This Row],[Fecha]]="","",TEXT(Tabla13[[#This Row],[Fecha]],"mmmm"))</f>
        <v>enero</v>
      </c>
      <c r="D204" s="75">
        <v>0.12777777777777777</v>
      </c>
      <c r="E204" s="75">
        <v>0.12916666666666668</v>
      </c>
      <c r="F204" s="71">
        <f>HOUR(Tabla13[[#This Row],[Hora fin ]]-Tabla13[[#This Row],[Hora inicio]])+MINUTE(Tabla13[[#This Row],[Hora fin ]]-Tabla13[[#This Row],[Hora inicio]])/60</f>
        <v>3.3333333333333333E-2</v>
      </c>
      <c r="G204" s="60" t="s">
        <v>4</v>
      </c>
      <c r="H204" s="60" t="s">
        <v>5</v>
      </c>
      <c r="I204" s="60" t="s">
        <v>258</v>
      </c>
      <c r="J204" s="60" t="s">
        <v>359</v>
      </c>
      <c r="K204" s="58" t="s">
        <v>400</v>
      </c>
      <c r="L204" s="75"/>
    </row>
    <row r="205" spans="1:12" hidden="1">
      <c r="A205" s="72">
        <v>46051</v>
      </c>
      <c r="B205" s="73"/>
      <c r="C205" s="74" t="str">
        <f>IF(Tabla13[[#This Row],[Fecha]]="","",TEXT(Tabla13[[#This Row],[Fecha]],"mmmm"))</f>
        <v>enero</v>
      </c>
      <c r="D205" s="75">
        <v>0.21527777777777779</v>
      </c>
      <c r="E205" s="75">
        <v>0.23680555555555555</v>
      </c>
      <c r="F205" s="71">
        <f>HOUR(Tabla13[[#This Row],[Hora fin ]]-Tabla13[[#This Row],[Hora inicio]])+MINUTE(Tabla13[[#This Row],[Hora fin ]]-Tabla13[[#This Row],[Hora inicio]])/60</f>
        <v>0.51666666666666672</v>
      </c>
      <c r="G205" s="60" t="s">
        <v>10</v>
      </c>
      <c r="H205" s="60" t="s">
        <v>26</v>
      </c>
      <c r="I205" s="60" t="s">
        <v>257</v>
      </c>
      <c r="J205" s="60" t="s">
        <v>285</v>
      </c>
      <c r="K205" s="57" t="s">
        <v>478</v>
      </c>
      <c r="L205" s="75"/>
    </row>
    <row r="206" spans="1:12" ht="30" hidden="1">
      <c r="A206" s="72">
        <v>46051</v>
      </c>
      <c r="B206" s="73"/>
      <c r="C206" s="74" t="str">
        <f>IF(Tabla13[[#This Row],[Fecha]]="","",TEXT(Tabla13[[#This Row],[Fecha]],"mmmm"))</f>
        <v>enero</v>
      </c>
      <c r="D206" s="75">
        <v>0.42986111111111114</v>
      </c>
      <c r="E206" s="75">
        <v>0.44097222222222221</v>
      </c>
      <c r="F206" s="71">
        <f>HOUR(Tabla13[[#This Row],[Hora fin ]]-Tabla13[[#This Row],[Hora inicio]])+MINUTE(Tabla13[[#This Row],[Hora fin ]]-Tabla13[[#This Row],[Hora inicio]])/60</f>
        <v>0.26666666666666666</v>
      </c>
      <c r="G206" s="60" t="s">
        <v>10</v>
      </c>
      <c r="H206" s="60" t="s">
        <v>23</v>
      </c>
      <c r="I206" s="60" t="s">
        <v>257</v>
      </c>
      <c r="J206" s="60" t="s">
        <v>285</v>
      </c>
      <c r="K206" s="57" t="s">
        <v>479</v>
      </c>
      <c r="L206" s="75"/>
    </row>
    <row r="207" spans="1:12" hidden="1">
      <c r="A207" s="72">
        <v>46051</v>
      </c>
      <c r="B207" s="73"/>
      <c r="C207" s="74" t="str">
        <f>IF(Tabla13[[#This Row],[Fecha]]="","",TEXT(Tabla13[[#This Row],[Fecha]],"mmmm"))</f>
        <v>enero</v>
      </c>
      <c r="D207" s="75">
        <v>0.77083333333333337</v>
      </c>
      <c r="E207" s="75">
        <v>0.78680555555555554</v>
      </c>
      <c r="F207" s="71">
        <f>HOUR(Tabla13[[#This Row],[Hora fin ]]-Tabla13[[#This Row],[Hora inicio]])+MINUTE(Tabla13[[#This Row],[Hora fin ]]-Tabla13[[#This Row],[Hora inicio]])/60</f>
        <v>0.38333333333333336</v>
      </c>
      <c r="G207" s="60" t="s">
        <v>10</v>
      </c>
      <c r="H207" s="60" t="s">
        <v>26</v>
      </c>
      <c r="I207" s="60" t="s">
        <v>257</v>
      </c>
      <c r="J207" s="60" t="s">
        <v>285</v>
      </c>
      <c r="K207" s="57" t="s">
        <v>478</v>
      </c>
      <c r="L207" s="75"/>
    </row>
    <row r="208" spans="1:12" hidden="1">
      <c r="A208" s="72">
        <v>46051</v>
      </c>
      <c r="B208" s="73"/>
      <c r="C208" s="74" t="str">
        <f>IF(Tabla13[[#This Row],[Fecha]]="","",TEXT(Tabla13[[#This Row],[Fecha]],"mmmm"))</f>
        <v>enero</v>
      </c>
      <c r="D208" s="75">
        <v>0.9</v>
      </c>
      <c r="E208" s="75">
        <v>0.9145833333333333</v>
      </c>
      <c r="F208" s="71">
        <f>HOUR(Tabla13[[#This Row],[Hora fin ]]-Tabla13[[#This Row],[Hora inicio]])+MINUTE(Tabla13[[#This Row],[Hora fin ]]-Tabla13[[#This Row],[Hora inicio]])/60</f>
        <v>0.35</v>
      </c>
      <c r="G208" s="60" t="s">
        <v>10</v>
      </c>
      <c r="H208" s="60" t="s">
        <v>30</v>
      </c>
      <c r="I208" s="60" t="s">
        <v>12</v>
      </c>
      <c r="J208" s="60" t="s">
        <v>270</v>
      </c>
      <c r="K208" s="57" t="s">
        <v>401</v>
      </c>
      <c r="L208" s="75"/>
    </row>
    <row r="209" spans="1:12" hidden="1">
      <c r="A209" s="72">
        <v>46051</v>
      </c>
      <c r="B209" s="73"/>
      <c r="C209" s="74" t="str">
        <f>IF(Tabla13[[#This Row],[Fecha]]="","",TEXT(Tabla13[[#This Row],[Fecha]],"mmmm"))</f>
        <v>enero</v>
      </c>
      <c r="D209" s="75">
        <v>0.96875</v>
      </c>
      <c r="E209" s="75">
        <v>0.98611111111111116</v>
      </c>
      <c r="F209" s="71">
        <f>HOUR(Tabla13[[#This Row],[Hora fin ]]-Tabla13[[#This Row],[Hora inicio]])+MINUTE(Tabla13[[#This Row],[Hora fin ]]-Tabla13[[#This Row],[Hora inicio]])/60</f>
        <v>0.41666666666666669</v>
      </c>
      <c r="G209" s="60" t="s">
        <v>10</v>
      </c>
      <c r="H209" s="60" t="s">
        <v>30</v>
      </c>
      <c r="I209" s="60" t="s">
        <v>12</v>
      </c>
      <c r="J209" s="60" t="s">
        <v>270</v>
      </c>
      <c r="K209" s="57" t="s">
        <v>401</v>
      </c>
      <c r="L209" s="75"/>
    </row>
    <row r="210" spans="1:12" hidden="1">
      <c r="A210" s="72">
        <v>46052</v>
      </c>
      <c r="B210" s="73"/>
      <c r="C210" s="74" t="str">
        <f>IF(Tabla13[[#This Row],[Fecha]]="","",TEXT(Tabla13[[#This Row],[Fecha]],"mmmm"))</f>
        <v>enero</v>
      </c>
      <c r="D210" s="75">
        <v>0.15208333333333332</v>
      </c>
      <c r="E210" s="75">
        <v>0.15694444444444444</v>
      </c>
      <c r="F210" s="71">
        <f>HOUR(Tabla13[[#This Row],[Hora fin ]]-Tabla13[[#This Row],[Hora inicio]])+MINUTE(Tabla13[[#This Row],[Hora fin ]]-Tabla13[[#This Row],[Hora inicio]])/60</f>
        <v>0.11666666666666667</v>
      </c>
      <c r="G210" s="60" t="s">
        <v>4</v>
      </c>
      <c r="H210" s="60" t="s">
        <v>5</v>
      </c>
      <c r="I210" s="60" t="s">
        <v>258</v>
      </c>
      <c r="J210" s="60" t="s">
        <v>359</v>
      </c>
      <c r="K210" s="58" t="s">
        <v>400</v>
      </c>
      <c r="L210" s="75"/>
    </row>
    <row r="211" spans="1:12" hidden="1">
      <c r="A211" s="72">
        <v>46053</v>
      </c>
      <c r="B211" s="73"/>
      <c r="C211" s="74" t="str">
        <f>IF(Tabla13[[#This Row],[Fecha]]="","",TEXT(Tabla13[[#This Row],[Fecha]],"mmmm"))</f>
        <v>enero</v>
      </c>
      <c r="D211" s="75">
        <v>0.26597222222222222</v>
      </c>
      <c r="E211" s="75">
        <v>0.49583333333333335</v>
      </c>
      <c r="F211" s="71">
        <f>HOUR(Tabla13[[#This Row],[Hora fin ]]-Tabla13[[#This Row],[Hora inicio]])+MINUTE(Tabla13[[#This Row],[Hora fin ]]-Tabla13[[#This Row],[Hora inicio]])/60</f>
        <v>5.5166666666666666</v>
      </c>
      <c r="G211" s="60" t="s">
        <v>13</v>
      </c>
      <c r="H211" s="60" t="s">
        <v>32</v>
      </c>
      <c r="I211" s="60" t="s">
        <v>9</v>
      </c>
      <c r="J211" s="60" t="s">
        <v>267</v>
      </c>
      <c r="K211" s="57" t="s">
        <v>480</v>
      </c>
      <c r="L211" s="75"/>
    </row>
    <row r="212" spans="1:12" hidden="1">
      <c r="A212" s="72">
        <v>46053</v>
      </c>
      <c r="B212" s="73"/>
      <c r="C212" s="74" t="str">
        <f>IF(Tabla13[[#This Row],[Fecha]]="","",TEXT(Tabla13[[#This Row],[Fecha]],"mmmm"))</f>
        <v>enero</v>
      </c>
      <c r="D212" s="75">
        <v>0.56736111111111109</v>
      </c>
      <c r="E212" s="75">
        <v>0.57222222222222219</v>
      </c>
      <c r="F212" s="71">
        <f>HOUR(Tabla13[[#This Row],[Hora fin ]]-Tabla13[[#This Row],[Hora inicio]])+MINUTE(Tabla13[[#This Row],[Hora fin ]]-Tabla13[[#This Row],[Hora inicio]])/60</f>
        <v>0.11666666666666667</v>
      </c>
      <c r="G212" s="60" t="s">
        <v>4</v>
      </c>
      <c r="H212" s="60" t="s">
        <v>5</v>
      </c>
      <c r="I212" s="60" t="s">
        <v>258</v>
      </c>
      <c r="J212" s="60" t="s">
        <v>359</v>
      </c>
      <c r="K212" s="58" t="s">
        <v>400</v>
      </c>
      <c r="L212" s="75"/>
    </row>
    <row r="213" spans="1:12" hidden="1">
      <c r="A213" s="72">
        <v>46053</v>
      </c>
      <c r="B213" s="73"/>
      <c r="C213" s="74" t="str">
        <f>IF(Tabla13[[#This Row],[Fecha]]="","",TEXT(Tabla13[[#This Row],[Fecha]],"mmmm"))</f>
        <v>enero</v>
      </c>
      <c r="D213" s="75">
        <v>0.69513888888888886</v>
      </c>
      <c r="E213" s="75">
        <v>0.7104166666666667</v>
      </c>
      <c r="F213" s="71">
        <f>HOUR(Tabla13[[#This Row],[Hora fin ]]-Tabla13[[#This Row],[Hora inicio]])+MINUTE(Tabla13[[#This Row],[Hora fin ]]-Tabla13[[#This Row],[Hora inicio]])/60</f>
        <v>0.36666666666666664</v>
      </c>
      <c r="G213" s="60" t="s">
        <v>10</v>
      </c>
      <c r="H213" s="60" t="s">
        <v>20</v>
      </c>
      <c r="I213" s="60" t="s">
        <v>21</v>
      </c>
      <c r="J213" s="60" t="s">
        <v>339</v>
      </c>
      <c r="K213" s="57" t="s">
        <v>481</v>
      </c>
      <c r="L213" s="75"/>
    </row>
    <row r="214" spans="1:12" ht="30" hidden="1">
      <c r="A214" s="72">
        <v>46053</v>
      </c>
      <c r="B214" s="73"/>
      <c r="C214" s="74" t="str">
        <f>IF(Tabla13[[#This Row],[Fecha]]="","",TEXT(Tabla13[[#This Row],[Fecha]],"mmmm"))</f>
        <v>enero</v>
      </c>
      <c r="D214" s="75">
        <v>0.8125</v>
      </c>
      <c r="E214" s="75">
        <v>0.82361111111111107</v>
      </c>
      <c r="F214" s="71">
        <f>HOUR(Tabla13[[#This Row],[Hora fin ]]-Tabla13[[#This Row],[Hora inicio]])+MINUTE(Tabla13[[#This Row],[Hora fin ]]-Tabla13[[#This Row],[Hora inicio]])/60</f>
        <v>0.26666666666666666</v>
      </c>
      <c r="G214" s="60" t="s">
        <v>10</v>
      </c>
      <c r="H214" s="60" t="s">
        <v>26</v>
      </c>
      <c r="I214" s="60" t="s">
        <v>12</v>
      </c>
      <c r="J214" s="60" t="s">
        <v>273</v>
      </c>
      <c r="K214" s="57" t="s">
        <v>482</v>
      </c>
      <c r="L214" s="75"/>
    </row>
    <row r="215" spans="1:12" hidden="1">
      <c r="A215" s="72">
        <v>46054</v>
      </c>
      <c r="B215" s="73"/>
      <c r="C215" s="74" t="str">
        <f>IF(Tabla13[[#This Row],[Fecha]]="","",TEXT(Tabla13[[#This Row],[Fecha]],"mmmm"))</f>
        <v>febrero</v>
      </c>
      <c r="D215" s="75">
        <v>0.25</v>
      </c>
      <c r="E215" s="75">
        <v>0.66666666666666663</v>
      </c>
      <c r="F215" s="71">
        <f>HOUR(Tabla13[[#This Row],[Hora fin ]]-Tabla13[[#This Row],[Hora inicio]])+MINUTE(Tabla13[[#This Row],[Hora fin ]]-Tabla13[[#This Row],[Hora inicio]])/60</f>
        <v>10</v>
      </c>
      <c r="G215" s="60" t="s">
        <v>4</v>
      </c>
      <c r="H215" s="60" t="s">
        <v>16</v>
      </c>
      <c r="I215" s="60" t="s">
        <v>6</v>
      </c>
      <c r="J215" s="60" t="s">
        <v>16</v>
      </c>
      <c r="K215" s="57" t="s">
        <v>440</v>
      </c>
      <c r="L215" s="75"/>
    </row>
    <row r="216" spans="1:12" hidden="1">
      <c r="A216" s="72">
        <v>46055</v>
      </c>
      <c r="B216" s="73"/>
      <c r="C216" s="74" t="str">
        <f>IF(Tabla13[[#This Row],[Fecha]]="","",TEXT(Tabla13[[#This Row],[Fecha]],"mmmm"))</f>
        <v>febrero</v>
      </c>
      <c r="D216" s="75">
        <v>0.78472222222222221</v>
      </c>
      <c r="E216" s="75">
        <v>0.82152777777777775</v>
      </c>
      <c r="F216" s="71">
        <f>HOUR(Tabla13[[#This Row],[Hora fin ]]-Tabla13[[#This Row],[Hora inicio]])+MINUTE(Tabla13[[#This Row],[Hora fin ]]-Tabla13[[#This Row],[Hora inicio]])/60</f>
        <v>0.8833333333333333</v>
      </c>
      <c r="G216" s="60" t="s">
        <v>10</v>
      </c>
      <c r="H216" s="60" t="s">
        <v>26</v>
      </c>
      <c r="I216" s="60" t="s">
        <v>257</v>
      </c>
      <c r="J216" s="60" t="s">
        <v>287</v>
      </c>
      <c r="K216" s="57" t="s">
        <v>483</v>
      </c>
      <c r="L216" s="75"/>
    </row>
    <row r="217" spans="1:12" ht="30" hidden="1">
      <c r="A217" s="72">
        <v>46055</v>
      </c>
      <c r="B217" s="73"/>
      <c r="C217" s="74" t="str">
        <f>IF(Tabla13[[#This Row],[Fecha]]="","",TEXT(Tabla13[[#This Row],[Fecha]],"mmmm"))</f>
        <v>febrero</v>
      </c>
      <c r="D217" s="75">
        <v>0.84652777777777777</v>
      </c>
      <c r="E217" s="75">
        <v>0.8569444444444444</v>
      </c>
      <c r="F217" s="71">
        <f>HOUR(Tabla13[[#This Row],[Hora fin ]]-Tabla13[[#This Row],[Hora inicio]])+MINUTE(Tabla13[[#This Row],[Hora fin ]]-Tabla13[[#This Row],[Hora inicio]])/60</f>
        <v>0.25</v>
      </c>
      <c r="G217" s="60" t="s">
        <v>10</v>
      </c>
      <c r="H217" s="60" t="s">
        <v>26</v>
      </c>
      <c r="I217" s="60" t="s">
        <v>12</v>
      </c>
      <c r="J217" s="60" t="s">
        <v>273</v>
      </c>
      <c r="K217" s="57" t="s">
        <v>482</v>
      </c>
      <c r="L217" s="75"/>
    </row>
    <row r="218" spans="1:12" ht="30" hidden="1">
      <c r="A218" s="72">
        <v>46055</v>
      </c>
      <c r="B218" s="73"/>
      <c r="C218" s="74" t="str">
        <f>IF(Tabla13[[#This Row],[Fecha]]="","",TEXT(Tabla13[[#This Row],[Fecha]],"mmmm"))</f>
        <v>febrero</v>
      </c>
      <c r="D218" s="75">
        <v>0.88749999999999996</v>
      </c>
      <c r="E218" s="75">
        <v>0.8930555555555556</v>
      </c>
      <c r="F218" s="71">
        <f>HOUR(Tabla13[[#This Row],[Hora fin ]]-Tabla13[[#This Row],[Hora inicio]])+MINUTE(Tabla13[[#This Row],[Hora fin ]]-Tabla13[[#This Row],[Hora inicio]])/60</f>
        <v>0.13333333333333333</v>
      </c>
      <c r="G218" s="60" t="s">
        <v>10</v>
      </c>
      <c r="H218" s="60" t="s">
        <v>26</v>
      </c>
      <c r="I218" s="60" t="s">
        <v>12</v>
      </c>
      <c r="J218" s="60" t="s">
        <v>273</v>
      </c>
      <c r="K218" s="57" t="s">
        <v>482</v>
      </c>
      <c r="L218" s="75"/>
    </row>
    <row r="219" spans="1:12" hidden="1">
      <c r="A219" s="72">
        <v>46056</v>
      </c>
      <c r="B219" s="73"/>
      <c r="C219" s="74" t="str">
        <f>IF(Tabla13[[#This Row],[Fecha]]="","",TEXT(Tabla13[[#This Row],[Fecha]],"mmmm"))</f>
        <v>febrero</v>
      </c>
      <c r="D219" s="75">
        <v>2.7777777777777779E-3</v>
      </c>
      <c r="E219" s="75">
        <v>6.2500000000000003E-3</v>
      </c>
      <c r="F219" s="71">
        <f>HOUR(Tabla13[[#This Row],[Hora fin ]]-Tabla13[[#This Row],[Hora inicio]])+MINUTE(Tabla13[[#This Row],[Hora fin ]]-Tabla13[[#This Row],[Hora inicio]])/60</f>
        <v>8.3333333333333329E-2</v>
      </c>
      <c r="G219" s="60" t="s">
        <v>4</v>
      </c>
      <c r="H219" s="60" t="s">
        <v>5</v>
      </c>
      <c r="I219" s="60" t="s">
        <v>258</v>
      </c>
      <c r="J219" s="60" t="s">
        <v>359</v>
      </c>
      <c r="K219" s="58" t="s">
        <v>400</v>
      </c>
      <c r="L219" s="75"/>
    </row>
    <row r="220" spans="1:12" hidden="1">
      <c r="A220" s="72">
        <v>46056</v>
      </c>
      <c r="B220" s="73"/>
      <c r="C220" s="74" t="str">
        <f>IF(Tabla13[[#This Row],[Fecha]]="","",TEXT(Tabla13[[#This Row],[Fecha]],"mmmm"))</f>
        <v>febrero</v>
      </c>
      <c r="D220" s="75">
        <v>0.3263888888888889</v>
      </c>
      <c r="E220" s="75">
        <v>0.33194444444444443</v>
      </c>
      <c r="F220" s="71">
        <f>HOUR(Tabla13[[#This Row],[Hora fin ]]-Tabla13[[#This Row],[Hora inicio]])+MINUTE(Tabla13[[#This Row],[Hora fin ]]-Tabla13[[#This Row],[Hora inicio]])/60</f>
        <v>0.13333333333333333</v>
      </c>
      <c r="G220" s="60" t="s">
        <v>4</v>
      </c>
      <c r="H220" s="60" t="s">
        <v>5</v>
      </c>
      <c r="I220" s="60" t="s">
        <v>258</v>
      </c>
      <c r="J220" s="60" t="s">
        <v>359</v>
      </c>
      <c r="K220" s="58" t="s">
        <v>400</v>
      </c>
      <c r="L220" s="75"/>
    </row>
    <row r="221" spans="1:12" hidden="1">
      <c r="A221" s="72">
        <v>46056</v>
      </c>
      <c r="B221" s="73"/>
      <c r="C221" s="74" t="str">
        <f>IF(Tabla13[[#This Row],[Fecha]]="","",TEXT(Tabla13[[#This Row],[Fecha]],"mmmm"))</f>
        <v>febrero</v>
      </c>
      <c r="D221" s="75">
        <v>0.47222222222222221</v>
      </c>
      <c r="E221" s="75">
        <v>0.48055555555555557</v>
      </c>
      <c r="F221" s="71">
        <f>HOUR(Tabla13[[#This Row],[Hora fin ]]-Tabla13[[#This Row],[Hora inicio]])+MINUTE(Tabla13[[#This Row],[Hora fin ]]-Tabla13[[#This Row],[Hora inicio]])/60</f>
        <v>0.2</v>
      </c>
      <c r="G221" s="60" t="s">
        <v>10</v>
      </c>
      <c r="H221" s="60" t="s">
        <v>23</v>
      </c>
      <c r="I221" s="60" t="s">
        <v>12</v>
      </c>
      <c r="J221" s="60" t="s">
        <v>280</v>
      </c>
      <c r="K221" s="57" t="s">
        <v>484</v>
      </c>
      <c r="L221" s="75"/>
    </row>
    <row r="222" spans="1:12" hidden="1">
      <c r="A222" s="72">
        <v>46057</v>
      </c>
      <c r="B222" s="73"/>
      <c r="C222" s="74" t="str">
        <f>IF(Tabla13[[#This Row],[Fecha]]="","",TEXT(Tabla13[[#This Row],[Fecha]],"mmmm"))</f>
        <v>febrero</v>
      </c>
      <c r="D222" s="75">
        <v>3.7499999999999999E-2</v>
      </c>
      <c r="E222" s="75">
        <v>4.583333333333333E-2</v>
      </c>
      <c r="F222" s="71">
        <f>HOUR(Tabla13[[#This Row],[Hora fin ]]-Tabla13[[#This Row],[Hora inicio]])+MINUTE(Tabla13[[#This Row],[Hora fin ]]-Tabla13[[#This Row],[Hora inicio]])/60</f>
        <v>0.2</v>
      </c>
      <c r="G222" s="60" t="s">
        <v>10</v>
      </c>
      <c r="H222" s="60" t="s">
        <v>30</v>
      </c>
      <c r="I222" s="60" t="s">
        <v>12</v>
      </c>
      <c r="J222" s="60" t="s">
        <v>270</v>
      </c>
      <c r="K222" s="57" t="s">
        <v>401</v>
      </c>
      <c r="L222" s="75"/>
    </row>
    <row r="223" spans="1:12" hidden="1">
      <c r="A223" s="72">
        <v>46057</v>
      </c>
      <c r="B223" s="73"/>
      <c r="C223" s="74" t="str">
        <f>IF(Tabla13[[#This Row],[Fecha]]="","",TEXT(Tabla13[[#This Row],[Fecha]],"mmmm"))</f>
        <v>febrero</v>
      </c>
      <c r="D223" s="75">
        <v>0.11458333333333333</v>
      </c>
      <c r="E223" s="75">
        <v>0.11805555555555555</v>
      </c>
      <c r="F223" s="71">
        <f>HOUR(Tabla13[[#This Row],[Hora fin ]]-Tabla13[[#This Row],[Hora inicio]])+MINUTE(Tabla13[[#This Row],[Hora fin ]]-Tabla13[[#This Row],[Hora inicio]])/60</f>
        <v>8.3333333333333329E-2</v>
      </c>
      <c r="G223" s="60" t="s">
        <v>10</v>
      </c>
      <c r="H223" s="60" t="s">
        <v>20</v>
      </c>
      <c r="I223" s="60" t="s">
        <v>21</v>
      </c>
      <c r="J223" s="60" t="s">
        <v>323</v>
      </c>
      <c r="K223" s="57" t="s">
        <v>485</v>
      </c>
      <c r="L223" s="75"/>
    </row>
    <row r="224" spans="1:12" hidden="1">
      <c r="A224" s="72">
        <v>46057</v>
      </c>
      <c r="B224" s="73"/>
      <c r="C224" s="74" t="str">
        <f>IF(Tabla13[[#This Row],[Fecha]]="","",TEXT(Tabla13[[#This Row],[Fecha]],"mmmm"))</f>
        <v>febrero</v>
      </c>
      <c r="D224" s="75">
        <v>0.38194444444444442</v>
      </c>
      <c r="E224" s="75">
        <v>0.44374999999999998</v>
      </c>
      <c r="F224" s="71">
        <f>HOUR(Tabla13[[#This Row],[Hora fin ]]-Tabla13[[#This Row],[Hora inicio]])+MINUTE(Tabla13[[#This Row],[Hora fin ]]-Tabla13[[#This Row],[Hora inicio]])/60</f>
        <v>1.4833333333333334</v>
      </c>
      <c r="G224" s="60" t="s">
        <v>10</v>
      </c>
      <c r="H224" s="60" t="s">
        <v>20</v>
      </c>
      <c r="I224" s="60" t="s">
        <v>24</v>
      </c>
      <c r="J224" s="60" t="s">
        <v>327</v>
      </c>
      <c r="K224" s="57" t="s">
        <v>486</v>
      </c>
      <c r="L224" s="75"/>
    </row>
    <row r="225" spans="1:12" hidden="1">
      <c r="A225" s="72">
        <v>46057</v>
      </c>
      <c r="B225" s="73"/>
      <c r="C225" s="74" t="str">
        <f>IF(Tabla13[[#This Row],[Fecha]]="","",TEXT(Tabla13[[#This Row],[Fecha]],"mmmm"))</f>
        <v>febrero</v>
      </c>
      <c r="D225" s="75">
        <v>0.46180555555555558</v>
      </c>
      <c r="E225" s="75">
        <v>0.46319444444444446</v>
      </c>
      <c r="F225" s="71">
        <f>HOUR(Tabla13[[#This Row],[Hora fin ]]-Tabla13[[#This Row],[Hora inicio]])+MINUTE(Tabla13[[#This Row],[Hora fin ]]-Tabla13[[#This Row],[Hora inicio]])/60</f>
        <v>3.3333333333333333E-2</v>
      </c>
      <c r="G225" s="60" t="s">
        <v>10</v>
      </c>
      <c r="H225" s="60" t="s">
        <v>20</v>
      </c>
      <c r="I225" s="60" t="s">
        <v>24</v>
      </c>
      <c r="J225" s="60" t="s">
        <v>327</v>
      </c>
      <c r="K225" s="57" t="s">
        <v>486</v>
      </c>
      <c r="L225" s="75"/>
    </row>
    <row r="226" spans="1:12" hidden="1">
      <c r="A226" s="72">
        <v>46057</v>
      </c>
      <c r="B226" s="73"/>
      <c r="C226" s="74" t="str">
        <f>IF(Tabla13[[#This Row],[Fecha]]="","",TEXT(Tabla13[[#This Row],[Fecha]],"mmmm"))</f>
        <v>febrero</v>
      </c>
      <c r="D226" s="75">
        <v>0.46944444444444444</v>
      </c>
      <c r="E226" s="75">
        <v>0.47361111111111109</v>
      </c>
      <c r="F226" s="71">
        <f>HOUR(Tabla13[[#This Row],[Hora fin ]]-Tabla13[[#This Row],[Hora inicio]])+MINUTE(Tabla13[[#This Row],[Hora fin ]]-Tabla13[[#This Row],[Hora inicio]])/60</f>
        <v>0.1</v>
      </c>
      <c r="G226" s="60" t="s">
        <v>10</v>
      </c>
      <c r="H226" s="60" t="s">
        <v>20</v>
      </c>
      <c r="I226" s="60" t="s">
        <v>24</v>
      </c>
      <c r="J226" s="60" t="s">
        <v>327</v>
      </c>
      <c r="K226" s="57" t="s">
        <v>486</v>
      </c>
      <c r="L226" s="75"/>
    </row>
    <row r="227" spans="1:12" hidden="1">
      <c r="A227" s="72">
        <v>46057</v>
      </c>
      <c r="B227" s="73"/>
      <c r="C227" s="74" t="str">
        <f>IF(Tabla13[[#This Row],[Fecha]]="","",TEXT(Tabla13[[#This Row],[Fecha]],"mmmm"))</f>
        <v>febrero</v>
      </c>
      <c r="D227" s="75">
        <v>0.49652777777777779</v>
      </c>
      <c r="E227" s="75">
        <v>0.51388888888888884</v>
      </c>
      <c r="F227" s="71">
        <f>HOUR(Tabla13[[#This Row],[Hora fin ]]-Tabla13[[#This Row],[Hora inicio]])+MINUTE(Tabla13[[#This Row],[Hora fin ]]-Tabla13[[#This Row],[Hora inicio]])/60</f>
        <v>0.41666666666666669</v>
      </c>
      <c r="G227" s="60" t="s">
        <v>4</v>
      </c>
      <c r="H227" s="60" t="s">
        <v>5</v>
      </c>
      <c r="I227" s="60" t="s">
        <v>258</v>
      </c>
      <c r="J227" s="60" t="s">
        <v>359</v>
      </c>
      <c r="K227" s="58" t="s">
        <v>400</v>
      </c>
      <c r="L227" s="75"/>
    </row>
    <row r="228" spans="1:12" ht="30" hidden="1">
      <c r="A228" s="72">
        <v>46057</v>
      </c>
      <c r="B228" s="73"/>
      <c r="C228" s="74" t="str">
        <f>IF(Tabla13[[#This Row],[Fecha]]="","",TEXT(Tabla13[[#This Row],[Fecha]],"mmmm"))</f>
        <v>febrero</v>
      </c>
      <c r="D228" s="75">
        <v>0.71666666666666667</v>
      </c>
      <c r="E228" s="75">
        <v>0.80694444444444446</v>
      </c>
      <c r="F228" s="71">
        <f>HOUR(Tabla13[[#This Row],[Hora fin ]]-Tabla13[[#This Row],[Hora inicio]])+MINUTE(Tabla13[[#This Row],[Hora fin ]]-Tabla13[[#This Row],[Hora inicio]])/60</f>
        <v>2.1666666666666665</v>
      </c>
      <c r="G228" s="60" t="s">
        <v>4</v>
      </c>
      <c r="H228" s="60" t="s">
        <v>16</v>
      </c>
      <c r="I228" s="60" t="s">
        <v>17</v>
      </c>
      <c r="J228" s="60" t="s">
        <v>290</v>
      </c>
      <c r="K228" s="57" t="s">
        <v>487</v>
      </c>
      <c r="L228" s="75"/>
    </row>
    <row r="229" spans="1:12" hidden="1">
      <c r="A229" s="72">
        <v>46057</v>
      </c>
      <c r="B229" s="73"/>
      <c r="C229" s="74" t="str">
        <f>IF(Tabla13[[#This Row],[Fecha]]="","",TEXT(Tabla13[[#This Row],[Fecha]],"mmmm"))</f>
        <v>febrero</v>
      </c>
      <c r="D229" s="75">
        <v>0.89236111111111116</v>
      </c>
      <c r="E229" s="75">
        <v>0.89652777777777781</v>
      </c>
      <c r="F229" s="71">
        <f>HOUR(Tabla13[[#This Row],[Hora fin ]]-Tabla13[[#This Row],[Hora inicio]])+MINUTE(Tabla13[[#This Row],[Hora fin ]]-Tabla13[[#This Row],[Hora inicio]])/60</f>
        <v>0.1</v>
      </c>
      <c r="G229" s="60" t="s">
        <v>4</v>
      </c>
      <c r="H229" s="60" t="s">
        <v>5</v>
      </c>
      <c r="I229" s="60" t="s">
        <v>258</v>
      </c>
      <c r="J229" s="60" t="s">
        <v>359</v>
      </c>
      <c r="K229" s="58" t="s">
        <v>400</v>
      </c>
      <c r="L229" s="75"/>
    </row>
    <row r="230" spans="1:12" hidden="1">
      <c r="A230" s="72">
        <v>46058</v>
      </c>
      <c r="B230" s="73"/>
      <c r="C230" s="74" t="str">
        <f>IF(Tabla13[[#This Row],[Fecha]]="","",TEXT(Tabla13[[#This Row],[Fecha]],"mmmm"))</f>
        <v>febrero</v>
      </c>
      <c r="D230" s="75">
        <v>0.41944444444444445</v>
      </c>
      <c r="E230" s="75">
        <v>0.42638888888888887</v>
      </c>
      <c r="F230" s="71">
        <f>HOUR(Tabla13[[#This Row],[Hora fin ]]-Tabla13[[#This Row],[Hora inicio]])+MINUTE(Tabla13[[#This Row],[Hora fin ]]-Tabla13[[#This Row],[Hora inicio]])/60</f>
        <v>0.16666666666666666</v>
      </c>
      <c r="G230" s="60" t="s">
        <v>4</v>
      </c>
      <c r="H230" s="60" t="s">
        <v>5</v>
      </c>
      <c r="I230" s="60" t="s">
        <v>258</v>
      </c>
      <c r="J230" s="60" t="s">
        <v>359</v>
      </c>
      <c r="K230" s="58" t="s">
        <v>400</v>
      </c>
      <c r="L230" s="75"/>
    </row>
    <row r="231" spans="1:12" hidden="1">
      <c r="A231" s="72">
        <v>46058</v>
      </c>
      <c r="B231" s="73"/>
      <c r="C231" s="74" t="str">
        <f>IF(Tabla13[[#This Row],[Fecha]]="","",TEXT(Tabla13[[#This Row],[Fecha]],"mmmm"))</f>
        <v>febrero</v>
      </c>
      <c r="D231" s="75">
        <v>0.43472222222222223</v>
      </c>
      <c r="E231" s="75">
        <v>0.44722222222222224</v>
      </c>
      <c r="F231" s="71">
        <f>HOUR(Tabla13[[#This Row],[Hora fin ]]-Tabla13[[#This Row],[Hora inicio]])+MINUTE(Tabla13[[#This Row],[Hora fin ]]-Tabla13[[#This Row],[Hora inicio]])/60</f>
        <v>0.3</v>
      </c>
      <c r="G231" s="60" t="s">
        <v>10</v>
      </c>
      <c r="H231" s="60" t="s">
        <v>30</v>
      </c>
      <c r="I231" s="60" t="s">
        <v>12</v>
      </c>
      <c r="J231" s="60" t="s">
        <v>270</v>
      </c>
      <c r="K231" s="57" t="s">
        <v>401</v>
      </c>
      <c r="L231" s="75"/>
    </row>
    <row r="232" spans="1:12" hidden="1">
      <c r="A232" s="72">
        <v>46058</v>
      </c>
      <c r="B232" s="73"/>
      <c r="C232" s="74" t="str">
        <f>IF(Tabla13[[#This Row],[Fecha]]="","",TEXT(Tabla13[[#This Row],[Fecha]],"mmmm"))</f>
        <v>febrero</v>
      </c>
      <c r="D232" s="75">
        <v>0.51597222222222228</v>
      </c>
      <c r="E232" s="75">
        <v>0.55138888888888893</v>
      </c>
      <c r="F232" s="71">
        <f>HOUR(Tabla13[[#This Row],[Hora fin ]]-Tabla13[[#This Row],[Hora inicio]])+MINUTE(Tabla13[[#This Row],[Hora fin ]]-Tabla13[[#This Row],[Hora inicio]])/60</f>
        <v>0.85</v>
      </c>
      <c r="G232" s="60" t="s">
        <v>10</v>
      </c>
      <c r="H232" s="60" t="s">
        <v>30</v>
      </c>
      <c r="I232" s="60" t="s">
        <v>12</v>
      </c>
      <c r="J232" s="60" t="s">
        <v>270</v>
      </c>
      <c r="K232" s="57" t="s">
        <v>401</v>
      </c>
      <c r="L232" s="75"/>
    </row>
    <row r="233" spans="1:12" hidden="1">
      <c r="A233" s="72">
        <v>46058</v>
      </c>
      <c r="B233" s="73"/>
      <c r="C233" s="74" t="str">
        <f>IF(Tabla13[[#This Row],[Fecha]]="","",TEXT(Tabla13[[#This Row],[Fecha]],"mmmm"))</f>
        <v>febrero</v>
      </c>
      <c r="D233" s="75">
        <v>0.8979166666666667</v>
      </c>
      <c r="E233" s="75">
        <v>0.94305555555555554</v>
      </c>
      <c r="F233" s="71">
        <f>HOUR(Tabla13[[#This Row],[Hora fin ]]-Tabla13[[#This Row],[Hora inicio]])+MINUTE(Tabla13[[#This Row],[Hora fin ]]-Tabla13[[#This Row],[Hora inicio]])/60</f>
        <v>1.0833333333333333</v>
      </c>
      <c r="G233" s="60" t="s">
        <v>10</v>
      </c>
      <c r="H233" s="60" t="s">
        <v>30</v>
      </c>
      <c r="I233" s="60" t="s">
        <v>12</v>
      </c>
      <c r="J233" s="60" t="s">
        <v>270</v>
      </c>
      <c r="K233" s="57" t="s">
        <v>401</v>
      </c>
      <c r="L233" s="75"/>
    </row>
    <row r="234" spans="1:12" hidden="1">
      <c r="A234" s="72">
        <v>46059</v>
      </c>
      <c r="B234" s="73"/>
      <c r="C234" s="74" t="str">
        <f>IF(Tabla13[[#This Row],[Fecha]]="","",TEXT(Tabla13[[#This Row],[Fecha]],"mmmm"))</f>
        <v>febrero</v>
      </c>
      <c r="D234" s="75">
        <v>6.5277777777777782E-2</v>
      </c>
      <c r="E234" s="75">
        <v>8.4722222222222227E-2</v>
      </c>
      <c r="F234" s="71">
        <f>HOUR(Tabla13[[#This Row],[Hora fin ]]-Tabla13[[#This Row],[Hora inicio]])+MINUTE(Tabla13[[#This Row],[Hora fin ]]-Tabla13[[#This Row],[Hora inicio]])/60</f>
        <v>0.46666666666666667</v>
      </c>
      <c r="G234" s="60" t="s">
        <v>10</v>
      </c>
      <c r="H234" s="60" t="s">
        <v>30</v>
      </c>
      <c r="I234" s="60" t="s">
        <v>12</v>
      </c>
      <c r="J234" s="60" t="s">
        <v>270</v>
      </c>
      <c r="K234" s="57" t="s">
        <v>401</v>
      </c>
      <c r="L234" s="75"/>
    </row>
    <row r="235" spans="1:12" hidden="1">
      <c r="A235" s="72">
        <v>46059</v>
      </c>
      <c r="B235" s="73"/>
      <c r="C235" s="74" t="str">
        <f>IF(Tabla13[[#This Row],[Fecha]]="","",TEXT(Tabla13[[#This Row],[Fecha]],"mmmm"))</f>
        <v>febrero</v>
      </c>
      <c r="D235" s="75">
        <v>0.68819444444444444</v>
      </c>
      <c r="E235" s="75">
        <v>0.69305555555555554</v>
      </c>
      <c r="F235" s="71">
        <f>HOUR(Tabla13[[#This Row],[Hora fin ]]-Tabla13[[#This Row],[Hora inicio]])+MINUTE(Tabla13[[#This Row],[Hora fin ]]-Tabla13[[#This Row],[Hora inicio]])/60</f>
        <v>0.11666666666666667</v>
      </c>
      <c r="G235" s="60" t="s">
        <v>4</v>
      </c>
      <c r="H235" s="60" t="s">
        <v>5</v>
      </c>
      <c r="I235" s="60" t="s">
        <v>258</v>
      </c>
      <c r="J235" s="60" t="s">
        <v>359</v>
      </c>
      <c r="K235" s="58" t="s">
        <v>400</v>
      </c>
      <c r="L235" s="75"/>
    </row>
    <row r="236" spans="1:12" hidden="1">
      <c r="A236" s="72">
        <v>46059</v>
      </c>
      <c r="B236" s="73"/>
      <c r="C236" s="74" t="str">
        <f>IF(Tabla13[[#This Row],[Fecha]]="","",TEXT(Tabla13[[#This Row],[Fecha]],"mmmm"))</f>
        <v>febrero</v>
      </c>
      <c r="D236" s="75">
        <v>0.69930555555555551</v>
      </c>
      <c r="E236" s="75">
        <v>0.70277777777777772</v>
      </c>
      <c r="F236" s="71">
        <f>HOUR(Tabla13[[#This Row],[Hora fin ]]-Tabla13[[#This Row],[Hora inicio]])+MINUTE(Tabla13[[#This Row],[Hora fin ]]-Tabla13[[#This Row],[Hora inicio]])/60</f>
        <v>8.3333333333333329E-2</v>
      </c>
      <c r="G236" s="60" t="s">
        <v>4</v>
      </c>
      <c r="H236" s="60" t="s">
        <v>5</v>
      </c>
      <c r="I236" s="60" t="s">
        <v>258</v>
      </c>
      <c r="J236" s="60" t="s">
        <v>359</v>
      </c>
      <c r="K236" s="58" t="s">
        <v>400</v>
      </c>
      <c r="L236" s="75"/>
    </row>
    <row r="237" spans="1:12" hidden="1">
      <c r="A237" s="72">
        <v>46059</v>
      </c>
      <c r="B237" s="73"/>
      <c r="C237" s="74" t="str">
        <f>IF(Tabla13[[#This Row],[Fecha]]="","",TEXT(Tabla13[[#This Row],[Fecha]],"mmmm"))</f>
        <v>febrero</v>
      </c>
      <c r="D237" s="75">
        <v>0.75</v>
      </c>
      <c r="E237" s="75">
        <v>0.76527777777777772</v>
      </c>
      <c r="F237" s="71">
        <f>HOUR(Tabla13[[#This Row],[Hora fin ]]-Tabla13[[#This Row],[Hora inicio]])+MINUTE(Tabla13[[#This Row],[Hora fin ]]-Tabla13[[#This Row],[Hora inicio]])/60</f>
        <v>0.36666666666666664</v>
      </c>
      <c r="G237" s="60" t="s">
        <v>10</v>
      </c>
      <c r="H237" s="60" t="s">
        <v>25</v>
      </c>
      <c r="I237" s="60" t="s">
        <v>19</v>
      </c>
      <c r="J237" s="60" t="s">
        <v>306</v>
      </c>
      <c r="K237" s="57" t="s">
        <v>488</v>
      </c>
      <c r="L237" s="75"/>
    </row>
    <row r="238" spans="1:12" ht="30" hidden="1">
      <c r="A238" s="72">
        <v>46059</v>
      </c>
      <c r="B238" s="73"/>
      <c r="C238" s="74" t="str">
        <f>IF(Tabla13[[#This Row],[Fecha]]="","",TEXT(Tabla13[[#This Row],[Fecha]],"mmmm"))</f>
        <v>febrero</v>
      </c>
      <c r="D238" s="75">
        <v>0.7944444444444444</v>
      </c>
      <c r="E238" s="75">
        <v>4.9972222222222218</v>
      </c>
      <c r="F238" s="71">
        <f>HOUR(Tabla13[[#This Row],[Hora fin ]]-Tabla13[[#This Row],[Hora inicio]])+MINUTE(Tabla13[[#This Row],[Hora fin ]]-Tabla13[[#This Row],[Hora inicio]])/60</f>
        <v>4.8666666666666671</v>
      </c>
      <c r="G238" s="60" t="s">
        <v>10</v>
      </c>
      <c r="H238" s="60" t="s">
        <v>26</v>
      </c>
      <c r="I238" s="60" t="s">
        <v>24</v>
      </c>
      <c r="J238" s="60" t="s">
        <v>329</v>
      </c>
      <c r="K238" s="57" t="s">
        <v>489</v>
      </c>
      <c r="L238" s="75"/>
    </row>
    <row r="239" spans="1:12" hidden="1">
      <c r="A239" s="72">
        <v>46060</v>
      </c>
      <c r="B239" s="73"/>
      <c r="C239" s="74" t="str">
        <f>IF(Tabla13[[#This Row],[Fecha]]="","",TEXT(Tabla13[[#This Row],[Fecha]],"mmmm"))</f>
        <v>febrero</v>
      </c>
      <c r="D239" s="75">
        <v>4.791666666666667E-2</v>
      </c>
      <c r="E239" s="75">
        <v>0.05</v>
      </c>
      <c r="F239" s="71">
        <f>HOUR(Tabla13[[#This Row],[Hora fin ]]-Tabla13[[#This Row],[Hora inicio]])+MINUTE(Tabla13[[#This Row],[Hora fin ]]-Tabla13[[#This Row],[Hora inicio]])/60</f>
        <v>0.05</v>
      </c>
      <c r="G239" s="60" t="s">
        <v>4</v>
      </c>
      <c r="H239" s="60" t="s">
        <v>5</v>
      </c>
      <c r="I239" s="60" t="s">
        <v>258</v>
      </c>
      <c r="J239" s="60" t="s">
        <v>359</v>
      </c>
      <c r="K239" s="58" t="s">
        <v>400</v>
      </c>
      <c r="L239" s="75"/>
    </row>
    <row r="240" spans="1:12" ht="30" hidden="1">
      <c r="A240" s="72">
        <v>46060</v>
      </c>
      <c r="B240" s="73"/>
      <c r="C240" s="74" t="str">
        <f>IF(Tabla13[[#This Row],[Fecha]]="","",TEXT(Tabla13[[#This Row],[Fecha]],"mmmm"))</f>
        <v>febrero</v>
      </c>
      <c r="D240" s="75">
        <v>0.46319444444444446</v>
      </c>
      <c r="E240" s="75">
        <v>0.47361111111111109</v>
      </c>
      <c r="F240" s="71">
        <f>HOUR(Tabla13[[#This Row],[Hora fin ]]-Tabla13[[#This Row],[Hora inicio]])+MINUTE(Tabla13[[#This Row],[Hora fin ]]-Tabla13[[#This Row],[Hora inicio]])/60</f>
        <v>0.25</v>
      </c>
      <c r="G240" s="60" t="s">
        <v>4</v>
      </c>
      <c r="H240" s="60" t="s">
        <v>16</v>
      </c>
      <c r="I240" s="60" t="s">
        <v>21</v>
      </c>
      <c r="J240" s="60" t="s">
        <v>339</v>
      </c>
      <c r="K240" s="57" t="s">
        <v>490</v>
      </c>
      <c r="L240" s="75"/>
    </row>
    <row r="241" spans="1:12" hidden="1">
      <c r="A241" s="72">
        <v>46062</v>
      </c>
      <c r="B241" s="73"/>
      <c r="C241" s="74" t="str">
        <f>IF(Tabla13[[#This Row],[Fecha]]="","",TEXT(Tabla13[[#This Row],[Fecha]],"mmmm"))</f>
        <v>febrero</v>
      </c>
      <c r="D241" s="75">
        <v>0.29166666666666669</v>
      </c>
      <c r="E241" s="75">
        <v>0.625</v>
      </c>
      <c r="F241" s="71">
        <f>HOUR(Tabla13[[#This Row],[Hora fin ]]-Tabla13[[#This Row],[Hora inicio]])+MINUTE(Tabla13[[#This Row],[Hora fin ]]-Tabla13[[#This Row],[Hora inicio]])/60</f>
        <v>8</v>
      </c>
      <c r="G241" s="60" t="s">
        <v>4</v>
      </c>
      <c r="H241" s="60" t="s">
        <v>16</v>
      </c>
      <c r="I241" s="60" t="s">
        <v>6</v>
      </c>
      <c r="J241" s="60" t="s">
        <v>16</v>
      </c>
      <c r="K241" s="57" t="s">
        <v>440</v>
      </c>
      <c r="L241" s="75"/>
    </row>
    <row r="242" spans="1:12" hidden="1">
      <c r="A242" s="72">
        <v>46063</v>
      </c>
      <c r="B242" s="73"/>
      <c r="C242" s="74" t="str">
        <f>IF(Tabla13[[#This Row],[Fecha]]="","",TEXT(Tabla13[[#This Row],[Fecha]],"mmmm"))</f>
        <v>febrero</v>
      </c>
      <c r="D242" s="75">
        <v>0.4909722222222222</v>
      </c>
      <c r="E242" s="75">
        <v>0.5</v>
      </c>
      <c r="F242" s="71">
        <f>HOUR(Tabla13[[#This Row],[Hora fin ]]-Tabla13[[#This Row],[Hora inicio]])+MINUTE(Tabla13[[#This Row],[Hora fin ]]-Tabla13[[#This Row],[Hora inicio]])/60</f>
        <v>0.21666666666666667</v>
      </c>
      <c r="G242" s="60" t="s">
        <v>10</v>
      </c>
      <c r="H242" s="60" t="s">
        <v>30</v>
      </c>
      <c r="I242" s="60" t="s">
        <v>17</v>
      </c>
      <c r="J242" s="60" t="s">
        <v>291</v>
      </c>
      <c r="K242" s="57" t="s">
        <v>491</v>
      </c>
      <c r="L242" s="75"/>
    </row>
    <row r="243" spans="1:12" hidden="1">
      <c r="A243" s="72">
        <v>46063</v>
      </c>
      <c r="B243" s="73"/>
      <c r="C243" s="74" t="str">
        <f>IF(Tabla13[[#This Row],[Fecha]]="","",TEXT(Tabla13[[#This Row],[Fecha]],"mmmm"))</f>
        <v>febrero</v>
      </c>
      <c r="D243" s="75">
        <v>0.50624999999999998</v>
      </c>
      <c r="E243" s="75">
        <v>0.54374999999999996</v>
      </c>
      <c r="F243" s="71">
        <f>HOUR(Tabla13[[#This Row],[Hora fin ]]-Tabla13[[#This Row],[Hora inicio]])+MINUTE(Tabla13[[#This Row],[Hora fin ]]-Tabla13[[#This Row],[Hora inicio]])/60</f>
        <v>0.9</v>
      </c>
      <c r="G243" s="60" t="s">
        <v>10</v>
      </c>
      <c r="H243" s="60" t="s">
        <v>20</v>
      </c>
      <c r="I243" s="60" t="s">
        <v>17</v>
      </c>
      <c r="J243" s="60" t="s">
        <v>290</v>
      </c>
      <c r="K243" s="57" t="s">
        <v>492</v>
      </c>
      <c r="L243" s="75"/>
    </row>
    <row r="244" spans="1:12" hidden="1">
      <c r="A244" s="72">
        <v>46064</v>
      </c>
      <c r="B244" s="87"/>
      <c r="C244" s="74" t="str">
        <f>IF(Tabla13[[#This Row],[Fecha]]="","",TEXT(Tabla13[[#This Row],[Fecha]],"mmmm"))</f>
        <v>febrero</v>
      </c>
      <c r="D244" s="75">
        <v>0.53472222222222221</v>
      </c>
      <c r="E244" s="75">
        <v>0.54374999999999996</v>
      </c>
      <c r="F244" s="71">
        <f>HOUR(Tabla13[[#This Row],[Hora fin ]]-Tabla13[[#This Row],[Hora inicio]])+MINUTE(Tabla13[[#This Row],[Hora fin ]]-Tabla13[[#This Row],[Hora inicio]])/60</f>
        <v>0.21666666666666667</v>
      </c>
      <c r="G244" s="60" t="s">
        <v>10</v>
      </c>
      <c r="H244" s="60" t="s">
        <v>30</v>
      </c>
      <c r="I244" s="60" t="s">
        <v>12</v>
      </c>
      <c r="J244" s="60" t="s">
        <v>270</v>
      </c>
      <c r="K244" s="57" t="s">
        <v>401</v>
      </c>
      <c r="L244" s="75"/>
    </row>
    <row r="245" spans="1:12" hidden="1">
      <c r="A245" s="72">
        <v>46064</v>
      </c>
      <c r="B245" s="87"/>
      <c r="C245" s="74" t="str">
        <f>IF(Tabla13[[#This Row],[Fecha]]="","",TEXT(Tabla13[[#This Row],[Fecha]],"mmmm"))</f>
        <v>febrero</v>
      </c>
      <c r="D245" s="75">
        <v>0.60416666666666663</v>
      </c>
      <c r="E245" s="75">
        <v>0.6069444444444444</v>
      </c>
      <c r="F245" s="71">
        <f>HOUR(Tabla13[[#This Row],[Hora fin ]]-Tabla13[[#This Row],[Hora inicio]])+MINUTE(Tabla13[[#This Row],[Hora fin ]]-Tabla13[[#This Row],[Hora inicio]])/60</f>
        <v>6.6666666666666666E-2</v>
      </c>
      <c r="G245" s="60" t="s">
        <v>4</v>
      </c>
      <c r="H245" s="60" t="s">
        <v>5</v>
      </c>
      <c r="I245" s="60" t="s">
        <v>258</v>
      </c>
      <c r="J245" s="60" t="s">
        <v>359</v>
      </c>
      <c r="K245" s="58" t="s">
        <v>400</v>
      </c>
      <c r="L245" s="75"/>
    </row>
    <row r="246" spans="1:12" hidden="1">
      <c r="A246" s="72">
        <v>46064</v>
      </c>
      <c r="B246" s="73"/>
      <c r="C246" s="74" t="str">
        <f>IF(Tabla13[[#This Row],[Fecha]]="","",TEXT(Tabla13[[#This Row],[Fecha]],"mmmm"))</f>
        <v>febrero</v>
      </c>
      <c r="D246" s="75">
        <v>0.6166666666666667</v>
      </c>
      <c r="E246" s="75">
        <v>0.62013888888888891</v>
      </c>
      <c r="F246" s="71">
        <f>HOUR(Tabla13[[#This Row],[Hora fin ]]-Tabla13[[#This Row],[Hora inicio]])+MINUTE(Tabla13[[#This Row],[Hora fin ]]-Tabla13[[#This Row],[Hora inicio]])/60</f>
        <v>8.3333333333333329E-2</v>
      </c>
      <c r="G246" s="60" t="s">
        <v>10</v>
      </c>
      <c r="H246" s="60" t="s">
        <v>30</v>
      </c>
      <c r="I246" s="60" t="s">
        <v>12</v>
      </c>
      <c r="J246" s="60" t="s">
        <v>270</v>
      </c>
      <c r="K246" s="57" t="s">
        <v>401</v>
      </c>
      <c r="L246" s="75"/>
    </row>
    <row r="247" spans="1:12" hidden="1">
      <c r="A247" s="72">
        <v>46064</v>
      </c>
      <c r="B247" s="73"/>
      <c r="C247" s="74" t="str">
        <f>IF(Tabla13[[#This Row],[Fecha]]="","",TEXT(Tabla13[[#This Row],[Fecha]],"mmmm"))</f>
        <v>febrero</v>
      </c>
      <c r="D247" s="75">
        <v>0.69027777777777777</v>
      </c>
      <c r="E247" s="75">
        <v>0.72291666666666665</v>
      </c>
      <c r="F247" s="71">
        <f>HOUR(Tabla13[[#This Row],[Hora fin ]]-Tabla13[[#This Row],[Hora inicio]])+MINUTE(Tabla13[[#This Row],[Hora fin ]]-Tabla13[[#This Row],[Hora inicio]])/60</f>
        <v>0.78333333333333333</v>
      </c>
      <c r="G247" s="60" t="s">
        <v>10</v>
      </c>
      <c r="H247" s="60" t="s">
        <v>30</v>
      </c>
      <c r="I247" s="60" t="s">
        <v>12</v>
      </c>
      <c r="J247" s="60" t="s">
        <v>270</v>
      </c>
      <c r="K247" s="57" t="s">
        <v>401</v>
      </c>
      <c r="L247" s="75"/>
    </row>
    <row r="248" spans="1:12" hidden="1">
      <c r="A248" s="72">
        <v>46064</v>
      </c>
      <c r="B248" s="73"/>
      <c r="C248" s="74" t="str">
        <f>IF(Tabla13[[#This Row],[Fecha]]="","",TEXT(Tabla13[[#This Row],[Fecha]],"mmmm"))</f>
        <v>febrero</v>
      </c>
      <c r="D248" s="75">
        <v>0.8569444444444444</v>
      </c>
      <c r="E248" s="75">
        <v>0.87361111111111112</v>
      </c>
      <c r="F248" s="71">
        <f>HOUR(Tabla13[[#This Row],[Hora fin ]]-Tabla13[[#This Row],[Hora inicio]])+MINUTE(Tabla13[[#This Row],[Hora fin ]]-Tabla13[[#This Row],[Hora inicio]])/60</f>
        <v>0.4</v>
      </c>
      <c r="G248" s="60" t="s">
        <v>10</v>
      </c>
      <c r="H248" s="60" t="s">
        <v>30</v>
      </c>
      <c r="I248" s="60" t="s">
        <v>12</v>
      </c>
      <c r="J248" s="60" t="s">
        <v>270</v>
      </c>
      <c r="K248" s="57" t="s">
        <v>401</v>
      </c>
      <c r="L248" s="75"/>
    </row>
    <row r="249" spans="1:12" hidden="1">
      <c r="A249" s="72">
        <v>46064</v>
      </c>
      <c r="B249" s="73"/>
      <c r="C249" s="74" t="str">
        <f>IF(Tabla13[[#This Row],[Fecha]]="","",TEXT(Tabla13[[#This Row],[Fecha]],"mmmm"))</f>
        <v>febrero</v>
      </c>
      <c r="D249" s="75">
        <v>0.93402777777777779</v>
      </c>
      <c r="E249" s="75">
        <v>0.94722222222222219</v>
      </c>
      <c r="F249" s="71">
        <f>HOUR(Tabla13[[#This Row],[Hora fin ]]-Tabla13[[#This Row],[Hora inicio]])+MINUTE(Tabla13[[#This Row],[Hora fin ]]-Tabla13[[#This Row],[Hora inicio]])/60</f>
        <v>0.31666666666666665</v>
      </c>
      <c r="G249" s="60" t="s">
        <v>10</v>
      </c>
      <c r="H249" s="60" t="s">
        <v>30</v>
      </c>
      <c r="I249" s="60" t="s">
        <v>12</v>
      </c>
      <c r="J249" s="60" t="s">
        <v>270</v>
      </c>
      <c r="K249" s="57" t="s">
        <v>401</v>
      </c>
      <c r="L249" s="75"/>
    </row>
    <row r="250" spans="1:12" hidden="1">
      <c r="A250" s="72">
        <v>46064</v>
      </c>
      <c r="B250" s="73"/>
      <c r="C250" s="74" t="str">
        <f>IF(Tabla13[[#This Row],[Fecha]]="","",TEXT(Tabla13[[#This Row],[Fecha]],"mmmm"))</f>
        <v>febrero</v>
      </c>
      <c r="D250" s="75">
        <v>0.94791666666666663</v>
      </c>
      <c r="E250" s="75">
        <v>2249</v>
      </c>
      <c r="F250" s="71">
        <f>HOUR(Tabla13[[#This Row],[Hora fin ]]-Tabla13[[#This Row],[Hora inicio]])+MINUTE(Tabla13[[#This Row],[Hora fin ]]-Tabla13[[#This Row],[Hora inicio]])/60</f>
        <v>1.25</v>
      </c>
      <c r="G250" s="60" t="s">
        <v>4</v>
      </c>
      <c r="H250" s="60" t="s">
        <v>5</v>
      </c>
      <c r="I250" s="60" t="s">
        <v>258</v>
      </c>
      <c r="J250" s="60" t="s">
        <v>359</v>
      </c>
      <c r="K250" s="58" t="s">
        <v>400</v>
      </c>
      <c r="L250" s="75"/>
    </row>
    <row r="251" spans="1:12" ht="30" hidden="1">
      <c r="A251" s="72">
        <v>46065</v>
      </c>
      <c r="B251" s="73"/>
      <c r="C251" s="74" t="str">
        <f>IF(Tabla13[[#This Row],[Fecha]]="","",TEXT(Tabla13[[#This Row],[Fecha]],"mmmm"))</f>
        <v>febrero</v>
      </c>
      <c r="D251" s="75">
        <v>0.29166666666666669</v>
      </c>
      <c r="E251" s="75">
        <v>0.95833333333333337</v>
      </c>
      <c r="F251" s="71">
        <f>HOUR(Tabla13[[#This Row],[Hora fin ]]-Tabla13[[#This Row],[Hora inicio]])+MINUTE(Tabla13[[#This Row],[Hora fin ]]-Tabla13[[#This Row],[Hora inicio]])/60</f>
        <v>16</v>
      </c>
      <c r="G251" s="60" t="s">
        <v>10</v>
      </c>
      <c r="H251" s="60" t="s">
        <v>25</v>
      </c>
      <c r="I251" s="60" t="s">
        <v>6</v>
      </c>
      <c r="J251" s="60" t="s">
        <v>364</v>
      </c>
      <c r="K251" s="57" t="s">
        <v>502</v>
      </c>
      <c r="L251" s="75"/>
    </row>
    <row r="252" spans="1:12" ht="30" hidden="1">
      <c r="A252" s="72">
        <v>46066</v>
      </c>
      <c r="B252" s="73"/>
      <c r="C252" s="74" t="str">
        <f>IF(Tabla13[[#This Row],[Fecha]]="","",TEXT(Tabla13[[#This Row],[Fecha]],"mmmm"))</f>
        <v>febrero</v>
      </c>
      <c r="D252" s="75">
        <v>0.29166666666666669</v>
      </c>
      <c r="E252" s="75">
        <v>0.95833333333333337</v>
      </c>
      <c r="F252" s="71">
        <f>HOUR(Tabla13[[#This Row],[Hora fin ]]-Tabla13[[#This Row],[Hora inicio]])+MINUTE(Tabla13[[#This Row],[Hora fin ]]-Tabla13[[#This Row],[Hora inicio]])/60</f>
        <v>16</v>
      </c>
      <c r="G252" s="60" t="s">
        <v>10</v>
      </c>
      <c r="H252" s="60" t="s">
        <v>25</v>
      </c>
      <c r="I252" s="60" t="s">
        <v>6</v>
      </c>
      <c r="J252" s="60" t="s">
        <v>365</v>
      </c>
      <c r="K252" s="57" t="s">
        <v>502</v>
      </c>
      <c r="L252" s="75"/>
    </row>
    <row r="253" spans="1:12" ht="30" hidden="1">
      <c r="A253" s="72">
        <v>46067</v>
      </c>
      <c r="B253" s="73"/>
      <c r="C253" s="74" t="str">
        <f>IF(Tabla13[[#This Row],[Fecha]]="","",TEXT(Tabla13[[#This Row],[Fecha]],"mmmm"))</f>
        <v>febrero</v>
      </c>
      <c r="D253" s="75">
        <v>0.44027777777777777</v>
      </c>
      <c r="E253" s="75">
        <v>0.4465277777777778</v>
      </c>
      <c r="F253" s="71">
        <f>HOUR(Tabla13[[#This Row],[Hora fin ]]-Tabla13[[#This Row],[Hora inicio]])+MINUTE(Tabla13[[#This Row],[Hora fin ]]-Tabla13[[#This Row],[Hora inicio]])/60</f>
        <v>0.15</v>
      </c>
      <c r="G253" s="60" t="s">
        <v>10</v>
      </c>
      <c r="H253" s="60" t="s">
        <v>26</v>
      </c>
      <c r="I253" s="60" t="s">
        <v>12</v>
      </c>
      <c r="J253" s="60" t="s">
        <v>273</v>
      </c>
      <c r="K253" s="57" t="s">
        <v>493</v>
      </c>
      <c r="L253" s="75"/>
    </row>
    <row r="254" spans="1:12" hidden="1">
      <c r="A254" s="72">
        <v>46067</v>
      </c>
      <c r="B254" s="73"/>
      <c r="C254" s="74" t="str">
        <f>IF(Tabla13[[#This Row],[Fecha]]="","",TEXT(Tabla13[[#This Row],[Fecha]],"mmmm"))</f>
        <v>febrero</v>
      </c>
      <c r="D254" s="75">
        <v>0.52986111111111112</v>
      </c>
      <c r="E254" s="75">
        <v>0.56666666666666665</v>
      </c>
      <c r="F254" s="71">
        <f>HOUR(Tabla13[[#This Row],[Hora fin ]]-Tabla13[[#This Row],[Hora inicio]])+MINUTE(Tabla13[[#This Row],[Hora fin ]]-Tabla13[[#This Row],[Hora inicio]])/60</f>
        <v>0.8833333333333333</v>
      </c>
      <c r="G254" s="60" t="s">
        <v>10</v>
      </c>
      <c r="H254" s="60" t="s">
        <v>30</v>
      </c>
      <c r="I254" s="60" t="s">
        <v>12</v>
      </c>
      <c r="J254" s="60" t="s">
        <v>270</v>
      </c>
      <c r="K254" s="57" t="s">
        <v>401</v>
      </c>
      <c r="L254" s="75"/>
    </row>
    <row r="255" spans="1:12" hidden="1">
      <c r="A255" s="72">
        <v>46067</v>
      </c>
      <c r="B255" s="73"/>
      <c r="C255" s="74" t="str">
        <f>IF(Tabla13[[#This Row],[Fecha]]="","",TEXT(Tabla13[[#This Row],[Fecha]],"mmmm"))</f>
        <v>febrero</v>
      </c>
      <c r="D255" s="75">
        <v>0.87152777777777779</v>
      </c>
      <c r="E255" s="75">
        <v>0.88055555555555554</v>
      </c>
      <c r="F255" s="71">
        <f>HOUR(Tabla13[[#This Row],[Hora fin ]]-Tabla13[[#This Row],[Hora inicio]])+MINUTE(Tabla13[[#This Row],[Hora fin ]]-Tabla13[[#This Row],[Hora inicio]])/60</f>
        <v>0.21666666666666667</v>
      </c>
      <c r="G255" s="60" t="s">
        <v>10</v>
      </c>
      <c r="H255" s="60" t="s">
        <v>30</v>
      </c>
      <c r="I255" s="60" t="s">
        <v>12</v>
      </c>
      <c r="J255" s="60" t="s">
        <v>270</v>
      </c>
      <c r="K255" s="57" t="s">
        <v>401</v>
      </c>
      <c r="L255" s="75"/>
    </row>
    <row r="256" spans="1:12" hidden="1">
      <c r="A256" s="72">
        <v>46068</v>
      </c>
      <c r="B256" s="73"/>
      <c r="C256" s="74" t="str">
        <f>IF(Tabla13[[#This Row],[Fecha]]="","",TEXT(Tabla13[[#This Row],[Fecha]],"mmmm"))</f>
        <v>febrero</v>
      </c>
      <c r="D256" s="75">
        <v>0.25</v>
      </c>
      <c r="E256" s="75">
        <v>0.58333333333333337</v>
      </c>
      <c r="F256" s="71">
        <f>HOUR(Tabla13[[#This Row],[Hora fin ]]-Tabla13[[#This Row],[Hora inicio]])+MINUTE(Tabla13[[#This Row],[Hora fin ]]-Tabla13[[#This Row],[Hora inicio]])/60</f>
        <v>8</v>
      </c>
      <c r="G256" s="60" t="s">
        <v>4</v>
      </c>
      <c r="H256" s="60" t="s">
        <v>16</v>
      </c>
      <c r="I256" s="60" t="s">
        <v>6</v>
      </c>
      <c r="J256" s="60" t="s">
        <v>16</v>
      </c>
      <c r="K256" s="57" t="s">
        <v>440</v>
      </c>
      <c r="L256" s="75"/>
    </row>
    <row r="257" spans="1:12" ht="30" hidden="1">
      <c r="A257" s="72">
        <v>46069</v>
      </c>
      <c r="B257" s="73"/>
      <c r="C257" s="74" t="str">
        <f>IF(Tabla13[[#This Row],[Fecha]]="","",TEXT(Tabla13[[#This Row],[Fecha]],"mmmm"))</f>
        <v>febrero</v>
      </c>
      <c r="D257" s="75">
        <v>0.375</v>
      </c>
      <c r="E257" s="75">
        <v>0.38611111111111113</v>
      </c>
      <c r="F257" s="71">
        <f>HOUR(Tabla13[[#This Row],[Hora fin ]]-Tabla13[[#This Row],[Hora inicio]])+MINUTE(Tabla13[[#This Row],[Hora fin ]]-Tabla13[[#This Row],[Hora inicio]])/60</f>
        <v>0.26666666666666666</v>
      </c>
      <c r="G257" s="60" t="s">
        <v>10</v>
      </c>
      <c r="H257" s="60" t="s">
        <v>26</v>
      </c>
      <c r="I257" s="60" t="s">
        <v>12</v>
      </c>
      <c r="J257" s="60" t="s">
        <v>273</v>
      </c>
      <c r="K257" s="57" t="s">
        <v>482</v>
      </c>
      <c r="L257" s="75"/>
    </row>
    <row r="258" spans="1:12" hidden="1">
      <c r="A258" s="72">
        <v>46069</v>
      </c>
      <c r="B258" s="73"/>
      <c r="C258" s="74" t="str">
        <f>IF(Tabla13[[#This Row],[Fecha]]="","",TEXT(Tabla13[[#This Row],[Fecha]],"mmmm"))</f>
        <v>febrero</v>
      </c>
      <c r="D258" s="75">
        <v>0.57916666666666672</v>
      </c>
      <c r="E258" s="75">
        <v>0.58263888888888893</v>
      </c>
      <c r="F258" s="71">
        <f>HOUR(Tabla13[[#This Row],[Hora fin ]]-Tabla13[[#This Row],[Hora inicio]])+MINUTE(Tabla13[[#This Row],[Hora fin ]]-Tabla13[[#This Row],[Hora inicio]])/60</f>
        <v>8.3333333333333329E-2</v>
      </c>
      <c r="G258" s="60" t="s">
        <v>4</v>
      </c>
      <c r="H258" s="60" t="s">
        <v>5</v>
      </c>
      <c r="I258" s="60" t="s">
        <v>258</v>
      </c>
      <c r="J258" s="60" t="s">
        <v>359</v>
      </c>
      <c r="K258" s="58" t="s">
        <v>400</v>
      </c>
      <c r="L258" s="75"/>
    </row>
    <row r="259" spans="1:12" hidden="1">
      <c r="A259" s="72">
        <v>46069</v>
      </c>
      <c r="B259" s="87"/>
      <c r="C259" s="74" t="str">
        <f>IF(Tabla13[[#This Row],[Fecha]]="","",TEXT(Tabla13[[#This Row],[Fecha]],"mmmm"))</f>
        <v>febrero</v>
      </c>
      <c r="D259" s="75">
        <v>0.91736111111111107</v>
      </c>
      <c r="E259" s="75">
        <v>0.93888888888888888</v>
      </c>
      <c r="F259" s="71">
        <f>HOUR(Tabla13[[#This Row],[Hora fin ]]-Tabla13[[#This Row],[Hora inicio]])+MINUTE(Tabla13[[#This Row],[Hora fin ]]-Tabla13[[#This Row],[Hora inicio]])/60</f>
        <v>0.51666666666666672</v>
      </c>
      <c r="G259" s="60" t="s">
        <v>10</v>
      </c>
      <c r="H259" s="60" t="s">
        <v>30</v>
      </c>
      <c r="I259" s="60" t="s">
        <v>12</v>
      </c>
      <c r="J259" s="60" t="s">
        <v>270</v>
      </c>
      <c r="K259" s="57" t="s">
        <v>401</v>
      </c>
      <c r="L259" s="75"/>
    </row>
    <row r="260" spans="1:12" hidden="1">
      <c r="A260" s="72">
        <v>46070</v>
      </c>
      <c r="B260" s="73"/>
      <c r="C260" s="74" t="str">
        <f>IF(Tabla13[[#This Row],[Fecha]]="","",TEXT(Tabla13[[#This Row],[Fecha]],"mmmm"))</f>
        <v>febrero</v>
      </c>
      <c r="D260" s="75">
        <v>6.9444444444444447E-4</v>
      </c>
      <c r="E260" s="75">
        <v>1.1805555555555555E-2</v>
      </c>
      <c r="F260" s="71">
        <f>HOUR(Tabla13[[#This Row],[Hora fin ]]-Tabla13[[#This Row],[Hora inicio]])+MINUTE(Tabla13[[#This Row],[Hora fin ]]-Tabla13[[#This Row],[Hora inicio]])/60</f>
        <v>0.26666666666666666</v>
      </c>
      <c r="G260" s="60" t="s">
        <v>10</v>
      </c>
      <c r="H260" s="60" t="s">
        <v>30</v>
      </c>
      <c r="I260" s="60" t="s">
        <v>12</v>
      </c>
      <c r="J260" s="60" t="s">
        <v>270</v>
      </c>
      <c r="K260" s="57" t="s">
        <v>401</v>
      </c>
      <c r="L260" s="75"/>
    </row>
    <row r="261" spans="1:12" hidden="1">
      <c r="A261" s="72">
        <v>46070</v>
      </c>
      <c r="B261" s="73"/>
      <c r="C261" s="74" t="str">
        <f>IF(Tabla13[[#This Row],[Fecha]]="","",TEXT(Tabla13[[#This Row],[Fecha]],"mmmm"))</f>
        <v>febrero</v>
      </c>
      <c r="D261" s="75">
        <v>0.46388888888888891</v>
      </c>
      <c r="E261" s="75">
        <v>0.46666666666666667</v>
      </c>
      <c r="F261" s="71">
        <f>HOUR(Tabla13[[#This Row],[Hora fin ]]-Tabla13[[#This Row],[Hora inicio]])+MINUTE(Tabla13[[#This Row],[Hora fin ]]-Tabla13[[#This Row],[Hora inicio]])/60</f>
        <v>6.6666666666666666E-2</v>
      </c>
      <c r="G261" s="60" t="s">
        <v>10</v>
      </c>
      <c r="H261" s="60" t="s">
        <v>23</v>
      </c>
      <c r="I261" s="60" t="s">
        <v>21</v>
      </c>
      <c r="J261" s="60" t="s">
        <v>339</v>
      </c>
      <c r="K261" s="57" t="s">
        <v>494</v>
      </c>
      <c r="L261" s="75"/>
    </row>
    <row r="262" spans="1:12" hidden="1">
      <c r="A262" s="72">
        <v>46070</v>
      </c>
      <c r="B262" s="73"/>
      <c r="C262" s="74" t="str">
        <f>IF(Tabla13[[#This Row],[Fecha]]="","",TEXT(Tabla13[[#This Row],[Fecha]],"mmmm"))</f>
        <v>febrero</v>
      </c>
      <c r="D262" s="75">
        <v>0.50902777777777775</v>
      </c>
      <c r="E262" s="75">
        <v>0.63680555555555551</v>
      </c>
      <c r="F262" s="71">
        <f>HOUR(Tabla13[[#This Row],[Hora fin ]]-Tabla13[[#This Row],[Hora inicio]])+MINUTE(Tabla13[[#This Row],[Hora fin ]]-Tabla13[[#This Row],[Hora inicio]])/60</f>
        <v>3.0666666666666669</v>
      </c>
      <c r="G262" s="60" t="s">
        <v>13</v>
      </c>
      <c r="H262" s="60" t="s">
        <v>32</v>
      </c>
      <c r="I262" s="60" t="s">
        <v>9</v>
      </c>
      <c r="J262" s="60" t="s">
        <v>267</v>
      </c>
      <c r="K262" s="57" t="s">
        <v>480</v>
      </c>
      <c r="L262" s="75"/>
    </row>
    <row r="263" spans="1:12" hidden="1">
      <c r="A263" s="72">
        <v>46070</v>
      </c>
      <c r="B263" s="73"/>
      <c r="C263" s="74" t="str">
        <f>IF(Tabla13[[#This Row],[Fecha]]="","",TEXT(Tabla13[[#This Row],[Fecha]],"mmmm"))</f>
        <v>febrero</v>
      </c>
      <c r="D263" s="75">
        <v>0.70902777777777781</v>
      </c>
      <c r="E263" s="75">
        <v>0.71805555555555556</v>
      </c>
      <c r="F263" s="71">
        <f>HOUR(Tabla13[[#This Row],[Hora fin ]]-Tabla13[[#This Row],[Hora inicio]])+MINUTE(Tabla13[[#This Row],[Hora fin ]]-Tabla13[[#This Row],[Hora inicio]])/60</f>
        <v>0.21666666666666667</v>
      </c>
      <c r="G263" s="60" t="s">
        <v>4</v>
      </c>
      <c r="H263" s="60" t="s">
        <v>25</v>
      </c>
      <c r="I263" s="60" t="s">
        <v>21</v>
      </c>
      <c r="J263" s="60" t="s">
        <v>339</v>
      </c>
      <c r="K263" s="57" t="s">
        <v>495</v>
      </c>
      <c r="L263" s="75"/>
    </row>
    <row r="264" spans="1:12" hidden="1">
      <c r="A264" s="72">
        <v>46070</v>
      </c>
      <c r="B264" s="73"/>
      <c r="C264" s="74" t="str">
        <f>IF(Tabla13[[#This Row],[Fecha]]="","",TEXT(Tabla13[[#This Row],[Fecha]],"mmmm"))</f>
        <v>febrero</v>
      </c>
      <c r="D264" s="75">
        <v>0.84722222222222221</v>
      </c>
      <c r="E264" s="75">
        <v>0.85486111111111107</v>
      </c>
      <c r="F264" s="71">
        <f>HOUR(Tabla13[[#This Row],[Hora fin ]]-Tabla13[[#This Row],[Hora inicio]])+MINUTE(Tabla13[[#This Row],[Hora fin ]]-Tabla13[[#This Row],[Hora inicio]])/60</f>
        <v>0.18333333333333332</v>
      </c>
      <c r="G264" s="60" t="s">
        <v>4</v>
      </c>
      <c r="H264" s="60" t="s">
        <v>5</v>
      </c>
      <c r="I264" s="60" t="s">
        <v>258</v>
      </c>
      <c r="J264" s="60" t="s">
        <v>359</v>
      </c>
      <c r="K264" s="58" t="s">
        <v>400</v>
      </c>
      <c r="L264" s="75"/>
    </row>
    <row r="265" spans="1:12" hidden="1">
      <c r="A265" s="72">
        <v>46070</v>
      </c>
      <c r="B265" s="73"/>
      <c r="C265" s="74" t="str">
        <f>IF(Tabla13[[#This Row],[Fecha]]="","",TEXT(Tabla13[[#This Row],[Fecha]],"mmmm"))</f>
        <v>febrero</v>
      </c>
      <c r="D265" s="75">
        <v>0.8618055555555556</v>
      </c>
      <c r="E265" s="75">
        <v>0.86527777777777781</v>
      </c>
      <c r="F265" s="71">
        <f>HOUR(Tabla13[[#This Row],[Hora fin ]]-Tabla13[[#This Row],[Hora inicio]])+MINUTE(Tabla13[[#This Row],[Hora fin ]]-Tabla13[[#This Row],[Hora inicio]])/60</f>
        <v>8.3333333333333329E-2</v>
      </c>
      <c r="G265" s="60" t="s">
        <v>4</v>
      </c>
      <c r="H265" s="60" t="s">
        <v>5</v>
      </c>
      <c r="I265" s="60" t="s">
        <v>258</v>
      </c>
      <c r="J265" s="60" t="s">
        <v>359</v>
      </c>
      <c r="K265" s="58" t="s">
        <v>400</v>
      </c>
      <c r="L265" s="75"/>
    </row>
    <row r="266" spans="1:12" ht="35.25" hidden="1" customHeight="1">
      <c r="A266" s="72">
        <v>46070</v>
      </c>
      <c r="B266" s="73"/>
      <c r="C266" s="74" t="str">
        <f>IF(Tabla13[[#This Row],[Fecha]]="","",TEXT(Tabla13[[#This Row],[Fecha]],"mmmm"))</f>
        <v>febrero</v>
      </c>
      <c r="D266" s="75">
        <v>0.98611111111111116</v>
      </c>
      <c r="E266" s="75">
        <v>1</v>
      </c>
      <c r="F266" s="71">
        <f>HOUR(Tabla13[[#This Row],[Hora fin ]]-Tabla13[[#This Row],[Hora inicio]])+MINUTE(Tabla13[[#This Row],[Hora fin ]]-Tabla13[[#This Row],[Hora inicio]])/60</f>
        <v>0.33333333333333331</v>
      </c>
      <c r="G266" s="60" t="s">
        <v>10</v>
      </c>
      <c r="H266" s="60" t="s">
        <v>30</v>
      </c>
      <c r="I266" s="60" t="s">
        <v>12</v>
      </c>
      <c r="J266" s="60" t="s">
        <v>270</v>
      </c>
      <c r="K266" s="57" t="s">
        <v>401</v>
      </c>
      <c r="L266" s="75"/>
    </row>
    <row r="267" spans="1:12" ht="27.75" hidden="1" customHeight="1">
      <c r="A267" s="72">
        <v>46071</v>
      </c>
      <c r="B267" s="73"/>
      <c r="C267" s="74" t="str">
        <f>IF(Tabla13[[#This Row],[Fecha]]="","",TEXT(Tabla13[[#This Row],[Fecha]],"mmmm"))</f>
        <v>febrero</v>
      </c>
      <c r="D267" s="75">
        <v>0.56180555555555556</v>
      </c>
      <c r="E267" s="75">
        <v>0.56458333333333333</v>
      </c>
      <c r="F267" s="71">
        <f>HOUR(Tabla13[[#This Row],[Hora fin ]]-Tabla13[[#This Row],[Hora inicio]])+MINUTE(Tabla13[[#This Row],[Hora fin ]]-Tabla13[[#This Row],[Hora inicio]])/60</f>
        <v>6.6666666666666666E-2</v>
      </c>
      <c r="G267" s="60" t="s">
        <v>4</v>
      </c>
      <c r="H267" s="60" t="s">
        <v>5</v>
      </c>
      <c r="I267" s="60" t="s">
        <v>258</v>
      </c>
      <c r="J267" s="60" t="s">
        <v>359</v>
      </c>
      <c r="K267" s="58" t="s">
        <v>400</v>
      </c>
      <c r="L267" s="75"/>
    </row>
    <row r="268" spans="1:12" ht="28.5" hidden="1" customHeight="1">
      <c r="A268" s="72">
        <v>46071</v>
      </c>
      <c r="B268" s="73"/>
      <c r="C268" s="74" t="str">
        <f>IF(Tabla13[[#This Row],[Fecha]]="","",TEXT(Tabla13[[#This Row],[Fecha]],"mmmm"))</f>
        <v>febrero</v>
      </c>
      <c r="D268" s="75">
        <v>0.58333333333333337</v>
      </c>
      <c r="E268" s="75">
        <v>0.60347222222222219</v>
      </c>
      <c r="F268" s="71">
        <f>HOUR(Tabla13[[#This Row],[Hora fin ]]-Tabla13[[#This Row],[Hora inicio]])+MINUTE(Tabla13[[#This Row],[Hora fin ]]-Tabla13[[#This Row],[Hora inicio]])/60</f>
        <v>0.48333333333333334</v>
      </c>
      <c r="G268" s="60" t="s">
        <v>10</v>
      </c>
      <c r="H268" s="60" t="s">
        <v>26</v>
      </c>
      <c r="I268" s="60" t="s">
        <v>17</v>
      </c>
      <c r="J268" s="60" t="s">
        <v>290</v>
      </c>
      <c r="K268" s="57" t="s">
        <v>496</v>
      </c>
      <c r="L268" s="75"/>
    </row>
    <row r="269" spans="1:12" hidden="1">
      <c r="A269" s="72">
        <v>46071</v>
      </c>
      <c r="B269" s="73"/>
      <c r="C269" s="74" t="str">
        <f>IF(Tabla13[[#This Row],[Fecha]]="","",TEXT(Tabla13[[#This Row],[Fecha]],"mmmm"))</f>
        <v>febrero</v>
      </c>
      <c r="D269" s="75">
        <v>0.61736111111111114</v>
      </c>
      <c r="E269" s="75">
        <v>0.62569444444444444</v>
      </c>
      <c r="F269" s="71">
        <f>HOUR(Tabla13[[#This Row],[Hora fin ]]-Tabla13[[#This Row],[Hora inicio]])+MINUTE(Tabla13[[#This Row],[Hora fin ]]-Tabla13[[#This Row],[Hora inicio]])/60</f>
        <v>0.2</v>
      </c>
      <c r="G269" s="60" t="s">
        <v>10</v>
      </c>
      <c r="H269" s="60" t="s">
        <v>20</v>
      </c>
      <c r="I269" s="60" t="s">
        <v>21</v>
      </c>
      <c r="J269" s="60" t="s">
        <v>339</v>
      </c>
      <c r="K269" s="57" t="s">
        <v>476</v>
      </c>
      <c r="L269" s="75"/>
    </row>
    <row r="270" spans="1:12" hidden="1">
      <c r="A270" s="72">
        <v>46071</v>
      </c>
      <c r="B270" s="73"/>
      <c r="C270" s="74" t="str">
        <f>IF(Tabla13[[#This Row],[Fecha]]="","",TEXT(Tabla13[[#This Row],[Fecha]],"mmmm"))</f>
        <v>febrero</v>
      </c>
      <c r="D270" s="75">
        <v>0.70208333333333328</v>
      </c>
      <c r="E270" s="75">
        <v>0.70486111111111116</v>
      </c>
      <c r="F270" s="71">
        <f>HOUR(Tabla13[[#This Row],[Hora fin ]]-Tabla13[[#This Row],[Hora inicio]])+MINUTE(Tabla13[[#This Row],[Hora fin ]]-Tabla13[[#This Row],[Hora inicio]])/60</f>
        <v>6.6666666666666666E-2</v>
      </c>
      <c r="G270" s="60" t="s">
        <v>4</v>
      </c>
      <c r="H270" s="60" t="s">
        <v>5</v>
      </c>
      <c r="I270" s="60" t="s">
        <v>258</v>
      </c>
      <c r="J270" s="60" t="s">
        <v>359</v>
      </c>
      <c r="K270" s="58" t="s">
        <v>400</v>
      </c>
      <c r="L270" s="75"/>
    </row>
    <row r="271" spans="1:12" hidden="1">
      <c r="A271" s="72">
        <v>46071</v>
      </c>
      <c r="B271" s="73"/>
      <c r="C271" s="74" t="str">
        <f>IF(Tabla13[[#This Row],[Fecha]]="","",TEXT(Tabla13[[#This Row],[Fecha]],"mmmm"))</f>
        <v>febrero</v>
      </c>
      <c r="D271" s="75">
        <v>0.71875</v>
      </c>
      <c r="E271" s="75">
        <v>0.72152777777777777</v>
      </c>
      <c r="F271" s="71">
        <f>HOUR(Tabla13[[#This Row],[Hora fin ]]-Tabla13[[#This Row],[Hora inicio]])+MINUTE(Tabla13[[#This Row],[Hora fin ]]-Tabla13[[#This Row],[Hora inicio]])/60</f>
        <v>6.6666666666666666E-2</v>
      </c>
      <c r="G271" s="60" t="s">
        <v>4</v>
      </c>
      <c r="H271" s="60" t="s">
        <v>5</v>
      </c>
      <c r="I271" s="60" t="s">
        <v>258</v>
      </c>
      <c r="J271" s="60" t="s">
        <v>359</v>
      </c>
      <c r="K271" s="58" t="s">
        <v>400</v>
      </c>
      <c r="L271" s="75"/>
    </row>
    <row r="272" spans="1:12" hidden="1">
      <c r="A272" s="72">
        <v>46071</v>
      </c>
      <c r="B272" s="73"/>
      <c r="C272" s="74" t="str">
        <f>IF(Tabla13[[#This Row],[Fecha]]="","",TEXT(Tabla13[[#This Row],[Fecha]],"mmmm"))</f>
        <v>febrero</v>
      </c>
      <c r="D272" s="75">
        <v>0.72499999999999998</v>
      </c>
      <c r="E272" s="75">
        <v>0.74236111111111114</v>
      </c>
      <c r="F272" s="71">
        <f>HOUR(Tabla13[[#This Row],[Hora fin ]]-Tabla13[[#This Row],[Hora inicio]])+MINUTE(Tabla13[[#This Row],[Hora fin ]]-Tabla13[[#This Row],[Hora inicio]])/60</f>
        <v>0.41666666666666669</v>
      </c>
      <c r="G272" s="60" t="s">
        <v>10</v>
      </c>
      <c r="H272" s="60" t="s">
        <v>26</v>
      </c>
      <c r="I272" s="60" t="s">
        <v>17</v>
      </c>
      <c r="J272" s="60" t="s">
        <v>290</v>
      </c>
      <c r="K272" s="57" t="s">
        <v>496</v>
      </c>
      <c r="L272" s="75"/>
    </row>
    <row r="273" spans="1:12" hidden="1">
      <c r="A273" s="72">
        <v>46072</v>
      </c>
      <c r="B273" s="73"/>
      <c r="C273" s="74" t="str">
        <f>IF(Tabla13[[#This Row],[Fecha]]="","",TEXT(Tabla13[[#This Row],[Fecha]],"mmmm"))</f>
        <v>febrero</v>
      </c>
      <c r="D273" s="75">
        <v>0.05</v>
      </c>
      <c r="E273" s="75">
        <v>5.347222222222222E-2</v>
      </c>
      <c r="F273" s="71">
        <f>HOUR(Tabla13[[#This Row],[Hora fin ]]-Tabla13[[#This Row],[Hora inicio]])+MINUTE(Tabla13[[#This Row],[Hora fin ]]-Tabla13[[#This Row],[Hora inicio]])/60</f>
        <v>8.3333333333333329E-2</v>
      </c>
      <c r="G273" s="60" t="s">
        <v>4</v>
      </c>
      <c r="H273" s="60" t="s">
        <v>5</v>
      </c>
      <c r="I273" s="60" t="s">
        <v>258</v>
      </c>
      <c r="J273" s="60" t="s">
        <v>359</v>
      </c>
      <c r="K273" s="58" t="s">
        <v>400</v>
      </c>
      <c r="L273" s="75"/>
    </row>
    <row r="274" spans="1:12" hidden="1">
      <c r="A274" s="72">
        <v>46072</v>
      </c>
      <c r="B274" s="73"/>
      <c r="C274" s="74" t="str">
        <f>IF(Tabla13[[#This Row],[Fecha]]="","",TEXT(Tabla13[[#This Row],[Fecha]],"mmmm"))</f>
        <v>febrero</v>
      </c>
      <c r="D274" s="75">
        <v>0.47916666666666669</v>
      </c>
      <c r="E274" s="75">
        <v>0.48055555555555557</v>
      </c>
      <c r="F274" s="71">
        <f>HOUR(Tabla13[[#This Row],[Hora fin ]]-Tabla13[[#This Row],[Hora inicio]])+MINUTE(Tabla13[[#This Row],[Hora fin ]]-Tabla13[[#This Row],[Hora inicio]])/60</f>
        <v>3.3333333333333333E-2</v>
      </c>
      <c r="G274" s="60" t="s">
        <v>4</v>
      </c>
      <c r="H274" s="60" t="s">
        <v>5</v>
      </c>
      <c r="I274" s="60" t="s">
        <v>258</v>
      </c>
      <c r="J274" s="60" t="s">
        <v>359</v>
      </c>
      <c r="K274" s="58" t="s">
        <v>400</v>
      </c>
      <c r="L274" s="75"/>
    </row>
    <row r="275" spans="1:12" hidden="1">
      <c r="A275" s="72">
        <v>46072</v>
      </c>
      <c r="B275" s="73"/>
      <c r="C275" s="74" t="str">
        <f>IF(Tabla13[[#This Row],[Fecha]]="","",TEXT(Tabla13[[#This Row],[Fecha]],"mmmm"))</f>
        <v>febrero</v>
      </c>
      <c r="D275" s="75">
        <v>0.48888888888888887</v>
      </c>
      <c r="E275" s="75">
        <v>0.49236111111111114</v>
      </c>
      <c r="F275" s="71">
        <f>HOUR(Tabla13[[#This Row],[Hora fin ]]-Tabla13[[#This Row],[Hora inicio]])+MINUTE(Tabla13[[#This Row],[Hora fin ]]-Tabla13[[#This Row],[Hora inicio]])/60</f>
        <v>8.3333333333333329E-2</v>
      </c>
      <c r="G275" s="60" t="s">
        <v>4</v>
      </c>
      <c r="H275" s="60" t="s">
        <v>5</v>
      </c>
      <c r="I275" s="60" t="s">
        <v>258</v>
      </c>
      <c r="J275" s="60" t="s">
        <v>359</v>
      </c>
      <c r="K275" s="58" t="s">
        <v>400</v>
      </c>
      <c r="L275" s="75"/>
    </row>
    <row r="276" spans="1:12" hidden="1">
      <c r="A276" s="72">
        <v>46072</v>
      </c>
      <c r="B276" s="73"/>
      <c r="C276" s="74" t="str">
        <f>IF(Tabla13[[#This Row],[Fecha]]="","",TEXT(Tabla13[[#This Row],[Fecha]],"mmmm"))</f>
        <v>febrero</v>
      </c>
      <c r="D276" s="75">
        <v>0.5</v>
      </c>
      <c r="E276" s="75">
        <v>0.50347222222222221</v>
      </c>
      <c r="F276" s="71">
        <f>HOUR(Tabla13[[#This Row],[Hora fin ]]-Tabla13[[#This Row],[Hora inicio]])+MINUTE(Tabla13[[#This Row],[Hora fin ]]-Tabla13[[#This Row],[Hora inicio]])/60</f>
        <v>8.3333333333333329E-2</v>
      </c>
      <c r="G276" s="60" t="s">
        <v>4</v>
      </c>
      <c r="H276" s="60" t="s">
        <v>5</v>
      </c>
      <c r="I276" s="60" t="s">
        <v>258</v>
      </c>
      <c r="J276" s="60" t="s">
        <v>359</v>
      </c>
      <c r="K276" s="58" t="s">
        <v>400</v>
      </c>
      <c r="L276" s="75"/>
    </row>
    <row r="277" spans="1:12" hidden="1">
      <c r="A277" s="72">
        <v>46072</v>
      </c>
      <c r="B277" s="73"/>
      <c r="C277" s="74" t="str">
        <f>IF(Tabla13[[#This Row],[Fecha]]="","",TEXT(Tabla13[[#This Row],[Fecha]],"mmmm"))</f>
        <v>febrero</v>
      </c>
      <c r="D277" s="75">
        <v>0.67777777777777781</v>
      </c>
      <c r="E277" s="75">
        <v>0.67847222222222225</v>
      </c>
      <c r="F277" s="71">
        <f>HOUR(Tabla13[[#This Row],[Hora fin ]]-Tabla13[[#This Row],[Hora inicio]])+MINUTE(Tabla13[[#This Row],[Hora fin ]]-Tabla13[[#This Row],[Hora inicio]])/60</f>
        <v>1.6666666666666666E-2</v>
      </c>
      <c r="G277" s="60" t="s">
        <v>10</v>
      </c>
      <c r="H277" s="60" t="s">
        <v>26</v>
      </c>
      <c r="I277" s="60" t="s">
        <v>24</v>
      </c>
      <c r="J277" s="60" t="s">
        <v>319</v>
      </c>
      <c r="K277" s="57" t="s">
        <v>497</v>
      </c>
      <c r="L277" s="75"/>
    </row>
    <row r="278" spans="1:12" hidden="1">
      <c r="A278" s="72">
        <v>46073</v>
      </c>
      <c r="B278" s="73"/>
      <c r="C278" s="74" t="str">
        <f>IF(Tabla13[[#This Row],[Fecha]]="","",TEXT(Tabla13[[#This Row],[Fecha]],"mmmm"))</f>
        <v>febrero</v>
      </c>
      <c r="D278" s="75">
        <v>4.583333333333333E-2</v>
      </c>
      <c r="E278" s="75">
        <v>4.9305555555555554E-2</v>
      </c>
      <c r="F278" s="71">
        <f>HOUR(Tabla13[[#This Row],[Hora fin ]]-Tabla13[[#This Row],[Hora inicio]])+MINUTE(Tabla13[[#This Row],[Hora fin ]]-Tabla13[[#This Row],[Hora inicio]])/60</f>
        <v>8.3333333333333329E-2</v>
      </c>
      <c r="G278" s="60" t="s">
        <v>4</v>
      </c>
      <c r="H278" s="60" t="s">
        <v>5</v>
      </c>
      <c r="I278" s="60" t="s">
        <v>258</v>
      </c>
      <c r="J278" s="60" t="s">
        <v>359</v>
      </c>
      <c r="K278" s="58" t="s">
        <v>400</v>
      </c>
      <c r="L278" s="75"/>
    </row>
    <row r="279" spans="1:12" hidden="1">
      <c r="A279" s="72">
        <v>46073</v>
      </c>
      <c r="B279" s="73"/>
      <c r="C279" s="74" t="str">
        <f>IF(Tabla13[[#This Row],[Fecha]]="","",TEXT(Tabla13[[#This Row],[Fecha]],"mmmm"))</f>
        <v>febrero</v>
      </c>
      <c r="D279" s="75">
        <v>0.45624999999999999</v>
      </c>
      <c r="E279" s="75">
        <v>0.4597222222222222</v>
      </c>
      <c r="F279" s="71">
        <f>HOUR(Tabla13[[#This Row],[Hora fin ]]-Tabla13[[#This Row],[Hora inicio]])+MINUTE(Tabla13[[#This Row],[Hora fin ]]-Tabla13[[#This Row],[Hora inicio]])/60</f>
        <v>8.3333333333333329E-2</v>
      </c>
      <c r="G279" s="60" t="s">
        <v>4</v>
      </c>
      <c r="H279" s="60" t="s">
        <v>5</v>
      </c>
      <c r="I279" s="60" t="s">
        <v>258</v>
      </c>
      <c r="J279" s="60" t="s">
        <v>359</v>
      </c>
      <c r="K279" s="58" t="s">
        <v>400</v>
      </c>
      <c r="L279" s="75"/>
    </row>
    <row r="280" spans="1:12" hidden="1">
      <c r="A280" s="72">
        <v>46073</v>
      </c>
      <c r="B280" s="73"/>
      <c r="C280" s="74" t="str">
        <f>IF(Tabla13[[#This Row],[Fecha]]="","",TEXT(Tabla13[[#This Row],[Fecha]],"mmmm"))</f>
        <v>febrero</v>
      </c>
      <c r="D280" s="75">
        <v>0.64722222222222225</v>
      </c>
      <c r="E280" s="75">
        <v>0.64930555555555558</v>
      </c>
      <c r="F280" s="71">
        <f>HOUR(Tabla13[[#This Row],[Hora fin ]]-Tabla13[[#This Row],[Hora inicio]])+MINUTE(Tabla13[[#This Row],[Hora fin ]]-Tabla13[[#This Row],[Hora inicio]])/60</f>
        <v>0.05</v>
      </c>
      <c r="G280" s="60" t="s">
        <v>4</v>
      </c>
      <c r="H280" s="60" t="s">
        <v>5</v>
      </c>
      <c r="I280" s="60" t="s">
        <v>258</v>
      </c>
      <c r="J280" s="60" t="s">
        <v>359</v>
      </c>
      <c r="K280" s="58" t="s">
        <v>400</v>
      </c>
      <c r="L280" s="75"/>
    </row>
    <row r="281" spans="1:12" ht="30" hidden="1">
      <c r="A281" s="72">
        <v>46073</v>
      </c>
      <c r="B281" s="73"/>
      <c r="C281" s="74" t="str">
        <f>IF(Tabla13[[#This Row],[Fecha]]="","",TEXT(Tabla13[[#This Row],[Fecha]],"mmmm"))</f>
        <v>febrero</v>
      </c>
      <c r="D281" s="75">
        <v>0.67222222222222228</v>
      </c>
      <c r="E281" s="75">
        <v>0.73958333333333337</v>
      </c>
      <c r="F281" s="71">
        <f>HOUR(Tabla13[[#This Row],[Hora fin ]]-Tabla13[[#This Row],[Hora inicio]])+MINUTE(Tabla13[[#This Row],[Hora fin ]]-Tabla13[[#This Row],[Hora inicio]])/60</f>
        <v>1.6166666666666667</v>
      </c>
      <c r="G281" s="60" t="s">
        <v>10</v>
      </c>
      <c r="H281" s="60" t="s">
        <v>23</v>
      </c>
      <c r="I281" s="60" t="s">
        <v>27</v>
      </c>
      <c r="J281" s="60" t="s">
        <v>381</v>
      </c>
      <c r="K281" s="58" t="s">
        <v>498</v>
      </c>
      <c r="L281" s="75"/>
    </row>
    <row r="282" spans="1:12" hidden="1">
      <c r="A282" s="72">
        <v>46073</v>
      </c>
      <c r="B282" s="73"/>
      <c r="C282" s="74" t="str">
        <f>IF(Tabla13[[#This Row],[Fecha]]="","",TEXT(Tabla13[[#This Row],[Fecha]],"mmmm"))</f>
        <v>febrero</v>
      </c>
      <c r="D282" s="75">
        <v>0.87361111111111112</v>
      </c>
      <c r="E282" s="75">
        <v>0.87638888888888888</v>
      </c>
      <c r="F282" s="71">
        <f>HOUR(Tabla13[[#This Row],[Hora fin ]]-Tabla13[[#This Row],[Hora inicio]])+MINUTE(Tabla13[[#This Row],[Hora fin ]]-Tabla13[[#This Row],[Hora inicio]])/60</f>
        <v>6.6666666666666666E-2</v>
      </c>
      <c r="G282" s="60" t="s">
        <v>4</v>
      </c>
      <c r="H282" s="60" t="s">
        <v>5</v>
      </c>
      <c r="I282" s="60" t="s">
        <v>258</v>
      </c>
      <c r="J282" s="60" t="s">
        <v>359</v>
      </c>
      <c r="K282" s="58" t="s">
        <v>400</v>
      </c>
      <c r="L282" s="75"/>
    </row>
    <row r="283" spans="1:12" hidden="1">
      <c r="A283" s="72">
        <v>46073</v>
      </c>
      <c r="B283" s="73"/>
      <c r="C283" s="74" t="str">
        <f>IF(Tabla13[[#This Row],[Fecha]]="","",TEXT(Tabla13[[#This Row],[Fecha]],"mmmm"))</f>
        <v>febrero</v>
      </c>
      <c r="D283" s="75">
        <v>3.2638888888888891E-2</v>
      </c>
      <c r="E283" s="75">
        <v>3.4722222222222224E-2</v>
      </c>
      <c r="F283" s="71">
        <f>HOUR(Tabla13[[#This Row],[Hora fin ]]-Tabla13[[#This Row],[Hora inicio]])+MINUTE(Tabla13[[#This Row],[Hora fin ]]-Tabla13[[#This Row],[Hora inicio]])/60</f>
        <v>0.05</v>
      </c>
      <c r="G283" s="60" t="s">
        <v>4</v>
      </c>
      <c r="H283" s="60" t="s">
        <v>5</v>
      </c>
      <c r="I283" s="60" t="s">
        <v>258</v>
      </c>
      <c r="J283" s="60" t="s">
        <v>359</v>
      </c>
      <c r="K283" s="58" t="s">
        <v>400</v>
      </c>
      <c r="L283" s="75"/>
    </row>
    <row r="284" spans="1:12" hidden="1">
      <c r="A284" s="72">
        <v>46074</v>
      </c>
      <c r="B284" s="73"/>
      <c r="C284" s="74" t="str">
        <f>IF(Tabla13[[#This Row],[Fecha]]="","",TEXT(Tabla13[[#This Row],[Fecha]],"mmmm"))</f>
        <v>febrero</v>
      </c>
      <c r="D284" s="75">
        <v>6.25E-2</v>
      </c>
      <c r="E284" s="75">
        <v>0.10416666666666667</v>
      </c>
      <c r="F284" s="71">
        <f>HOUR(Tabla13[[#This Row],[Hora fin ]]-Tabla13[[#This Row],[Hora inicio]])+MINUTE(Tabla13[[#This Row],[Hora fin ]]-Tabla13[[#This Row],[Hora inicio]])/60</f>
        <v>1</v>
      </c>
      <c r="G284" s="60" t="s">
        <v>10</v>
      </c>
      <c r="H284" s="60" t="s">
        <v>26</v>
      </c>
      <c r="I284" s="60" t="s">
        <v>17</v>
      </c>
      <c r="J284" s="60" t="s">
        <v>290</v>
      </c>
      <c r="K284" s="57" t="s">
        <v>496</v>
      </c>
      <c r="L284" s="75"/>
    </row>
    <row r="285" spans="1:12" hidden="1">
      <c r="A285" s="72">
        <v>46074</v>
      </c>
      <c r="B285" s="73"/>
      <c r="C285" s="74" t="str">
        <f>IF(Tabla13[[#This Row],[Fecha]]="","",TEXT(Tabla13[[#This Row],[Fecha]],"mmmm"))</f>
        <v>febrero</v>
      </c>
      <c r="D285" s="75">
        <v>0.12430555555555556</v>
      </c>
      <c r="E285" s="75">
        <v>0.12777777777777777</v>
      </c>
      <c r="F285" s="71">
        <f>HOUR(Tabla13[[#This Row],[Hora fin ]]-Tabla13[[#This Row],[Hora inicio]])+MINUTE(Tabla13[[#This Row],[Hora fin ]]-Tabla13[[#This Row],[Hora inicio]])/60</f>
        <v>8.3333333333333329E-2</v>
      </c>
      <c r="G285" s="60" t="s">
        <v>4</v>
      </c>
      <c r="H285" s="60" t="s">
        <v>5</v>
      </c>
      <c r="I285" s="60" t="s">
        <v>258</v>
      </c>
      <c r="J285" s="60" t="s">
        <v>359</v>
      </c>
      <c r="K285" s="58" t="s">
        <v>400</v>
      </c>
      <c r="L285" s="75"/>
    </row>
    <row r="286" spans="1:12" hidden="1">
      <c r="A286" s="72">
        <v>46075</v>
      </c>
      <c r="B286" s="73"/>
      <c r="C286" s="74" t="str">
        <f>IF(Tabla13[[#This Row],[Fecha]]="","",TEXT(Tabla13[[#This Row],[Fecha]],"mmmm"))</f>
        <v>febrero</v>
      </c>
      <c r="D286" s="75">
        <v>0.25</v>
      </c>
      <c r="E286" s="75">
        <v>0.66666666666666663</v>
      </c>
      <c r="F286" s="71">
        <f>HOUR(Tabla13[[#This Row],[Hora fin ]]-Tabla13[[#This Row],[Hora inicio]])+MINUTE(Tabla13[[#This Row],[Hora fin ]]-Tabla13[[#This Row],[Hora inicio]])/60</f>
        <v>10</v>
      </c>
      <c r="G286" s="60" t="s">
        <v>4</v>
      </c>
      <c r="H286" s="60" t="s">
        <v>16</v>
      </c>
      <c r="I286" s="60" t="s">
        <v>6</v>
      </c>
      <c r="J286" s="60" t="s">
        <v>16</v>
      </c>
      <c r="K286" s="57" t="s">
        <v>440</v>
      </c>
      <c r="L286" s="75"/>
    </row>
    <row r="287" spans="1:12" s="84" customFormat="1" hidden="1">
      <c r="A287" s="72">
        <v>46076</v>
      </c>
      <c r="B287" s="73"/>
      <c r="C287" s="74" t="str">
        <f>IF(Tabla13[[#This Row],[Fecha]]="","",TEXT(Tabla13[[#This Row],[Fecha]],"mmmm"))</f>
        <v>febrero</v>
      </c>
      <c r="D287" s="75">
        <v>0.42916666666666664</v>
      </c>
      <c r="E287" s="75">
        <v>0.43263888888888891</v>
      </c>
      <c r="F287" s="71">
        <f>HOUR(Tabla13[[#This Row],[Hora fin ]]-Tabla13[[#This Row],[Hora inicio]])+MINUTE(Tabla13[[#This Row],[Hora fin ]]-Tabla13[[#This Row],[Hora inicio]])/60</f>
        <v>8.3333333333333329E-2</v>
      </c>
      <c r="G287" s="60" t="s">
        <v>4</v>
      </c>
      <c r="H287" s="60" t="s">
        <v>5</v>
      </c>
      <c r="I287" s="60" t="s">
        <v>258</v>
      </c>
      <c r="J287" s="60" t="s">
        <v>359</v>
      </c>
      <c r="K287" s="58" t="s">
        <v>400</v>
      </c>
      <c r="L287" s="75"/>
    </row>
    <row r="288" spans="1:12" s="84" customFormat="1" hidden="1">
      <c r="A288" s="72">
        <v>46076</v>
      </c>
      <c r="B288" s="73"/>
      <c r="C288" s="74" t="str">
        <f>IF(Tabla13[[#This Row],[Fecha]]="","",TEXT(Tabla13[[#This Row],[Fecha]],"mmmm"))</f>
        <v>febrero</v>
      </c>
      <c r="D288" s="75">
        <v>0.71388888888888891</v>
      </c>
      <c r="E288" s="75">
        <v>0.73888888888888893</v>
      </c>
      <c r="F288" s="71">
        <f>HOUR(Tabla13[[#This Row],[Hora fin ]]-Tabla13[[#This Row],[Hora inicio]])+MINUTE(Tabla13[[#This Row],[Hora fin ]]-Tabla13[[#This Row],[Hora inicio]])/60</f>
        <v>0.6</v>
      </c>
      <c r="G288" s="60" t="s">
        <v>10</v>
      </c>
      <c r="H288" s="60" t="s">
        <v>30</v>
      </c>
      <c r="I288" s="60" t="s">
        <v>12</v>
      </c>
      <c r="J288" s="60" t="s">
        <v>270</v>
      </c>
      <c r="K288" s="57" t="s">
        <v>401</v>
      </c>
      <c r="L288" s="75"/>
    </row>
    <row r="289" spans="1:12" hidden="1">
      <c r="A289" s="72">
        <v>46076</v>
      </c>
      <c r="B289" s="73"/>
      <c r="C289" s="74" t="str">
        <f>IF(Tabla13[[#This Row],[Fecha]]="","",TEXT(Tabla13[[#This Row],[Fecha]],"mmmm"))</f>
        <v>febrero</v>
      </c>
      <c r="D289" s="75">
        <v>0.86944444444444446</v>
      </c>
      <c r="E289" s="75">
        <v>0.87569444444444444</v>
      </c>
      <c r="F289" s="71">
        <f>HOUR(Tabla13[[#This Row],[Hora fin ]]-Tabla13[[#This Row],[Hora inicio]])+MINUTE(Tabla13[[#This Row],[Hora fin ]]-Tabla13[[#This Row],[Hora inicio]])/60</f>
        <v>0.15</v>
      </c>
      <c r="G289" s="60" t="s">
        <v>10</v>
      </c>
      <c r="H289" s="60" t="s">
        <v>30</v>
      </c>
      <c r="I289" s="60" t="s">
        <v>12</v>
      </c>
      <c r="J289" s="60" t="s">
        <v>270</v>
      </c>
      <c r="K289" s="57" t="s">
        <v>401</v>
      </c>
      <c r="L289" s="75"/>
    </row>
    <row r="290" spans="1:12" hidden="1">
      <c r="A290" s="72">
        <v>46077</v>
      </c>
      <c r="B290" s="73"/>
      <c r="C290" s="74" t="str">
        <f>IF(Tabla13[[#This Row],[Fecha]]="","",TEXT(Tabla13[[#This Row],[Fecha]],"mmmm"))</f>
        <v>febrero</v>
      </c>
      <c r="D290" s="75">
        <v>0.57986111111111116</v>
      </c>
      <c r="E290" s="75">
        <v>0.58333333333333337</v>
      </c>
      <c r="F290" s="71">
        <f>HOUR(Tabla13[[#This Row],[Hora fin ]]-Tabla13[[#This Row],[Hora inicio]])+MINUTE(Tabla13[[#This Row],[Hora fin ]]-Tabla13[[#This Row],[Hora inicio]])/60</f>
        <v>8.3333333333333329E-2</v>
      </c>
      <c r="G290" s="60" t="s">
        <v>4</v>
      </c>
      <c r="H290" s="60" t="s">
        <v>5</v>
      </c>
      <c r="I290" s="60" t="s">
        <v>258</v>
      </c>
      <c r="J290" s="60" t="s">
        <v>359</v>
      </c>
      <c r="K290" s="58" t="s">
        <v>400</v>
      </c>
      <c r="L290" s="75"/>
    </row>
    <row r="291" spans="1:12" hidden="1">
      <c r="A291" s="72">
        <v>46078</v>
      </c>
      <c r="B291" s="73"/>
      <c r="C291" s="74" t="str">
        <f>IF(Tabla13[[#This Row],[Fecha]]="","",TEXT(Tabla13[[#This Row],[Fecha]],"mmmm"))</f>
        <v>febrero</v>
      </c>
      <c r="D291" s="75">
        <v>7.4305555555555555E-2</v>
      </c>
      <c r="E291" s="75">
        <v>7.7083333333333337E-2</v>
      </c>
      <c r="F291" s="71">
        <f>HOUR(Tabla13[[#This Row],[Hora fin ]]-Tabla13[[#This Row],[Hora inicio]])+MINUTE(Tabla13[[#This Row],[Hora fin ]]-Tabla13[[#This Row],[Hora inicio]])/60</f>
        <v>6.6666666666666666E-2</v>
      </c>
      <c r="G291" s="60" t="s">
        <v>4</v>
      </c>
      <c r="H291" s="60" t="s">
        <v>5</v>
      </c>
      <c r="I291" s="60" t="s">
        <v>258</v>
      </c>
      <c r="J291" s="60" t="s">
        <v>359</v>
      </c>
      <c r="K291" s="58" t="s">
        <v>400</v>
      </c>
      <c r="L291" s="75"/>
    </row>
    <row r="292" spans="1:12" hidden="1">
      <c r="A292" s="72">
        <v>46078</v>
      </c>
      <c r="B292" s="73"/>
      <c r="C292" s="74" t="str">
        <f>IF(Tabla13[[#This Row],[Fecha]]="","",TEXT(Tabla13[[#This Row],[Fecha]],"mmmm"))</f>
        <v>febrero</v>
      </c>
      <c r="D292" s="75">
        <v>0.39027777777777778</v>
      </c>
      <c r="E292" s="75">
        <v>0.53055555555555556</v>
      </c>
      <c r="F292" s="71">
        <f>HOUR(Tabla13[[#This Row],[Hora fin ]]-Tabla13[[#This Row],[Hora inicio]])+MINUTE(Tabla13[[#This Row],[Hora fin ]]-Tabla13[[#This Row],[Hora inicio]])/60</f>
        <v>3.3666666666666667</v>
      </c>
      <c r="G292" s="60" t="s">
        <v>13</v>
      </c>
      <c r="H292" s="60" t="s">
        <v>32</v>
      </c>
      <c r="I292" s="60" t="s">
        <v>9</v>
      </c>
      <c r="J292" s="60" t="s">
        <v>267</v>
      </c>
      <c r="K292" s="57" t="s">
        <v>480</v>
      </c>
      <c r="L292" s="75"/>
    </row>
    <row r="293" spans="1:12" hidden="1">
      <c r="A293" s="72">
        <v>46078</v>
      </c>
      <c r="B293" s="73"/>
      <c r="C293" s="74" t="str">
        <f>IF(Tabla13[[#This Row],[Fecha]]="","",TEXT(Tabla13[[#This Row],[Fecha]],"mmmm"))</f>
        <v>febrero</v>
      </c>
      <c r="D293" s="75">
        <v>0.62361111111111112</v>
      </c>
      <c r="E293" s="75">
        <v>0.62847222222222221</v>
      </c>
      <c r="F293" s="71">
        <f>HOUR(Tabla13[[#This Row],[Hora fin ]]-Tabla13[[#This Row],[Hora inicio]])+MINUTE(Tabla13[[#This Row],[Hora fin ]]-Tabla13[[#This Row],[Hora inicio]])/60</f>
        <v>0.11666666666666667</v>
      </c>
      <c r="G293" s="60" t="s">
        <v>4</v>
      </c>
      <c r="H293" s="60" t="s">
        <v>5</v>
      </c>
      <c r="I293" s="60" t="s">
        <v>258</v>
      </c>
      <c r="J293" s="60" t="s">
        <v>359</v>
      </c>
      <c r="K293" s="58" t="s">
        <v>400</v>
      </c>
      <c r="L293" s="75"/>
    </row>
    <row r="294" spans="1:12" hidden="1">
      <c r="A294" s="72">
        <v>46078</v>
      </c>
      <c r="B294" s="73"/>
      <c r="C294" s="74" t="str">
        <f>IF(Tabla13[[#This Row],[Fecha]]="","",TEXT(Tabla13[[#This Row],[Fecha]],"mmmm"))</f>
        <v>febrero</v>
      </c>
      <c r="D294" s="75">
        <v>0.77847222222222223</v>
      </c>
      <c r="E294" s="75">
        <v>0.81041666666666667</v>
      </c>
      <c r="F294" s="71">
        <f>HOUR(Tabla13[[#This Row],[Hora fin ]]-Tabla13[[#This Row],[Hora inicio]])+MINUTE(Tabla13[[#This Row],[Hora fin ]]-Tabla13[[#This Row],[Hora inicio]])/60</f>
        <v>0.76666666666666672</v>
      </c>
      <c r="G294" s="60" t="s">
        <v>10</v>
      </c>
      <c r="H294" s="60" t="s">
        <v>26</v>
      </c>
      <c r="I294" s="60" t="s">
        <v>17</v>
      </c>
      <c r="J294" s="60" t="s">
        <v>290</v>
      </c>
      <c r="K294" s="57" t="s">
        <v>496</v>
      </c>
      <c r="L294" s="75"/>
    </row>
    <row r="295" spans="1:12" hidden="1">
      <c r="A295" s="72">
        <v>46079</v>
      </c>
      <c r="B295" s="73"/>
      <c r="C295" s="74" t="str">
        <f>IF(Tabla13[[#This Row],[Fecha]]="","",TEXT(Tabla13[[#This Row],[Fecha]],"mmmm"))</f>
        <v>febrero</v>
      </c>
      <c r="D295" s="75">
        <v>0.11805555555555555</v>
      </c>
      <c r="E295" s="75">
        <v>0.125</v>
      </c>
      <c r="F295" s="71">
        <f>HOUR(Tabla13[[#This Row],[Hora fin ]]-Tabla13[[#This Row],[Hora inicio]])+MINUTE(Tabla13[[#This Row],[Hora fin ]]-Tabla13[[#This Row],[Hora inicio]])/60</f>
        <v>0.16666666666666666</v>
      </c>
      <c r="G295" s="60" t="s">
        <v>4</v>
      </c>
      <c r="H295" s="60" t="s">
        <v>5</v>
      </c>
      <c r="I295" s="60" t="s">
        <v>258</v>
      </c>
      <c r="J295" s="60" t="s">
        <v>359</v>
      </c>
      <c r="K295" s="58" t="s">
        <v>400</v>
      </c>
      <c r="L295" s="75"/>
    </row>
    <row r="296" spans="1:12" hidden="1">
      <c r="A296" s="72">
        <v>46079</v>
      </c>
      <c r="B296" s="73"/>
      <c r="C296" s="74" t="str">
        <f>IF(Tabla13[[#This Row],[Fecha]]="","",TEXT(Tabla13[[#This Row],[Fecha]],"mmmm"))</f>
        <v>febrero</v>
      </c>
      <c r="D296" s="75">
        <v>0.13472222222222222</v>
      </c>
      <c r="E296" s="75">
        <v>0.14305555555555555</v>
      </c>
      <c r="F296" s="71">
        <f>HOUR(Tabla13[[#This Row],[Hora fin ]]-Tabla13[[#This Row],[Hora inicio]])+MINUTE(Tabla13[[#This Row],[Hora fin ]]-Tabla13[[#This Row],[Hora inicio]])/60</f>
        <v>0.2</v>
      </c>
      <c r="G296" s="60" t="s">
        <v>10</v>
      </c>
      <c r="H296" s="60" t="s">
        <v>30</v>
      </c>
      <c r="I296" s="60" t="s">
        <v>12</v>
      </c>
      <c r="J296" s="60" t="s">
        <v>270</v>
      </c>
      <c r="K296" s="57" t="s">
        <v>401</v>
      </c>
      <c r="L296" s="75"/>
    </row>
    <row r="297" spans="1:12" hidden="1">
      <c r="A297" s="72">
        <v>46079</v>
      </c>
      <c r="B297" s="73"/>
      <c r="C297" s="74" t="str">
        <f>IF(Tabla13[[#This Row],[Fecha]]="","",TEXT(Tabla13[[#This Row],[Fecha]],"mmmm"))</f>
        <v>febrero</v>
      </c>
      <c r="D297" s="75">
        <v>0.18402777777777779</v>
      </c>
      <c r="E297" s="75">
        <v>0.1875</v>
      </c>
      <c r="F297" s="71">
        <f>HOUR(Tabla13[[#This Row],[Hora fin ]]-Tabla13[[#This Row],[Hora inicio]])+MINUTE(Tabla13[[#This Row],[Hora fin ]]-Tabla13[[#This Row],[Hora inicio]])/60</f>
        <v>8.3333333333333329E-2</v>
      </c>
      <c r="G297" s="60" t="s">
        <v>4</v>
      </c>
      <c r="H297" s="60" t="s">
        <v>5</v>
      </c>
      <c r="I297" s="60" t="s">
        <v>258</v>
      </c>
      <c r="J297" s="60" t="s">
        <v>359</v>
      </c>
      <c r="K297" s="58" t="s">
        <v>400</v>
      </c>
      <c r="L297" s="75"/>
    </row>
    <row r="298" spans="1:12" hidden="1">
      <c r="A298" s="72">
        <v>46079</v>
      </c>
      <c r="B298" s="73"/>
      <c r="C298" s="74" t="str">
        <f>IF(Tabla13[[#This Row],[Fecha]]="","",TEXT(Tabla13[[#This Row],[Fecha]],"mmmm"))</f>
        <v>febrero</v>
      </c>
      <c r="D298" s="75">
        <v>0.87638888888888888</v>
      </c>
      <c r="E298" s="75">
        <v>0.87847222222222221</v>
      </c>
      <c r="F298" s="71">
        <f>HOUR(Tabla13[[#This Row],[Hora fin ]]-Tabla13[[#This Row],[Hora inicio]])+MINUTE(Tabla13[[#This Row],[Hora fin ]]-Tabla13[[#This Row],[Hora inicio]])/60</f>
        <v>0.05</v>
      </c>
      <c r="G298" s="60" t="s">
        <v>4</v>
      </c>
      <c r="H298" s="60" t="s">
        <v>5</v>
      </c>
      <c r="I298" s="60" t="s">
        <v>258</v>
      </c>
      <c r="J298" s="60" t="s">
        <v>359</v>
      </c>
      <c r="K298" s="58" t="s">
        <v>400</v>
      </c>
      <c r="L298" s="75"/>
    </row>
    <row r="299" spans="1:12" ht="30" hidden="1">
      <c r="A299" s="72">
        <v>46080</v>
      </c>
      <c r="B299" s="73"/>
      <c r="C299" s="74" t="str">
        <f>IF(Tabla13[[#This Row],[Fecha]]="","",TEXT(Tabla13[[#This Row],[Fecha]],"mmmm"))</f>
        <v>febrero</v>
      </c>
      <c r="D299" s="75">
        <v>0.46041666666666664</v>
      </c>
      <c r="E299" s="75">
        <v>0.46458333333333335</v>
      </c>
      <c r="F299" s="71">
        <f>HOUR(Tabla13[[#This Row],[Hora fin ]]-Tabla13[[#This Row],[Hora inicio]])+MINUTE(Tabla13[[#This Row],[Hora fin ]]-Tabla13[[#This Row],[Hora inicio]])/60</f>
        <v>0.1</v>
      </c>
      <c r="G299" s="60" t="s">
        <v>10</v>
      </c>
      <c r="H299" s="60" t="s">
        <v>23</v>
      </c>
      <c r="I299" s="60" t="s">
        <v>17</v>
      </c>
      <c r="J299" s="60" t="s">
        <v>292</v>
      </c>
      <c r="K299" s="58" t="s">
        <v>499</v>
      </c>
      <c r="L299" s="75"/>
    </row>
    <row r="300" spans="1:12" hidden="1">
      <c r="A300" s="72">
        <v>46080</v>
      </c>
      <c r="B300" s="73"/>
      <c r="C300" s="74" t="str">
        <f>IF(Tabla13[[#This Row],[Fecha]]="","",TEXT(Tabla13[[#This Row],[Fecha]],"mmmm"))</f>
        <v>febrero</v>
      </c>
      <c r="D300" s="75">
        <v>0.52013888888888893</v>
      </c>
      <c r="E300" s="75">
        <v>0.54166666666666663</v>
      </c>
      <c r="F300" s="71">
        <f>HOUR(Tabla13[[#This Row],[Hora fin ]]-Tabla13[[#This Row],[Hora inicio]])+MINUTE(Tabla13[[#This Row],[Hora fin ]]-Tabla13[[#This Row],[Hora inicio]])/60</f>
        <v>0.51666666666666672</v>
      </c>
      <c r="G300" s="60" t="s">
        <v>10</v>
      </c>
      <c r="H300" s="60" t="s">
        <v>26</v>
      </c>
      <c r="I300" s="60" t="s">
        <v>17</v>
      </c>
      <c r="J300" s="60" t="s">
        <v>290</v>
      </c>
      <c r="K300" s="57" t="s">
        <v>496</v>
      </c>
      <c r="L300" s="75"/>
    </row>
    <row r="301" spans="1:12" hidden="1">
      <c r="A301" s="72">
        <v>46080</v>
      </c>
      <c r="B301" s="73"/>
      <c r="C301" s="74" t="str">
        <f>IF(Tabla13[[#This Row],[Fecha]]="","",TEXT(Tabla13[[#This Row],[Fecha]],"mmmm"))</f>
        <v>febrero</v>
      </c>
      <c r="D301" s="75">
        <v>0.57361111111111107</v>
      </c>
      <c r="E301" s="75">
        <v>0.65763888888888888</v>
      </c>
      <c r="F301" s="71">
        <f>HOUR(Tabla13[[#This Row],[Hora fin ]]-Tabla13[[#This Row],[Hora inicio]])+MINUTE(Tabla13[[#This Row],[Hora fin ]]-Tabla13[[#This Row],[Hora inicio]])/60</f>
        <v>2.0166666666666666</v>
      </c>
      <c r="G301" s="60" t="s">
        <v>10</v>
      </c>
      <c r="H301" s="60" t="s">
        <v>23</v>
      </c>
      <c r="I301" s="60" t="s">
        <v>21</v>
      </c>
      <c r="J301" s="60" t="s">
        <v>324</v>
      </c>
      <c r="K301" s="58" t="s">
        <v>500</v>
      </c>
      <c r="L301" s="75"/>
    </row>
    <row r="302" spans="1:12" hidden="1">
      <c r="A302" s="72">
        <v>46080</v>
      </c>
      <c r="B302" s="73"/>
      <c r="C302" s="74" t="str">
        <f>IF(Tabla13[[#This Row],[Fecha]]="","",TEXT(Tabla13[[#This Row],[Fecha]],"mmmm"))</f>
        <v>febrero</v>
      </c>
      <c r="D302" s="75">
        <v>0.7270833333333333</v>
      </c>
      <c r="E302" s="75">
        <v>0.76527777777777772</v>
      </c>
      <c r="F302" s="71">
        <f>HOUR(Tabla13[[#This Row],[Hora fin ]]-Tabla13[[#This Row],[Hora inicio]])+MINUTE(Tabla13[[#This Row],[Hora fin ]]-Tabla13[[#This Row],[Hora inicio]])/60</f>
        <v>0.91666666666666663</v>
      </c>
      <c r="G302" s="60" t="s">
        <v>10</v>
      </c>
      <c r="H302" s="60" t="s">
        <v>26</v>
      </c>
      <c r="I302" s="60" t="s">
        <v>17</v>
      </c>
      <c r="J302" s="60" t="s">
        <v>290</v>
      </c>
      <c r="K302" s="57" t="s">
        <v>496</v>
      </c>
      <c r="L302" s="75"/>
    </row>
    <row r="303" spans="1:12" hidden="1">
      <c r="A303" s="72">
        <v>46081</v>
      </c>
      <c r="B303" s="73"/>
      <c r="C303" s="74" t="str">
        <f>IF(Tabla13[[#This Row],[Fecha]]="","",TEXT(Tabla13[[#This Row],[Fecha]],"mmmm"))</f>
        <v>febrero</v>
      </c>
      <c r="D303" s="75">
        <v>0.62013888888888891</v>
      </c>
      <c r="E303" s="75">
        <v>0.62708333333333333</v>
      </c>
      <c r="F303" s="71">
        <f>HOUR(Tabla13[[#This Row],[Hora fin ]]-Tabla13[[#This Row],[Hora inicio]])+MINUTE(Tabla13[[#This Row],[Hora fin ]]-Tabla13[[#This Row],[Hora inicio]])/60</f>
        <v>0.16666666666666666</v>
      </c>
      <c r="G303" s="60" t="s">
        <v>10</v>
      </c>
      <c r="H303" s="60" t="s">
        <v>5</v>
      </c>
      <c r="I303" s="60" t="s">
        <v>17</v>
      </c>
      <c r="J303" s="60" t="s">
        <v>291</v>
      </c>
      <c r="K303" s="58" t="s">
        <v>501</v>
      </c>
      <c r="L303" s="75"/>
    </row>
    <row r="304" spans="1:12" hidden="1">
      <c r="A304" s="72">
        <v>46082</v>
      </c>
      <c r="B304" s="73"/>
      <c r="C304" s="74" t="str">
        <f>IF(Tabla13[[#This Row],[Fecha]]="","",TEXT(Tabla13[[#This Row],[Fecha]],"mmmm"))</f>
        <v>marzo</v>
      </c>
      <c r="D304" s="75">
        <v>0.11874999999999999</v>
      </c>
      <c r="E304" s="75">
        <v>0.12152777777777778</v>
      </c>
      <c r="F304" s="71">
        <f>HOUR(Tabla13[[#This Row],[Hora fin ]]-Tabla13[[#This Row],[Hora inicio]])+MINUTE(Tabla13[[#This Row],[Hora fin ]]-Tabla13[[#This Row],[Hora inicio]])/60</f>
        <v>6.6666666666666666E-2</v>
      </c>
      <c r="G304" s="60" t="s">
        <v>4</v>
      </c>
      <c r="H304" s="60" t="s">
        <v>5</v>
      </c>
      <c r="I304" s="60" t="s">
        <v>258</v>
      </c>
      <c r="J304" s="60" t="s">
        <v>359</v>
      </c>
      <c r="K304" s="58" t="s">
        <v>400</v>
      </c>
      <c r="L304" s="75"/>
    </row>
    <row r="305" spans="1:12" ht="67.5" hidden="1" customHeight="1">
      <c r="A305" s="72">
        <v>46083</v>
      </c>
      <c r="B305" s="73"/>
      <c r="C305" s="74" t="str">
        <f>IF(Tabla13[[#This Row],[Fecha]]="","",TEXT(Tabla13[[#This Row],[Fecha]],"mmmm"))</f>
        <v>marzo</v>
      </c>
      <c r="D305" s="75">
        <v>0.25</v>
      </c>
      <c r="E305" s="75">
        <v>0.66666666666666663</v>
      </c>
      <c r="F305" s="71">
        <f>HOUR(Tabla13[[#This Row],[Hora fin ]]-Tabla13[[#This Row],[Hora inicio]])+MINUTE(Tabla13[[#This Row],[Hora fin ]]-Tabla13[[#This Row],[Hora inicio]])/60</f>
        <v>10</v>
      </c>
      <c r="G305" s="60" t="s">
        <v>4</v>
      </c>
      <c r="H305" s="60" t="s">
        <v>16</v>
      </c>
      <c r="I305" s="60" t="s">
        <v>6</v>
      </c>
      <c r="J305" s="60" t="s">
        <v>16</v>
      </c>
      <c r="K305" s="57" t="s">
        <v>440</v>
      </c>
      <c r="L305" s="75"/>
    </row>
    <row r="306" spans="1:12" hidden="1">
      <c r="A306" s="72">
        <v>46084</v>
      </c>
      <c r="B306" s="73"/>
      <c r="C306" s="74" t="str">
        <f>IF(Tabla13[[#This Row],[Fecha]]="","",TEXT(Tabla13[[#This Row],[Fecha]],"mmmm"))</f>
        <v>marzo</v>
      </c>
      <c r="D306" s="75">
        <v>0.66249999999999998</v>
      </c>
      <c r="E306" s="75">
        <v>0.69861111111111107</v>
      </c>
      <c r="F306" s="71">
        <f>HOUR(Tabla13[[#This Row],[Hora fin ]]-Tabla13[[#This Row],[Hora inicio]])+MINUTE(Tabla13[[#This Row],[Hora fin ]]-Tabla13[[#This Row],[Hora inicio]])/60</f>
        <v>0.8666666666666667</v>
      </c>
      <c r="G306" s="60" t="s">
        <v>10</v>
      </c>
      <c r="H306" s="60" t="s">
        <v>30</v>
      </c>
      <c r="I306" s="60" t="s">
        <v>12</v>
      </c>
      <c r="J306" s="60" t="s">
        <v>270</v>
      </c>
      <c r="K306" s="57" t="s">
        <v>401</v>
      </c>
      <c r="L306" s="75"/>
    </row>
    <row r="307" spans="1:12" ht="30" hidden="1">
      <c r="A307" s="72">
        <v>46084</v>
      </c>
      <c r="B307" s="73"/>
      <c r="C307" s="74" t="str">
        <f>IF(Tabla13[[#This Row],[Fecha]]="","",TEXT(Tabla13[[#This Row],[Fecha]],"mmmm"))</f>
        <v>marzo</v>
      </c>
      <c r="D307" s="75">
        <v>0.71180555555555558</v>
      </c>
      <c r="E307" s="75">
        <v>0.81597222222222221</v>
      </c>
      <c r="F307" s="71">
        <f>HOUR(Tabla13[[#This Row],[Hora fin ]]-Tabla13[[#This Row],[Hora inicio]])+MINUTE(Tabla13[[#This Row],[Hora fin ]]-Tabla13[[#This Row],[Hora inicio]])/60</f>
        <v>2.5</v>
      </c>
      <c r="G307" s="60" t="s">
        <v>10</v>
      </c>
      <c r="H307" s="60" t="s">
        <v>20</v>
      </c>
      <c r="I307" s="60" t="s">
        <v>12</v>
      </c>
      <c r="J307" s="60" t="s">
        <v>270</v>
      </c>
      <c r="K307" s="58" t="s">
        <v>503</v>
      </c>
      <c r="L307" s="75"/>
    </row>
    <row r="308" spans="1:12" hidden="1">
      <c r="A308" s="72">
        <v>46084</v>
      </c>
      <c r="B308" s="73"/>
      <c r="C308" s="74" t="str">
        <f>IF(Tabla13[[#This Row],[Fecha]]="","",TEXT(Tabla13[[#This Row],[Fecha]],"mmmm"))</f>
        <v>marzo</v>
      </c>
      <c r="D308" s="75">
        <v>0.87152777777777779</v>
      </c>
      <c r="E308" s="75">
        <v>0.875</v>
      </c>
      <c r="F308" s="71">
        <f>HOUR(Tabla13[[#This Row],[Hora fin ]]-Tabla13[[#This Row],[Hora inicio]])+MINUTE(Tabla13[[#This Row],[Hora fin ]]-Tabla13[[#This Row],[Hora inicio]])/60</f>
        <v>8.3333333333333329E-2</v>
      </c>
      <c r="G308" s="60" t="s">
        <v>4</v>
      </c>
      <c r="H308" s="60" t="s">
        <v>5</v>
      </c>
      <c r="I308" s="60" t="s">
        <v>258</v>
      </c>
      <c r="J308" s="60" t="s">
        <v>359</v>
      </c>
      <c r="K308" s="58" t="s">
        <v>400</v>
      </c>
      <c r="L308" s="75"/>
    </row>
    <row r="309" spans="1:12" hidden="1">
      <c r="A309" s="72">
        <v>46085</v>
      </c>
      <c r="B309" s="73"/>
      <c r="C309" s="74" t="str">
        <f>IF(Tabla13[[#This Row],[Fecha]]="","",TEXT(Tabla13[[#This Row],[Fecha]],"mmmm"))</f>
        <v>marzo</v>
      </c>
      <c r="D309" s="75">
        <v>0.11041666666666666</v>
      </c>
      <c r="E309" s="75">
        <v>0.1125</v>
      </c>
      <c r="F309" s="71">
        <f>HOUR(Tabla13[[#This Row],[Hora fin ]]-Tabla13[[#This Row],[Hora inicio]])+MINUTE(Tabla13[[#This Row],[Hora fin ]]-Tabla13[[#This Row],[Hora inicio]])/60</f>
        <v>0.05</v>
      </c>
      <c r="G309" s="60" t="s">
        <v>4</v>
      </c>
      <c r="H309" s="60" t="s">
        <v>5</v>
      </c>
      <c r="I309" s="60" t="s">
        <v>258</v>
      </c>
      <c r="J309" s="60" t="s">
        <v>359</v>
      </c>
      <c r="K309" s="58" t="s">
        <v>400</v>
      </c>
      <c r="L309" s="75"/>
    </row>
    <row r="310" spans="1:12" hidden="1">
      <c r="A310" s="72">
        <v>46085</v>
      </c>
      <c r="B310" s="73"/>
      <c r="C310" s="74" t="str">
        <f>IF(Tabla13[[#This Row],[Fecha]]="","",TEXT(Tabla13[[#This Row],[Fecha]],"mmmm"))</f>
        <v>marzo</v>
      </c>
      <c r="D310" s="75">
        <v>0.44166666666666665</v>
      </c>
      <c r="E310" s="75">
        <v>0.44513888888888886</v>
      </c>
      <c r="F310" s="71">
        <f>HOUR(Tabla13[[#This Row],[Hora fin ]]-Tabla13[[#This Row],[Hora inicio]])+MINUTE(Tabla13[[#This Row],[Hora fin ]]-Tabla13[[#This Row],[Hora inicio]])/60</f>
        <v>8.3333333333333329E-2</v>
      </c>
      <c r="G310" s="60" t="s">
        <v>4</v>
      </c>
      <c r="H310" s="60" t="s">
        <v>5</v>
      </c>
      <c r="I310" s="60" t="s">
        <v>258</v>
      </c>
      <c r="J310" s="60" t="s">
        <v>359</v>
      </c>
      <c r="K310" s="58" t="s">
        <v>400</v>
      </c>
      <c r="L310" s="75"/>
    </row>
    <row r="311" spans="1:12" ht="30" hidden="1">
      <c r="A311" s="72">
        <v>46085</v>
      </c>
      <c r="B311" s="73"/>
      <c r="C311" s="74" t="str">
        <f>IF(Tabla13[[#This Row],[Fecha]]="","",TEXT(Tabla13[[#This Row],[Fecha]],"mmmm"))</f>
        <v>marzo</v>
      </c>
      <c r="D311" s="75">
        <v>0.68888888888888888</v>
      </c>
      <c r="E311" s="75">
        <v>0.80277777777777781</v>
      </c>
      <c r="F311" s="71">
        <f>HOUR(Tabla13[[#This Row],[Hora fin ]]-Tabla13[[#This Row],[Hora inicio]])+MINUTE(Tabla13[[#This Row],[Hora fin ]]-Tabla13[[#This Row],[Hora inicio]])/60</f>
        <v>2.7333333333333334</v>
      </c>
      <c r="G311" s="60" t="s">
        <v>10</v>
      </c>
      <c r="H311" s="60" t="s">
        <v>23</v>
      </c>
      <c r="I311" s="60" t="s">
        <v>17</v>
      </c>
      <c r="J311" s="60" t="s">
        <v>289</v>
      </c>
      <c r="K311" s="58" t="s">
        <v>504</v>
      </c>
      <c r="L311" s="75"/>
    </row>
    <row r="312" spans="1:12" hidden="1">
      <c r="A312" s="72">
        <v>46085</v>
      </c>
      <c r="B312" s="73"/>
      <c r="C312" s="74" t="str">
        <f>IF(Tabla13[[#This Row],[Fecha]]="","",TEXT(Tabla13[[#This Row],[Fecha]],"mmmm"))</f>
        <v>marzo</v>
      </c>
      <c r="D312" s="75">
        <v>0.8618055555555556</v>
      </c>
      <c r="E312" s="75">
        <v>0.86458333333333337</v>
      </c>
      <c r="F312" s="71">
        <f>HOUR(Tabla13[[#This Row],[Hora fin ]]-Tabla13[[#This Row],[Hora inicio]])+MINUTE(Tabla13[[#This Row],[Hora fin ]]-Tabla13[[#This Row],[Hora inicio]])/60</f>
        <v>6.6666666666666666E-2</v>
      </c>
      <c r="G312" s="60" t="s">
        <v>4</v>
      </c>
      <c r="H312" s="60" t="s">
        <v>5</v>
      </c>
      <c r="I312" s="60" t="s">
        <v>258</v>
      </c>
      <c r="J312" s="60" t="s">
        <v>359</v>
      </c>
      <c r="K312" s="58" t="s">
        <v>400</v>
      </c>
      <c r="L312" s="75"/>
    </row>
    <row r="313" spans="1:12" hidden="1">
      <c r="A313" s="72">
        <v>46086</v>
      </c>
      <c r="B313" s="73"/>
      <c r="C313" s="74" t="str">
        <f>IF(Tabla13[[#This Row],[Fecha]]="","",TEXT(Tabla13[[#This Row],[Fecha]],"mmmm"))</f>
        <v>marzo</v>
      </c>
      <c r="D313" s="75">
        <v>0.38263888888888886</v>
      </c>
      <c r="E313" s="75">
        <v>0.38541666666666669</v>
      </c>
      <c r="F313" s="71">
        <f>HOUR(Tabla13[[#This Row],[Hora fin ]]-Tabla13[[#This Row],[Hora inicio]])+MINUTE(Tabla13[[#This Row],[Hora fin ]]-Tabla13[[#This Row],[Hora inicio]])/60</f>
        <v>6.6666666666666666E-2</v>
      </c>
      <c r="G313" s="60" t="s">
        <v>4</v>
      </c>
      <c r="H313" s="60" t="s">
        <v>5</v>
      </c>
      <c r="I313" s="60" t="s">
        <v>258</v>
      </c>
      <c r="J313" s="60" t="s">
        <v>359</v>
      </c>
      <c r="K313" s="58" t="s">
        <v>400</v>
      </c>
      <c r="L313" s="75"/>
    </row>
    <row r="314" spans="1:12" hidden="1">
      <c r="A314" s="72">
        <v>46087</v>
      </c>
      <c r="B314" s="73"/>
      <c r="C314" s="74" t="str">
        <f>IF(Tabla13[[#This Row],[Fecha]]="","",TEXT(Tabla13[[#This Row],[Fecha]],"mmmm"))</f>
        <v>marzo</v>
      </c>
      <c r="D314" s="75">
        <v>0.12986111111111112</v>
      </c>
      <c r="E314" s="75">
        <v>0.13194444444444445</v>
      </c>
      <c r="F314" s="71">
        <f>HOUR(Tabla13[[#This Row],[Hora fin ]]-Tabla13[[#This Row],[Hora inicio]])+MINUTE(Tabla13[[#This Row],[Hora fin ]]-Tabla13[[#This Row],[Hora inicio]])/60</f>
        <v>0.05</v>
      </c>
      <c r="G314" s="60" t="s">
        <v>4</v>
      </c>
      <c r="H314" s="60" t="s">
        <v>5</v>
      </c>
      <c r="I314" s="60" t="s">
        <v>258</v>
      </c>
      <c r="J314" s="60" t="s">
        <v>359</v>
      </c>
      <c r="K314" s="58" t="s">
        <v>400</v>
      </c>
      <c r="L314" s="75"/>
    </row>
    <row r="315" spans="1:12" hidden="1">
      <c r="A315" s="72">
        <v>46087</v>
      </c>
      <c r="B315" s="73"/>
      <c r="C315" s="74" t="str">
        <f>IF(Tabla13[[#This Row],[Fecha]]="","",TEXT(Tabla13[[#This Row],[Fecha]],"mmmm"))</f>
        <v>marzo</v>
      </c>
      <c r="D315" s="88">
        <v>0.45347222222222222</v>
      </c>
      <c r="E315" s="88">
        <v>0.45694444444444443</v>
      </c>
      <c r="F315" s="71">
        <f>HOUR(Tabla13[[#This Row],[Hora fin ]]-Tabla13[[#This Row],[Hora inicio]])+MINUTE(Tabla13[[#This Row],[Hora fin ]]-Tabla13[[#This Row],[Hora inicio]])/60</f>
        <v>8.3333333333333329E-2</v>
      </c>
      <c r="G315" s="60" t="s">
        <v>4</v>
      </c>
      <c r="H315" s="60" t="s">
        <v>5</v>
      </c>
      <c r="I315" s="60" t="s">
        <v>258</v>
      </c>
      <c r="J315" s="60" t="s">
        <v>359</v>
      </c>
      <c r="K315" s="58" t="s">
        <v>400</v>
      </c>
      <c r="L315" s="75"/>
    </row>
    <row r="316" spans="1:12" hidden="1">
      <c r="A316" s="72">
        <v>46088</v>
      </c>
      <c r="B316" s="73"/>
      <c r="C316" s="74" t="str">
        <f>IF(Tabla13[[#This Row],[Fecha]]="","",TEXT(Tabla13[[#This Row],[Fecha]],"mmmm"))</f>
        <v>marzo</v>
      </c>
      <c r="D316" s="89">
        <v>0.11805555555555555</v>
      </c>
      <c r="E316" s="89">
        <v>0.15416666666666667</v>
      </c>
      <c r="F316" s="71">
        <f>HOUR(Tabla13[[#This Row],[Hora fin ]]-Tabla13[[#This Row],[Hora inicio]])+MINUTE(Tabla13[[#This Row],[Hora fin ]]-Tabla13[[#This Row],[Hora inicio]])/60</f>
        <v>0.8666666666666667</v>
      </c>
      <c r="G316" s="60" t="s">
        <v>10</v>
      </c>
      <c r="H316" s="60" t="s">
        <v>26</v>
      </c>
      <c r="I316" s="60" t="s">
        <v>17</v>
      </c>
      <c r="J316" s="60" t="s">
        <v>290</v>
      </c>
      <c r="K316" s="57" t="s">
        <v>496</v>
      </c>
      <c r="L316" s="75"/>
    </row>
    <row r="317" spans="1:12" hidden="1">
      <c r="A317" s="72">
        <v>46089</v>
      </c>
      <c r="B317" s="73"/>
      <c r="C317" s="74" t="str">
        <f>IF(Tabla13[[#This Row],[Fecha]]="","",TEXT(Tabla13[[#This Row],[Fecha]],"mmmm"))</f>
        <v>marzo</v>
      </c>
      <c r="D317" s="88">
        <v>0.25</v>
      </c>
      <c r="E317" s="88">
        <v>0.58333333333333337</v>
      </c>
      <c r="F317" s="71">
        <f>HOUR(Tabla13[[#This Row],[Hora fin ]]-Tabla13[[#This Row],[Hora inicio]])+MINUTE(Tabla13[[#This Row],[Hora fin ]]-Tabla13[[#This Row],[Hora inicio]])/60</f>
        <v>8</v>
      </c>
      <c r="G317" s="60" t="s">
        <v>4</v>
      </c>
      <c r="H317" s="60" t="s">
        <v>16</v>
      </c>
      <c r="I317" s="60" t="s">
        <v>6</v>
      </c>
      <c r="J317" s="60" t="s">
        <v>16</v>
      </c>
      <c r="K317" s="57" t="s">
        <v>440</v>
      </c>
      <c r="L317" s="75"/>
    </row>
    <row r="318" spans="1:12" hidden="1">
      <c r="A318" s="72">
        <v>46090</v>
      </c>
      <c r="B318" s="73"/>
      <c r="C318" s="74" t="str">
        <f>IF(Tabla13[[#This Row],[Fecha]]="","",TEXT(Tabla13[[#This Row],[Fecha]],"mmmm"))</f>
        <v>marzo</v>
      </c>
      <c r="D318" s="89">
        <v>3.6111111111111108E-2</v>
      </c>
      <c r="E318" s="89">
        <v>3.888888888888889E-2</v>
      </c>
      <c r="F318" s="71">
        <f>HOUR(Tabla13[[#This Row],[Hora fin ]]-Tabla13[[#This Row],[Hora inicio]])+MINUTE(Tabla13[[#This Row],[Hora fin ]]-Tabla13[[#This Row],[Hora inicio]])/60</f>
        <v>6.6666666666666666E-2</v>
      </c>
      <c r="G318" s="60" t="s">
        <v>4</v>
      </c>
      <c r="H318" s="60" t="s">
        <v>5</v>
      </c>
      <c r="I318" s="60" t="s">
        <v>258</v>
      </c>
      <c r="J318" s="60" t="s">
        <v>359</v>
      </c>
      <c r="K318" s="58" t="s">
        <v>400</v>
      </c>
      <c r="L318" s="75"/>
    </row>
    <row r="319" spans="1:12" ht="30" hidden="1">
      <c r="A319" s="72">
        <v>46091</v>
      </c>
      <c r="B319" s="73"/>
      <c r="C319" s="74" t="str">
        <f>IF(Tabla13[[#This Row],[Fecha]]="","",TEXT(Tabla13[[#This Row],[Fecha]],"mmmm"))</f>
        <v>marzo</v>
      </c>
      <c r="D319" s="75">
        <v>0.84027777777777779</v>
      </c>
      <c r="E319" s="75">
        <v>0.91597222222222219</v>
      </c>
      <c r="F319" s="71">
        <f>HOUR(Tabla13[[#This Row],[Hora fin ]]-Tabla13[[#This Row],[Hora inicio]])+MINUTE(Tabla13[[#This Row],[Hora fin ]]-Tabla13[[#This Row],[Hora inicio]])/60</f>
        <v>1.8166666666666667</v>
      </c>
      <c r="G319" s="60" t="s">
        <v>10</v>
      </c>
      <c r="H319" s="60" t="s">
        <v>23</v>
      </c>
      <c r="I319" s="60" t="s">
        <v>12</v>
      </c>
      <c r="J319" s="60" t="s">
        <v>270</v>
      </c>
      <c r="K319" s="90" t="s">
        <v>505</v>
      </c>
      <c r="L319" s="75"/>
    </row>
    <row r="320" spans="1:12" hidden="1">
      <c r="A320" s="72">
        <v>46092</v>
      </c>
      <c r="B320" s="87"/>
      <c r="C320" s="74" t="str">
        <f>IF(Tabla13[[#This Row],[Fecha]]="","",TEXT(Tabla13[[#This Row],[Fecha]],"mmmm"))</f>
        <v>marzo</v>
      </c>
      <c r="D320" s="75">
        <v>7.2222222222222215E-2</v>
      </c>
      <c r="E320" s="75">
        <v>7.5694444444444439E-2</v>
      </c>
      <c r="F320" s="71">
        <f>HOUR(Tabla13[[#This Row],[Hora fin ]]-Tabla13[[#This Row],[Hora inicio]])+MINUTE(Tabla13[[#This Row],[Hora fin ]]-Tabla13[[#This Row],[Hora inicio]])/60</f>
        <v>8.3333333333333329E-2</v>
      </c>
      <c r="G320" s="60" t="s">
        <v>4</v>
      </c>
      <c r="H320" s="60" t="s">
        <v>5</v>
      </c>
      <c r="I320" s="60" t="s">
        <v>258</v>
      </c>
      <c r="J320" s="60" t="s">
        <v>359</v>
      </c>
      <c r="K320" s="58" t="s">
        <v>400</v>
      </c>
      <c r="L320" s="75"/>
    </row>
    <row r="321" spans="1:12" hidden="1">
      <c r="A321" s="72">
        <v>46092</v>
      </c>
      <c r="B321" s="87"/>
      <c r="C321" s="74" t="str">
        <f>IF(Tabla13[[#This Row],[Fecha]]="","",TEXT(Tabla13[[#This Row],[Fecha]],"mmmm"))</f>
        <v>marzo</v>
      </c>
      <c r="D321" s="75">
        <v>0.13125000000000001</v>
      </c>
      <c r="E321" s="75">
        <v>0.13333333333333333</v>
      </c>
      <c r="F321" s="71">
        <f>HOUR(Tabla13[[#This Row],[Hora fin ]]-Tabla13[[#This Row],[Hora inicio]])+MINUTE(Tabla13[[#This Row],[Hora fin ]]-Tabla13[[#This Row],[Hora inicio]])/60</f>
        <v>0.05</v>
      </c>
      <c r="G321" s="60" t="s">
        <v>4</v>
      </c>
      <c r="H321" s="60" t="s">
        <v>5</v>
      </c>
      <c r="I321" s="60" t="s">
        <v>258</v>
      </c>
      <c r="J321" s="60" t="s">
        <v>359</v>
      </c>
      <c r="K321" s="58" t="s">
        <v>400</v>
      </c>
      <c r="L321" s="75"/>
    </row>
    <row r="322" spans="1:12" hidden="1">
      <c r="A322" s="72">
        <v>46093</v>
      </c>
      <c r="B322" s="87"/>
      <c r="C322" s="74" t="str">
        <f>IF(Tabla13[[#This Row],[Fecha]]="","",TEXT(Tabla13[[#This Row],[Fecha]],"mmmm"))</f>
        <v>marzo</v>
      </c>
      <c r="D322" s="75">
        <v>0.44027777777777777</v>
      </c>
      <c r="E322" s="75">
        <v>0.44374999999999998</v>
      </c>
      <c r="F322" s="71">
        <f>HOUR(Tabla13[[#This Row],[Hora fin ]]-Tabla13[[#This Row],[Hora inicio]])+MINUTE(Tabla13[[#This Row],[Hora fin ]]-Tabla13[[#This Row],[Hora inicio]])/60</f>
        <v>8.3333333333333329E-2</v>
      </c>
      <c r="G322" s="60" t="s">
        <v>4</v>
      </c>
      <c r="H322" s="60" t="s">
        <v>5</v>
      </c>
      <c r="I322" s="60" t="s">
        <v>258</v>
      </c>
      <c r="J322" s="60" t="s">
        <v>359</v>
      </c>
      <c r="K322" s="58" t="s">
        <v>400</v>
      </c>
      <c r="L322" s="75"/>
    </row>
    <row r="323" spans="1:12" hidden="1">
      <c r="A323" s="72">
        <v>46094</v>
      </c>
      <c r="B323" s="87"/>
      <c r="C323" s="74" t="str">
        <f>IF(Tabla13[[#This Row],[Fecha]]="","",TEXT(Tabla13[[#This Row],[Fecha]],"mmmm"))</f>
        <v>marzo</v>
      </c>
      <c r="D323" s="75">
        <v>8.6805555555555552E-2</v>
      </c>
      <c r="E323" s="75">
        <v>9.0277777777777776E-2</v>
      </c>
      <c r="F323" s="71">
        <f>HOUR(Tabla13[[#This Row],[Hora fin ]]-Tabla13[[#This Row],[Hora inicio]])+MINUTE(Tabla13[[#This Row],[Hora fin ]]-Tabla13[[#This Row],[Hora inicio]])/60</f>
        <v>8.3333333333333329E-2</v>
      </c>
      <c r="G323" s="60" t="s">
        <v>4</v>
      </c>
      <c r="H323" s="60" t="s">
        <v>5</v>
      </c>
      <c r="I323" s="60" t="s">
        <v>258</v>
      </c>
      <c r="J323" s="60" t="s">
        <v>359</v>
      </c>
      <c r="K323" s="58" t="s">
        <v>400</v>
      </c>
      <c r="L323" s="75"/>
    </row>
    <row r="324" spans="1:12" hidden="1">
      <c r="A324" s="72">
        <v>46094</v>
      </c>
      <c r="B324" s="87"/>
      <c r="C324" s="74" t="str">
        <f>IF(Tabla13[[#This Row],[Fecha]]="","",TEXT(Tabla13[[#This Row],[Fecha]],"mmmm"))</f>
        <v>marzo</v>
      </c>
      <c r="D324" s="75">
        <v>0.41944444444444445</v>
      </c>
      <c r="E324" s="75">
        <v>0.42291666666666666</v>
      </c>
      <c r="F324" s="71">
        <f>HOUR(Tabla13[[#This Row],[Hora fin ]]-Tabla13[[#This Row],[Hora inicio]])+MINUTE(Tabla13[[#This Row],[Hora fin ]]-Tabla13[[#This Row],[Hora inicio]])/60</f>
        <v>8.3333333333333329E-2</v>
      </c>
      <c r="G324" s="60" t="s">
        <v>4</v>
      </c>
      <c r="H324" s="60" t="s">
        <v>5</v>
      </c>
      <c r="I324" s="60" t="s">
        <v>258</v>
      </c>
      <c r="J324" s="60" t="s">
        <v>359</v>
      </c>
      <c r="K324" s="58" t="s">
        <v>400</v>
      </c>
      <c r="L324" s="75"/>
    </row>
    <row r="325" spans="1:12" hidden="1">
      <c r="A325" s="72">
        <v>46095</v>
      </c>
      <c r="B325" s="87"/>
      <c r="C325" s="74" t="str">
        <f>IF(Tabla13[[#This Row],[Fecha]]="","",TEXT(Tabla13[[#This Row],[Fecha]],"mmmm"))</f>
        <v>marzo</v>
      </c>
      <c r="D325" s="75">
        <v>0.32708333333333334</v>
      </c>
      <c r="E325" s="75">
        <v>0.32847222222222222</v>
      </c>
      <c r="F325" s="71">
        <f>HOUR(Tabla13[[#This Row],[Hora fin ]]-Tabla13[[#This Row],[Hora inicio]])+MINUTE(Tabla13[[#This Row],[Hora fin ]]-Tabla13[[#This Row],[Hora inicio]])/60</f>
        <v>3.3333333333333333E-2</v>
      </c>
      <c r="G325" s="60" t="s">
        <v>10</v>
      </c>
      <c r="H325" s="60" t="s">
        <v>20</v>
      </c>
      <c r="I325" s="60" t="s">
        <v>24</v>
      </c>
      <c r="J325" s="60" t="s">
        <v>327</v>
      </c>
      <c r="K325" s="58" t="s">
        <v>506</v>
      </c>
      <c r="L325" s="75"/>
    </row>
    <row r="326" spans="1:12" hidden="1">
      <c r="A326" s="72">
        <v>46096</v>
      </c>
      <c r="B326" s="87"/>
      <c r="C326" s="74" t="str">
        <f>IF(Tabla13[[#This Row],[Fecha]]="","",TEXT(Tabla13[[#This Row],[Fecha]],"mmmm"))</f>
        <v>marzo</v>
      </c>
      <c r="D326" s="75">
        <v>0.11944444444444445</v>
      </c>
      <c r="E326" s="75">
        <v>0.12222222222222222</v>
      </c>
      <c r="F326" s="71">
        <f>HOUR(Tabla13[[#This Row],[Hora fin ]]-Tabla13[[#This Row],[Hora inicio]])+MINUTE(Tabla13[[#This Row],[Hora fin ]]-Tabla13[[#This Row],[Hora inicio]])/60</f>
        <v>6.6666666666666666E-2</v>
      </c>
      <c r="G326" s="60" t="s">
        <v>4</v>
      </c>
      <c r="H326" s="60" t="s">
        <v>5</v>
      </c>
      <c r="I326" s="60" t="s">
        <v>258</v>
      </c>
      <c r="J326" s="60" t="s">
        <v>359</v>
      </c>
      <c r="K326" s="58" t="s">
        <v>400</v>
      </c>
      <c r="L326" s="75"/>
    </row>
    <row r="327" spans="1:12" hidden="1">
      <c r="A327" s="72">
        <v>46096</v>
      </c>
      <c r="B327" s="87"/>
      <c r="C327" s="74" t="str">
        <f>IF(Tabla13[[#This Row],[Fecha]]="","",TEXT(Tabla13[[#This Row],[Fecha]],"mmmm"))</f>
        <v>marzo</v>
      </c>
      <c r="D327" s="75">
        <v>0.25</v>
      </c>
      <c r="E327" s="75">
        <v>0.58333333333333337</v>
      </c>
      <c r="F327" s="71">
        <f>HOUR(Tabla13[[#This Row],[Hora fin ]]-Tabla13[[#This Row],[Hora inicio]])+MINUTE(Tabla13[[#This Row],[Hora fin ]]-Tabla13[[#This Row],[Hora inicio]])/60</f>
        <v>8</v>
      </c>
      <c r="G327" s="60" t="s">
        <v>4</v>
      </c>
      <c r="H327" s="60" t="s">
        <v>16</v>
      </c>
      <c r="I327" s="60" t="s">
        <v>6</v>
      </c>
      <c r="J327" s="60" t="s">
        <v>16</v>
      </c>
      <c r="K327" s="57" t="s">
        <v>440</v>
      </c>
      <c r="L327" s="75"/>
    </row>
    <row r="328" spans="1:12" hidden="1">
      <c r="A328" s="72">
        <v>46097</v>
      </c>
      <c r="B328" s="87"/>
      <c r="C328" s="74" t="str">
        <f>IF(Tabla13[[#This Row],[Fecha]]="","",TEXT(Tabla13[[#This Row],[Fecha]],"mmmm"))</f>
        <v>marzo</v>
      </c>
      <c r="D328" s="75">
        <v>0.52361111111111114</v>
      </c>
      <c r="E328" s="75">
        <v>0.52708333333333335</v>
      </c>
      <c r="F328" s="71">
        <f>HOUR(Tabla13[[#This Row],[Hora fin ]]-Tabla13[[#This Row],[Hora inicio]])+MINUTE(Tabla13[[#This Row],[Hora fin ]]-Tabla13[[#This Row],[Hora inicio]])/60</f>
        <v>8.3333333333333329E-2</v>
      </c>
      <c r="G328" s="60" t="s">
        <v>4</v>
      </c>
      <c r="H328" s="60" t="s">
        <v>5</v>
      </c>
      <c r="I328" s="60" t="s">
        <v>258</v>
      </c>
      <c r="J328" s="60" t="s">
        <v>359</v>
      </c>
      <c r="K328" s="58" t="s">
        <v>400</v>
      </c>
      <c r="L328" s="75"/>
    </row>
    <row r="329" spans="1:12" hidden="1">
      <c r="A329" s="72">
        <v>46097</v>
      </c>
      <c r="B329" s="87"/>
      <c r="C329" s="74" t="str">
        <f>IF(Tabla13[[#This Row],[Fecha]]="","",TEXT(Tabla13[[#This Row],[Fecha]],"mmmm"))</f>
        <v>marzo</v>
      </c>
      <c r="D329" s="75">
        <v>0.9555555555555556</v>
      </c>
      <c r="E329" s="75">
        <v>1</v>
      </c>
      <c r="F329" s="71">
        <f>HOUR(Tabla13[[#This Row],[Hora fin ]]-Tabla13[[#This Row],[Hora inicio]])+MINUTE(Tabla13[[#This Row],[Hora fin ]]-Tabla13[[#This Row],[Hora inicio]])/60</f>
        <v>1.0666666666666667</v>
      </c>
      <c r="G329" s="60" t="s">
        <v>10</v>
      </c>
      <c r="H329" s="60" t="s">
        <v>20</v>
      </c>
      <c r="I329" s="60" t="s">
        <v>17</v>
      </c>
      <c r="J329" s="60" t="s">
        <v>290</v>
      </c>
      <c r="K329" s="58" t="s">
        <v>507</v>
      </c>
      <c r="L329" s="75"/>
    </row>
    <row r="330" spans="1:12" hidden="1">
      <c r="A330" s="72">
        <v>46098</v>
      </c>
      <c r="B330" s="87"/>
      <c r="C330" s="74" t="str">
        <f>IF(Tabla13[[#This Row],[Fecha]]="","",TEXT(Tabla13[[#This Row],[Fecha]],"mmmm"))</f>
        <v>marzo</v>
      </c>
      <c r="D330" s="75">
        <v>0.40416666666666667</v>
      </c>
      <c r="E330" s="75">
        <v>0.42083333333333334</v>
      </c>
      <c r="F330" s="71">
        <f>HOUR(Tabla13[[#This Row],[Hora fin ]]-Tabla13[[#This Row],[Hora inicio]])+MINUTE(Tabla13[[#This Row],[Hora fin ]]-Tabla13[[#This Row],[Hora inicio]])/60</f>
        <v>0.4</v>
      </c>
      <c r="G330" s="60" t="s">
        <v>10</v>
      </c>
      <c r="H330" s="60" t="s">
        <v>26</v>
      </c>
      <c r="I330" s="60" t="s">
        <v>17</v>
      </c>
      <c r="J330" s="60" t="s">
        <v>290</v>
      </c>
      <c r="K330" s="57" t="s">
        <v>496</v>
      </c>
      <c r="L330" s="75"/>
    </row>
    <row r="331" spans="1:12" hidden="1">
      <c r="A331" s="72">
        <v>46099</v>
      </c>
      <c r="B331" s="87"/>
      <c r="C331" s="74" t="str">
        <f>IF(Tabla13[[#This Row],[Fecha]]="","",TEXT(Tabla13[[#This Row],[Fecha]],"mmmm"))</f>
        <v>marzo</v>
      </c>
      <c r="D331" s="75">
        <v>8.8888888888888892E-2</v>
      </c>
      <c r="E331" s="75">
        <v>9.166666666666666E-2</v>
      </c>
      <c r="F331" s="71">
        <f>HOUR(Tabla13[[#This Row],[Hora fin ]]-Tabla13[[#This Row],[Hora inicio]])+MINUTE(Tabla13[[#This Row],[Hora fin ]]-Tabla13[[#This Row],[Hora inicio]])/60</f>
        <v>6.6666666666666666E-2</v>
      </c>
      <c r="G331" s="60" t="s">
        <v>4</v>
      </c>
      <c r="H331" s="60" t="s">
        <v>5</v>
      </c>
      <c r="I331" s="60" t="s">
        <v>258</v>
      </c>
      <c r="J331" s="60" t="s">
        <v>359</v>
      </c>
      <c r="K331" s="58" t="s">
        <v>400</v>
      </c>
      <c r="L331" s="75"/>
    </row>
    <row r="332" spans="1:12" hidden="1">
      <c r="A332" s="72">
        <v>46100</v>
      </c>
      <c r="B332" s="87"/>
      <c r="C332" s="74" t="str">
        <f>IF(Tabla13[[#This Row],[Fecha]]="","",TEXT(Tabla13[[#This Row],[Fecha]],"mmmm"))</f>
        <v>marzo</v>
      </c>
      <c r="D332" s="75">
        <v>0.46527777777777779</v>
      </c>
      <c r="E332" s="75">
        <v>0.46805555555555556</v>
      </c>
      <c r="F332" s="71">
        <f>HOUR(Tabla13[[#This Row],[Hora fin ]]-Tabla13[[#This Row],[Hora inicio]])+MINUTE(Tabla13[[#This Row],[Hora fin ]]-Tabla13[[#This Row],[Hora inicio]])/60</f>
        <v>6.6666666666666666E-2</v>
      </c>
      <c r="G332" s="60" t="s">
        <v>4</v>
      </c>
      <c r="H332" s="60" t="s">
        <v>5</v>
      </c>
      <c r="I332" s="60" t="s">
        <v>258</v>
      </c>
      <c r="J332" s="60" t="s">
        <v>359</v>
      </c>
      <c r="K332" s="58" t="s">
        <v>400</v>
      </c>
      <c r="L332" s="75"/>
    </row>
    <row r="333" spans="1:12" hidden="1">
      <c r="A333" s="72">
        <v>46100</v>
      </c>
      <c r="B333" s="87"/>
      <c r="C333" s="74" t="str">
        <f>IF(Tabla13[[#This Row],[Fecha]]="","",TEXT(Tabla13[[#This Row],[Fecha]],"mmmm"))</f>
        <v>marzo</v>
      </c>
      <c r="D333" s="75">
        <v>0.56874999999999998</v>
      </c>
      <c r="E333" s="75">
        <v>0.6479166666666667</v>
      </c>
      <c r="F333" s="71">
        <f>HOUR(Tabla13[[#This Row],[Hora fin ]]-Tabla13[[#This Row],[Hora inicio]])+MINUTE(Tabla13[[#This Row],[Hora fin ]]-Tabla13[[#This Row],[Hora inicio]])/60</f>
        <v>1.9</v>
      </c>
      <c r="G333" s="60" t="s">
        <v>10</v>
      </c>
      <c r="H333" s="60" t="s">
        <v>26</v>
      </c>
      <c r="I333" s="60" t="s">
        <v>19</v>
      </c>
      <c r="J333" s="60" t="s">
        <v>312</v>
      </c>
      <c r="K333" s="58" t="s">
        <v>508</v>
      </c>
      <c r="L333" s="75"/>
    </row>
    <row r="334" spans="1:12" hidden="1">
      <c r="A334" s="72">
        <v>46100</v>
      </c>
      <c r="B334" s="87"/>
      <c r="C334" s="74" t="str">
        <f>IF(Tabla13[[#This Row],[Fecha]]="","",TEXT(Tabla13[[#This Row],[Fecha]],"mmmm"))</f>
        <v>marzo</v>
      </c>
      <c r="D334" s="75">
        <v>0.66319444444444442</v>
      </c>
      <c r="E334" s="75">
        <v>0.66527777777777775</v>
      </c>
      <c r="F334" s="71">
        <f>HOUR(Tabla13[[#This Row],[Hora fin ]]-Tabla13[[#This Row],[Hora inicio]])+MINUTE(Tabla13[[#This Row],[Hora fin ]]-Tabla13[[#This Row],[Hora inicio]])/60</f>
        <v>0.05</v>
      </c>
      <c r="G334" s="60" t="s">
        <v>4</v>
      </c>
      <c r="H334" s="60" t="s">
        <v>5</v>
      </c>
      <c r="I334" s="60" t="s">
        <v>258</v>
      </c>
      <c r="J334" s="60" t="s">
        <v>359</v>
      </c>
      <c r="K334" s="58" t="s">
        <v>400</v>
      </c>
      <c r="L334" s="75"/>
    </row>
    <row r="335" spans="1:12" hidden="1">
      <c r="A335" s="72">
        <v>46101</v>
      </c>
      <c r="B335" s="87"/>
      <c r="C335" s="74" t="str">
        <f>IF(Tabla13[[#This Row],[Fecha]]="","",TEXT(Tabla13[[#This Row],[Fecha]],"mmmm"))</f>
        <v>marzo</v>
      </c>
      <c r="D335" s="75">
        <v>0.16388888888888889</v>
      </c>
      <c r="E335" s="75">
        <v>0.18194444444444444</v>
      </c>
      <c r="F335" s="71">
        <f>HOUR(Tabla13[[#This Row],[Hora fin ]]-Tabla13[[#This Row],[Hora inicio]])+MINUTE(Tabla13[[#This Row],[Hora fin ]]-Tabla13[[#This Row],[Hora inicio]])/60</f>
        <v>0.43333333333333335</v>
      </c>
      <c r="G335" s="60" t="s">
        <v>10</v>
      </c>
      <c r="H335" s="60" t="s">
        <v>20</v>
      </c>
      <c r="I335" s="60" t="s">
        <v>21</v>
      </c>
      <c r="J335" s="60" t="s">
        <v>321</v>
      </c>
      <c r="K335" s="58" t="s">
        <v>509</v>
      </c>
      <c r="L335" s="75"/>
    </row>
    <row r="336" spans="1:12" hidden="1">
      <c r="A336" s="72">
        <v>46102</v>
      </c>
      <c r="B336" s="87"/>
      <c r="C336" s="74" t="str">
        <f>IF(Tabla13[[#This Row],[Fecha]]="","",TEXT(Tabla13[[#This Row],[Fecha]],"mmmm"))</f>
        <v>marzo</v>
      </c>
      <c r="D336" s="75">
        <v>0.12222222222222222</v>
      </c>
      <c r="E336" s="75">
        <v>0.12708333333333333</v>
      </c>
      <c r="F336" s="71">
        <f>HOUR(Tabla13[[#This Row],[Hora fin ]]-Tabla13[[#This Row],[Hora inicio]])+MINUTE(Tabla13[[#This Row],[Hora fin ]]-Tabla13[[#This Row],[Hora inicio]])/60</f>
        <v>0.11666666666666667</v>
      </c>
      <c r="G336" s="60" t="s">
        <v>4</v>
      </c>
      <c r="H336" s="60" t="s">
        <v>5</v>
      </c>
      <c r="I336" s="60" t="s">
        <v>258</v>
      </c>
      <c r="J336" s="60" t="s">
        <v>359</v>
      </c>
      <c r="K336" s="58" t="s">
        <v>400</v>
      </c>
      <c r="L336" s="75"/>
    </row>
    <row r="337" spans="1:12" hidden="1">
      <c r="A337" s="72">
        <v>46102</v>
      </c>
      <c r="B337" s="87"/>
      <c r="C337" s="74" t="str">
        <f>IF(Tabla13[[#This Row],[Fecha]]="","",TEXT(Tabla13[[#This Row],[Fecha]],"mmmm"))</f>
        <v>marzo</v>
      </c>
      <c r="D337" s="75">
        <v>0.60972222222222228</v>
      </c>
      <c r="E337" s="75">
        <v>0.6118055555555556</v>
      </c>
      <c r="F337" s="71">
        <f>HOUR(Tabla13[[#This Row],[Hora fin ]]-Tabla13[[#This Row],[Hora inicio]])+MINUTE(Tabla13[[#This Row],[Hora fin ]]-Tabla13[[#This Row],[Hora inicio]])/60</f>
        <v>0.05</v>
      </c>
      <c r="G337" s="60" t="s">
        <v>4</v>
      </c>
      <c r="H337" s="60" t="s">
        <v>5</v>
      </c>
      <c r="I337" s="60" t="s">
        <v>258</v>
      </c>
      <c r="J337" s="60" t="s">
        <v>359</v>
      </c>
      <c r="K337" s="58" t="s">
        <v>400</v>
      </c>
      <c r="L337" s="75"/>
    </row>
    <row r="338" spans="1:12" hidden="1">
      <c r="A338" s="72">
        <v>46103</v>
      </c>
      <c r="B338" s="87"/>
      <c r="C338" s="74" t="str">
        <f>IF(Tabla13[[#This Row],[Fecha]]="","",TEXT(Tabla13[[#This Row],[Fecha]],"mmmm"))</f>
        <v>marzo</v>
      </c>
      <c r="D338" s="75">
        <v>0.625</v>
      </c>
      <c r="E338" s="75">
        <v>0.63055555555555554</v>
      </c>
      <c r="F338" s="71">
        <f>HOUR(Tabla13[[#This Row],[Hora fin ]]-Tabla13[[#This Row],[Hora inicio]])+MINUTE(Tabla13[[#This Row],[Hora fin ]]-Tabla13[[#This Row],[Hora inicio]])/60</f>
        <v>0.13333333333333333</v>
      </c>
      <c r="G338" s="60" t="s">
        <v>10</v>
      </c>
      <c r="H338" s="60" t="s">
        <v>26</v>
      </c>
      <c r="I338" s="60" t="s">
        <v>12</v>
      </c>
      <c r="J338" s="60" t="s">
        <v>280</v>
      </c>
      <c r="K338" s="58" t="s">
        <v>510</v>
      </c>
      <c r="L338" s="75"/>
    </row>
    <row r="339" spans="1:12" hidden="1">
      <c r="A339" s="72">
        <v>46103</v>
      </c>
      <c r="B339" s="87"/>
      <c r="C339" s="74" t="str">
        <f>IF(Tabla13[[#This Row],[Fecha]]="","",TEXT(Tabla13[[#This Row],[Fecha]],"mmmm"))</f>
        <v>marzo</v>
      </c>
      <c r="D339" s="75">
        <v>0.65486111111111112</v>
      </c>
      <c r="E339" s="75">
        <v>0.66805555555555551</v>
      </c>
      <c r="F339" s="71">
        <f>HOUR(Tabla13[[#This Row],[Hora fin ]]-Tabla13[[#This Row],[Hora inicio]])+MINUTE(Tabla13[[#This Row],[Hora fin ]]-Tabla13[[#This Row],[Hora inicio]])/60</f>
        <v>0.31666666666666665</v>
      </c>
      <c r="G339" s="60" t="s">
        <v>10</v>
      </c>
      <c r="H339" s="60" t="s">
        <v>20</v>
      </c>
      <c r="I339" s="60" t="s">
        <v>24</v>
      </c>
      <c r="J339" s="60" t="s">
        <v>327</v>
      </c>
      <c r="K339" s="58" t="s">
        <v>462</v>
      </c>
      <c r="L339" s="75"/>
    </row>
    <row r="340" spans="1:12" hidden="1">
      <c r="A340" s="72">
        <v>46104</v>
      </c>
      <c r="B340" s="87"/>
      <c r="C340" s="74" t="str">
        <f>IF(Tabla13[[#This Row],[Fecha]]="","",TEXT(Tabla13[[#This Row],[Fecha]],"mmmm"))</f>
        <v>marzo</v>
      </c>
      <c r="D340" s="75">
        <v>7.7083333333333337E-2</v>
      </c>
      <c r="E340" s="75">
        <v>8.0555555555555561E-2</v>
      </c>
      <c r="F340" s="71">
        <f>HOUR(Tabla13[[#This Row],[Hora fin ]]-Tabla13[[#This Row],[Hora inicio]])+MINUTE(Tabla13[[#This Row],[Hora fin ]]-Tabla13[[#This Row],[Hora inicio]])/60</f>
        <v>8.3333333333333329E-2</v>
      </c>
      <c r="G340" s="60" t="s">
        <v>4</v>
      </c>
      <c r="H340" s="60" t="s">
        <v>5</v>
      </c>
      <c r="I340" s="60" t="s">
        <v>258</v>
      </c>
      <c r="J340" s="60" t="s">
        <v>359</v>
      </c>
      <c r="K340" s="58" t="s">
        <v>400</v>
      </c>
      <c r="L340" s="75"/>
    </row>
    <row r="341" spans="1:12" hidden="1">
      <c r="A341" s="72">
        <v>46104</v>
      </c>
      <c r="B341" s="87"/>
      <c r="C341" s="74" t="str">
        <f>IF(Tabla13[[#This Row],[Fecha]]="","",TEXT(Tabla13[[#This Row],[Fecha]],"mmmm"))</f>
        <v>marzo</v>
      </c>
      <c r="D341" s="75">
        <v>8.4722222222222227E-2</v>
      </c>
      <c r="E341" s="75">
        <v>9.166666666666666E-2</v>
      </c>
      <c r="F341" s="71">
        <f>HOUR(Tabla13[[#This Row],[Hora fin ]]-Tabla13[[#This Row],[Hora inicio]])+MINUTE(Tabla13[[#This Row],[Hora fin ]]-Tabla13[[#This Row],[Hora inicio]])/60</f>
        <v>0.16666666666666666</v>
      </c>
      <c r="G341" s="60" t="s">
        <v>10</v>
      </c>
      <c r="H341" s="60" t="s">
        <v>20</v>
      </c>
      <c r="I341" s="60" t="s">
        <v>258</v>
      </c>
      <c r="J341" s="60" t="s">
        <v>356</v>
      </c>
      <c r="K341" s="58" t="s">
        <v>511</v>
      </c>
      <c r="L341" s="75"/>
    </row>
    <row r="342" spans="1:12" hidden="1">
      <c r="A342" s="72">
        <v>46104</v>
      </c>
      <c r="B342" s="87"/>
      <c r="C342" s="74" t="str">
        <f>IF(Tabla13[[#This Row],[Fecha]]="","",TEXT(Tabla13[[#This Row],[Fecha]],"mmmm"))</f>
        <v>marzo</v>
      </c>
      <c r="D342" s="75">
        <v>0.21388888888888888</v>
      </c>
      <c r="E342" s="75">
        <v>0.21458333333333332</v>
      </c>
      <c r="F342" s="71">
        <f>HOUR(Tabla13[[#This Row],[Hora fin ]]-Tabla13[[#This Row],[Hora inicio]])+MINUTE(Tabla13[[#This Row],[Hora fin ]]-Tabla13[[#This Row],[Hora inicio]])/60</f>
        <v>1.6666666666666666E-2</v>
      </c>
      <c r="G342" s="60" t="s">
        <v>10</v>
      </c>
      <c r="H342" s="60" t="s">
        <v>20</v>
      </c>
      <c r="I342" s="60" t="s">
        <v>24</v>
      </c>
      <c r="J342" s="60" t="s">
        <v>327</v>
      </c>
      <c r="K342" s="58" t="s">
        <v>462</v>
      </c>
      <c r="L342" s="75"/>
    </row>
    <row r="343" spans="1:12" hidden="1">
      <c r="A343" s="72">
        <v>46104</v>
      </c>
      <c r="B343" s="87" t="str">
        <f>IF(Tabla13[[#This Row],[Fecha]]="","",TEXT(Tabla13[[#This Row],[Fecha]],"aaaa"))</f>
        <v>lunes</v>
      </c>
      <c r="C343" s="74" t="str">
        <f>IF(Tabla13[[#This Row],[Fecha]]="","",TEXT(Tabla13[[#This Row],[Fecha]],"mmmm"))</f>
        <v>marzo</v>
      </c>
      <c r="D343" s="75">
        <v>0.25</v>
      </c>
      <c r="E343" s="75">
        <v>0.66666666666666663</v>
      </c>
      <c r="F343" s="71">
        <f>HOUR(Tabla13[[#This Row],[Hora fin ]]-Tabla13[[#This Row],[Hora inicio]])+MINUTE(Tabla13[[#This Row],[Hora fin ]]-Tabla13[[#This Row],[Hora inicio]])/60</f>
        <v>10</v>
      </c>
      <c r="G343" s="60" t="s">
        <v>4</v>
      </c>
      <c r="H343" s="60" t="s">
        <v>16</v>
      </c>
      <c r="I343" s="60" t="s">
        <v>6</v>
      </c>
      <c r="J343" s="60" t="s">
        <v>16</v>
      </c>
      <c r="K343" s="57" t="s">
        <v>440</v>
      </c>
      <c r="L343" s="75"/>
    </row>
    <row r="344" spans="1:12" hidden="1">
      <c r="A344" s="72">
        <v>46105</v>
      </c>
      <c r="B344" s="87" t="str">
        <f>IF(Tabla13[[#This Row],[Fecha]]="","",TEXT(Tabla13[[#This Row],[Fecha]],"aaaa"))</f>
        <v>martes</v>
      </c>
      <c r="C344" s="74" t="str">
        <f>IF(Tabla13[[#This Row],[Fecha]]="","",TEXT(Tabla13[[#This Row],[Fecha]],"mmmm"))</f>
        <v>marzo</v>
      </c>
      <c r="D344" s="75">
        <v>0.25</v>
      </c>
      <c r="E344" s="75">
        <v>0.66666666666666663</v>
      </c>
      <c r="F344" s="71">
        <f>HOUR(Tabla13[[#This Row],[Hora fin ]]-Tabla13[[#This Row],[Hora inicio]])+MINUTE(Tabla13[[#This Row],[Hora fin ]]-Tabla13[[#This Row],[Hora inicio]])/60</f>
        <v>10</v>
      </c>
      <c r="G344" s="60" t="s">
        <v>4</v>
      </c>
      <c r="H344" s="60" t="s">
        <v>16</v>
      </c>
      <c r="I344" s="60" t="s">
        <v>6</v>
      </c>
      <c r="J344" s="60" t="s">
        <v>16</v>
      </c>
      <c r="K344" s="57" t="s">
        <v>440</v>
      </c>
      <c r="L344" s="75"/>
    </row>
    <row r="345" spans="1:12" hidden="1">
      <c r="A345" s="72">
        <v>46106</v>
      </c>
      <c r="B345" s="87"/>
      <c r="C345" s="74" t="str">
        <f>IF(Tabla13[[#This Row],[Fecha]]="","",TEXT(Tabla13[[#This Row],[Fecha]],"mmmm"))</f>
        <v>marzo</v>
      </c>
      <c r="D345" s="75">
        <v>0.39305555555555555</v>
      </c>
      <c r="E345" s="75">
        <v>0.39652777777777776</v>
      </c>
      <c r="F345" s="71">
        <f>HOUR(Tabla13[[#This Row],[Hora fin ]]-Tabla13[[#This Row],[Hora inicio]])+MINUTE(Tabla13[[#This Row],[Hora fin ]]-Tabla13[[#This Row],[Hora inicio]])/60</f>
        <v>8.3333333333333329E-2</v>
      </c>
      <c r="G345" s="60" t="s">
        <v>4</v>
      </c>
      <c r="H345" s="60" t="s">
        <v>5</v>
      </c>
      <c r="I345" s="60" t="s">
        <v>258</v>
      </c>
      <c r="J345" s="60" t="s">
        <v>359</v>
      </c>
      <c r="K345" s="58" t="s">
        <v>400</v>
      </c>
      <c r="L345" s="75"/>
    </row>
    <row r="346" spans="1:12" hidden="1">
      <c r="A346" s="72">
        <v>46106</v>
      </c>
      <c r="B346" s="87"/>
      <c r="C346" s="74" t="str">
        <f>IF(Tabla13[[#This Row],[Fecha]]="","",TEXT(Tabla13[[#This Row],[Fecha]],"mmmm"))</f>
        <v>marzo</v>
      </c>
      <c r="D346" s="75">
        <v>0.95972222222222225</v>
      </c>
      <c r="E346" s="75">
        <v>0.96388888888888891</v>
      </c>
      <c r="F346" s="71">
        <f>HOUR(Tabla13[[#This Row],[Hora fin ]]-Tabla13[[#This Row],[Hora inicio]])+MINUTE(Tabla13[[#This Row],[Hora fin ]]-Tabla13[[#This Row],[Hora inicio]])/60</f>
        <v>0.1</v>
      </c>
      <c r="G346" s="60" t="s">
        <v>7</v>
      </c>
      <c r="H346" s="60" t="s">
        <v>23</v>
      </c>
      <c r="I346" s="60" t="s">
        <v>24</v>
      </c>
      <c r="J346" s="60" t="s">
        <v>329</v>
      </c>
      <c r="K346" s="58" t="s">
        <v>512</v>
      </c>
      <c r="L346" s="75"/>
    </row>
    <row r="347" spans="1:12" hidden="1">
      <c r="A347" s="72">
        <v>46107</v>
      </c>
      <c r="B347" s="87"/>
      <c r="C347" s="74" t="str">
        <f>IF(Tabla13[[#This Row],[Fecha]]="","",TEXT(Tabla13[[#This Row],[Fecha]],"mmmm"))</f>
        <v>marzo</v>
      </c>
      <c r="D347" s="60">
        <v>0.1125</v>
      </c>
      <c r="E347" s="60">
        <v>0.11458333333333333</v>
      </c>
      <c r="F347" s="71">
        <f>HOUR(Tabla13[[#This Row],[Hora fin ]]-Tabla13[[#This Row],[Hora inicio]])+MINUTE(Tabla13[[#This Row],[Hora fin ]]-Tabla13[[#This Row],[Hora inicio]])/60</f>
        <v>0.05</v>
      </c>
      <c r="G347" s="60" t="s">
        <v>10</v>
      </c>
      <c r="H347" s="60" t="s">
        <v>20</v>
      </c>
      <c r="I347" s="60" t="s">
        <v>24</v>
      </c>
      <c r="J347" s="60" t="s">
        <v>327</v>
      </c>
      <c r="K347" s="58" t="s">
        <v>462</v>
      </c>
      <c r="L347" s="75"/>
    </row>
    <row r="348" spans="1:12" hidden="1">
      <c r="A348" s="72">
        <v>46107</v>
      </c>
      <c r="B348" s="87"/>
      <c r="C348" s="74" t="str">
        <f>IF(Tabla13[[#This Row],[Fecha]]="","",TEXT(Tabla13[[#This Row],[Fecha]],"mmmm"))</f>
        <v>marzo</v>
      </c>
      <c r="D348" s="91">
        <v>0.6069444444444444</v>
      </c>
      <c r="E348" s="91">
        <v>0.60833333333333328</v>
      </c>
      <c r="F348" s="71">
        <f>HOUR(Tabla13[[#This Row],[Hora fin ]]-Tabla13[[#This Row],[Hora inicio]])+MINUTE(Tabla13[[#This Row],[Hora fin ]]-Tabla13[[#This Row],[Hora inicio]])/60</f>
        <v>3.3333333333333333E-2</v>
      </c>
      <c r="G348" s="60" t="s">
        <v>10</v>
      </c>
      <c r="H348" s="60" t="s">
        <v>20</v>
      </c>
      <c r="I348" s="60" t="s">
        <v>24</v>
      </c>
      <c r="J348" s="60" t="s">
        <v>327</v>
      </c>
      <c r="K348" s="58" t="s">
        <v>462</v>
      </c>
      <c r="L348" s="75"/>
    </row>
    <row r="349" spans="1:12" hidden="1">
      <c r="A349" s="72">
        <v>46108</v>
      </c>
      <c r="B349" s="87"/>
      <c r="C349" s="74" t="str">
        <f>IF(Tabla13[[#This Row],[Fecha]]="","",TEXT(Tabla13[[#This Row],[Fecha]],"mmmm"))</f>
        <v>marzo</v>
      </c>
      <c r="D349" s="60">
        <v>0.80486111111111114</v>
      </c>
      <c r="E349" s="60">
        <v>0.8569444444444444</v>
      </c>
      <c r="F349" s="71">
        <f>HOUR(Tabla13[[#This Row],[Hora fin ]]-Tabla13[[#This Row],[Hora inicio]])+MINUTE(Tabla13[[#This Row],[Hora fin ]]-Tabla13[[#This Row],[Hora inicio]])/60</f>
        <v>1.25</v>
      </c>
      <c r="G349" s="60" t="s">
        <v>10</v>
      </c>
      <c r="H349" s="60" t="s">
        <v>23</v>
      </c>
      <c r="I349" s="60" t="s">
        <v>15</v>
      </c>
      <c r="J349" s="60" t="s">
        <v>282</v>
      </c>
      <c r="K349" s="60" t="s">
        <v>513</v>
      </c>
      <c r="L349" s="75"/>
    </row>
    <row r="350" spans="1:12" hidden="1">
      <c r="A350" s="72">
        <v>46108</v>
      </c>
      <c r="B350" s="87"/>
      <c r="C350" s="74" t="str">
        <f>IF(Tabla13[[#This Row],[Fecha]]="","",TEXT(Tabla13[[#This Row],[Fecha]],"mmmm"))</f>
        <v>marzo</v>
      </c>
      <c r="D350" s="91">
        <v>0.87777777777777777</v>
      </c>
      <c r="E350" s="91">
        <v>0.88055555555555554</v>
      </c>
      <c r="F350" s="71">
        <f>HOUR(Tabla13[[#This Row],[Hora fin ]]-Tabla13[[#This Row],[Hora inicio]])+MINUTE(Tabla13[[#This Row],[Hora fin ]]-Tabla13[[#This Row],[Hora inicio]])/60</f>
        <v>6.6666666666666666E-2</v>
      </c>
      <c r="G350" s="60" t="s">
        <v>4</v>
      </c>
      <c r="H350" s="60" t="s">
        <v>5</v>
      </c>
      <c r="I350" s="60" t="s">
        <v>258</v>
      </c>
      <c r="J350" s="60" t="s">
        <v>359</v>
      </c>
      <c r="K350" s="58" t="s">
        <v>400</v>
      </c>
      <c r="L350" s="75"/>
    </row>
    <row r="351" spans="1:12" hidden="1">
      <c r="A351" s="72">
        <v>46109</v>
      </c>
      <c r="B351" s="87"/>
      <c r="C351" s="74" t="str">
        <f>IF(Tabla13[[#This Row],[Fecha]]="","",TEXT(Tabla13[[#This Row],[Fecha]],"mmmm"))</f>
        <v>marzo</v>
      </c>
      <c r="D351" s="75">
        <v>0.53263888888888888</v>
      </c>
      <c r="E351" s="75">
        <v>0.5625</v>
      </c>
      <c r="F351" s="71">
        <f>HOUR(Tabla13[[#This Row],[Hora fin ]]-Tabla13[[#This Row],[Hora inicio]])+MINUTE(Tabla13[[#This Row],[Hora fin ]]-Tabla13[[#This Row],[Hora inicio]])/60</f>
        <v>0.71666666666666667</v>
      </c>
      <c r="G351" s="60" t="s">
        <v>10</v>
      </c>
      <c r="H351" s="60" t="s">
        <v>26</v>
      </c>
      <c r="I351" s="60" t="s">
        <v>17</v>
      </c>
      <c r="J351" s="60" t="s">
        <v>290</v>
      </c>
      <c r="K351" s="57" t="s">
        <v>496</v>
      </c>
      <c r="L351" s="75"/>
    </row>
    <row r="352" spans="1:12" hidden="1">
      <c r="A352" s="72">
        <v>46110</v>
      </c>
      <c r="B352" s="87"/>
      <c r="C352" s="74" t="str">
        <f>IF(Tabla13[[#This Row],[Fecha]]="","",TEXT(Tabla13[[#This Row],[Fecha]],"mmmm"))</f>
        <v>marzo</v>
      </c>
      <c r="D352" s="75">
        <v>0.12638888888888888</v>
      </c>
      <c r="E352" s="75">
        <v>0.13055555555555556</v>
      </c>
      <c r="F352" s="71">
        <f>HOUR(Tabla13[[#This Row],[Hora fin ]]-Tabla13[[#This Row],[Hora inicio]])+MINUTE(Tabla13[[#This Row],[Hora fin ]]-Tabla13[[#This Row],[Hora inicio]])/60</f>
        <v>0.1</v>
      </c>
      <c r="G352" s="60" t="s">
        <v>4</v>
      </c>
      <c r="H352" s="60" t="s">
        <v>5</v>
      </c>
      <c r="I352" s="60" t="s">
        <v>258</v>
      </c>
      <c r="J352" s="60" t="s">
        <v>359</v>
      </c>
      <c r="K352" s="58" t="s">
        <v>400</v>
      </c>
      <c r="L352" s="75"/>
    </row>
    <row r="353" spans="1:12" hidden="1">
      <c r="A353" s="72">
        <v>46111</v>
      </c>
      <c r="B353" s="87"/>
      <c r="C353" s="74" t="str">
        <f>IF(Tabla13[[#This Row],[Fecha]]="","",TEXT(Tabla13[[#This Row],[Fecha]],"mmmm"))</f>
        <v>marzo</v>
      </c>
      <c r="D353" s="75">
        <v>0.58125000000000004</v>
      </c>
      <c r="E353" s="75">
        <v>0.58472222222222225</v>
      </c>
      <c r="F353" s="71">
        <f>HOUR(Tabla13[[#This Row],[Hora fin ]]-Tabla13[[#This Row],[Hora inicio]])+MINUTE(Tabla13[[#This Row],[Hora fin ]]-Tabla13[[#This Row],[Hora inicio]])/60</f>
        <v>8.3333333333333329E-2</v>
      </c>
      <c r="G353" s="60" t="s">
        <v>4</v>
      </c>
      <c r="H353" s="60" t="s">
        <v>5</v>
      </c>
      <c r="I353" s="60" t="s">
        <v>258</v>
      </c>
      <c r="J353" s="60" t="s">
        <v>359</v>
      </c>
      <c r="K353" s="58" t="s">
        <v>400</v>
      </c>
      <c r="L353" s="75"/>
    </row>
    <row r="354" spans="1:12" hidden="1">
      <c r="A354" s="72">
        <v>46112</v>
      </c>
      <c r="B354" s="87"/>
      <c r="C354" s="74" t="str">
        <f>IF(Tabla13[[#This Row],[Fecha]]="","",TEXT(Tabla13[[#This Row],[Fecha]],"mmmm"))</f>
        <v>marzo</v>
      </c>
      <c r="D354" s="75">
        <v>0.53611111111111109</v>
      </c>
      <c r="E354" s="75">
        <v>0.53888888888888886</v>
      </c>
      <c r="F354" s="71">
        <f>HOUR(Tabla13[[#This Row],[Hora fin ]]-Tabla13[[#This Row],[Hora inicio]])+MINUTE(Tabla13[[#This Row],[Hora fin ]]-Tabla13[[#This Row],[Hora inicio]])/60</f>
        <v>6.6666666666666666E-2</v>
      </c>
      <c r="G354" s="60" t="s">
        <v>4</v>
      </c>
      <c r="H354" s="60" t="s">
        <v>5</v>
      </c>
      <c r="I354" s="60" t="s">
        <v>258</v>
      </c>
      <c r="J354" s="60" t="s">
        <v>359</v>
      </c>
      <c r="K354" s="58" t="s">
        <v>400</v>
      </c>
      <c r="L354" s="75"/>
    </row>
    <row r="355" spans="1:12" hidden="1">
      <c r="A355" s="72">
        <v>46113</v>
      </c>
      <c r="B355" s="87"/>
      <c r="C355" s="74" t="str">
        <f>IF(Tabla13[[#This Row],[Fecha]]="","",TEXT(Tabla13[[#This Row],[Fecha]],"mmmm"))</f>
        <v>abril</v>
      </c>
      <c r="D355" s="75">
        <v>0.2951388888888889</v>
      </c>
      <c r="E355" s="75">
        <v>0.29791666666666666</v>
      </c>
      <c r="F355" s="71">
        <f>HOUR(Tabla13[[#This Row],[Hora fin ]]-Tabla13[[#This Row],[Hora inicio]])+MINUTE(Tabla13[[#This Row],[Hora fin ]]-Tabla13[[#This Row],[Hora inicio]])/60</f>
        <v>6.6666666666666666E-2</v>
      </c>
      <c r="G355" s="60" t="s">
        <v>4</v>
      </c>
      <c r="H355" s="60" t="s">
        <v>5</v>
      </c>
      <c r="I355" s="60" t="s">
        <v>258</v>
      </c>
      <c r="J355" s="60" t="s">
        <v>359</v>
      </c>
      <c r="K355" s="58" t="s">
        <v>400</v>
      </c>
      <c r="L355" s="75"/>
    </row>
    <row r="356" spans="1:12" hidden="1">
      <c r="A356" s="72">
        <v>46113</v>
      </c>
      <c r="B356" s="87"/>
      <c r="C356" s="74" t="str">
        <f>IF(Tabla13[[#This Row],[Fecha]]="","",TEXT(Tabla13[[#This Row],[Fecha]],"mmmm"))</f>
        <v>abril</v>
      </c>
      <c r="D356" s="75">
        <v>0.39861111111111114</v>
      </c>
      <c r="E356" s="75">
        <v>0.40208333333333335</v>
      </c>
      <c r="F356" s="71">
        <f>HOUR(Tabla13[[#This Row],[Hora fin ]]-Tabla13[[#This Row],[Hora inicio]])+MINUTE(Tabla13[[#This Row],[Hora fin ]]-Tabla13[[#This Row],[Hora inicio]])/60</f>
        <v>8.3333333333333329E-2</v>
      </c>
      <c r="G356" s="60" t="s">
        <v>4</v>
      </c>
      <c r="H356" s="60" t="s">
        <v>5</v>
      </c>
      <c r="I356" s="60" t="s">
        <v>258</v>
      </c>
      <c r="J356" s="60" t="s">
        <v>356</v>
      </c>
      <c r="K356" s="58" t="s">
        <v>400</v>
      </c>
      <c r="L356" s="75"/>
    </row>
    <row r="357" spans="1:12" hidden="1">
      <c r="A357" s="72">
        <v>46113</v>
      </c>
      <c r="B357" s="87"/>
      <c r="C357" s="74" t="str">
        <f>IF(Tabla13[[#This Row],[Fecha]]="","",TEXT(Tabla13[[#This Row],[Fecha]],"mmmm"))</f>
        <v>abril</v>
      </c>
      <c r="D357" s="75">
        <v>0.41388888888888886</v>
      </c>
      <c r="E357" s="75">
        <v>0.44513888888888886</v>
      </c>
      <c r="F357" s="71">
        <f>HOUR(Tabla13[[#This Row],[Hora fin ]]-Tabla13[[#This Row],[Hora inicio]])+MINUTE(Tabla13[[#This Row],[Hora fin ]]-Tabla13[[#This Row],[Hora inicio]])/60</f>
        <v>0.75</v>
      </c>
      <c r="G357" s="60" t="s">
        <v>10</v>
      </c>
      <c r="H357" s="60" t="s">
        <v>30</v>
      </c>
      <c r="I357" s="60" t="s">
        <v>12</v>
      </c>
      <c r="J357" s="60" t="s">
        <v>270</v>
      </c>
      <c r="K357" s="57" t="s">
        <v>401</v>
      </c>
      <c r="L357" s="75"/>
    </row>
    <row r="358" spans="1:12" hidden="1">
      <c r="A358" s="72">
        <v>46114</v>
      </c>
      <c r="B358" s="87"/>
      <c r="C358" s="74" t="str">
        <f>IF(Tabla13[[#This Row],[Fecha]]="","",TEXT(Tabla13[[#This Row],[Fecha]],"mmmm"))</f>
        <v>abril</v>
      </c>
      <c r="D358" s="75">
        <v>0.1736111111111111</v>
      </c>
      <c r="E358" s="75">
        <v>0.17708333333333334</v>
      </c>
      <c r="F358" s="71">
        <f>HOUR(Tabla13[[#This Row],[Hora fin ]]-Tabla13[[#This Row],[Hora inicio]])+MINUTE(Tabla13[[#This Row],[Hora fin ]]-Tabla13[[#This Row],[Hora inicio]])/60</f>
        <v>8.3333333333333329E-2</v>
      </c>
      <c r="G358" s="60" t="s">
        <v>4</v>
      </c>
      <c r="H358" s="60" t="s">
        <v>8</v>
      </c>
      <c r="I358" s="60" t="s">
        <v>258</v>
      </c>
      <c r="J358" s="60" t="s">
        <v>359</v>
      </c>
      <c r="K358" s="58" t="s">
        <v>400</v>
      </c>
      <c r="L358" s="75"/>
    </row>
    <row r="359" spans="1:12" hidden="1">
      <c r="A359" s="72">
        <v>46114</v>
      </c>
      <c r="B359" s="87" t="str">
        <f>IF(Tabla13[[#This Row],[Fecha]]="","",TEXT(Tabla13[[#This Row],[Fecha]],"aaaa"))</f>
        <v>jueves</v>
      </c>
      <c r="C359" s="74" t="str">
        <f>IF(Tabla13[[#This Row],[Fecha]]="","",TEXT(Tabla13[[#This Row],[Fecha]],"mmmm"))</f>
        <v>abril</v>
      </c>
      <c r="D359" s="75">
        <v>0.5</v>
      </c>
      <c r="E359" s="75">
        <v>0.75</v>
      </c>
      <c r="F359" s="71">
        <f>HOUR(Tabla13[[#This Row],[Hora fin ]]-Tabla13[[#This Row],[Hora inicio]])+MINUTE(Tabla13[[#This Row],[Hora fin ]]-Tabla13[[#This Row],[Hora inicio]])/60</f>
        <v>6</v>
      </c>
      <c r="G359" s="60" t="s">
        <v>4</v>
      </c>
      <c r="H359" s="60" t="s">
        <v>16</v>
      </c>
      <c r="I359" s="60" t="s">
        <v>6</v>
      </c>
      <c r="J359" s="60" t="s">
        <v>16</v>
      </c>
      <c r="K359" s="57" t="s">
        <v>440</v>
      </c>
      <c r="L359" s="75"/>
    </row>
    <row r="360" spans="1:12" hidden="1">
      <c r="A360" s="72">
        <v>46115</v>
      </c>
      <c r="B360" s="87" t="str">
        <f>IF(Tabla13[[#This Row],[Fecha]]="","",TEXT(Tabla13[[#This Row],[Fecha]],"aaaa"))</f>
        <v>viernes</v>
      </c>
      <c r="C360" s="74" t="str">
        <f>IF(Tabla13[[#This Row],[Fecha]]="","",TEXT(Tabla13[[#This Row],[Fecha]],"mmmm"))</f>
        <v>abril</v>
      </c>
      <c r="D360" s="75">
        <v>0.25</v>
      </c>
      <c r="E360" s="75">
        <v>0.66666666666666663</v>
      </c>
      <c r="F360" s="71">
        <f>HOUR(Tabla13[[#This Row],[Hora fin ]]-Tabla13[[#This Row],[Hora inicio]])+MINUTE(Tabla13[[#This Row],[Hora fin ]]-Tabla13[[#This Row],[Hora inicio]])/60</f>
        <v>10</v>
      </c>
      <c r="G360" s="60" t="s">
        <v>4</v>
      </c>
      <c r="H360" s="60" t="s">
        <v>16</v>
      </c>
      <c r="I360" s="60" t="s">
        <v>6</v>
      </c>
      <c r="J360" s="60" t="s">
        <v>16</v>
      </c>
      <c r="K360" s="57" t="s">
        <v>440</v>
      </c>
      <c r="L360" s="75"/>
    </row>
    <row r="361" spans="1:12" hidden="1">
      <c r="A361" s="72">
        <v>46116</v>
      </c>
      <c r="B361" s="87" t="str">
        <f>IF(Tabla13[[#This Row],[Fecha]]="","",TEXT(Tabla13[[#This Row],[Fecha]],"aaaa"))</f>
        <v>sábado</v>
      </c>
      <c r="C361" s="74" t="str">
        <f>IF(Tabla13[[#This Row],[Fecha]]="","",TEXT(Tabla13[[#This Row],[Fecha]],"mmmm"))</f>
        <v>abril</v>
      </c>
      <c r="D361" s="75">
        <v>0.25</v>
      </c>
      <c r="E361" s="75">
        <v>0.75</v>
      </c>
      <c r="F361" s="71">
        <f>HOUR(Tabla13[[#This Row],[Hora fin ]]-Tabla13[[#This Row],[Hora inicio]])+MINUTE(Tabla13[[#This Row],[Hora fin ]]-Tabla13[[#This Row],[Hora inicio]])/60</f>
        <v>12</v>
      </c>
      <c r="G361" s="60" t="s">
        <v>4</v>
      </c>
      <c r="H361" s="60" t="s">
        <v>16</v>
      </c>
      <c r="I361" s="60" t="s">
        <v>6</v>
      </c>
      <c r="J361" s="60" t="s">
        <v>16</v>
      </c>
      <c r="K361" s="57" t="s">
        <v>440</v>
      </c>
      <c r="L361" s="75"/>
    </row>
    <row r="362" spans="1:12" hidden="1">
      <c r="A362" s="72">
        <v>46117</v>
      </c>
      <c r="B362" s="87" t="str">
        <f>IF(Tabla13[[#This Row],[Fecha]]="","",TEXT(Tabla13[[#This Row],[Fecha]],"aaaa"))</f>
        <v>domingo</v>
      </c>
      <c r="C362" s="74" t="str">
        <f>IF(Tabla13[[#This Row],[Fecha]]="","",TEXT(Tabla13[[#This Row],[Fecha]],"mmmm"))</f>
        <v>abril</v>
      </c>
      <c r="D362" s="75">
        <v>0.25</v>
      </c>
      <c r="E362" s="75">
        <v>0.66666666666666663</v>
      </c>
      <c r="F362" s="71">
        <f>HOUR(Tabla13[[#This Row],[Hora fin ]]-Tabla13[[#This Row],[Hora inicio]])+MINUTE(Tabla13[[#This Row],[Hora fin ]]-Tabla13[[#This Row],[Hora inicio]])/60</f>
        <v>10</v>
      </c>
      <c r="G362" s="60" t="s">
        <v>4</v>
      </c>
      <c r="H362" s="60" t="s">
        <v>16</v>
      </c>
      <c r="I362" s="60" t="s">
        <v>6</v>
      </c>
      <c r="J362" s="60" t="s">
        <v>16</v>
      </c>
      <c r="K362" s="57" t="s">
        <v>440</v>
      </c>
      <c r="L362" s="75"/>
    </row>
    <row r="363" spans="1:12" hidden="1">
      <c r="A363" s="72">
        <v>46118</v>
      </c>
      <c r="B363" s="87" t="str">
        <f>IF(Tabla13[[#This Row],[Fecha]]="","",TEXT(Tabla13[[#This Row],[Fecha]],"aaaa"))</f>
        <v>lunes</v>
      </c>
      <c r="C363" s="74" t="str">
        <f>IF(Tabla13[[#This Row],[Fecha]]="","",TEXT(Tabla13[[#This Row],[Fecha]],"mmmm"))</f>
        <v>abril</v>
      </c>
      <c r="D363" s="75">
        <v>0.25</v>
      </c>
      <c r="E363" s="75">
        <v>0.75</v>
      </c>
      <c r="F363" s="71">
        <f>HOUR(Tabla13[[#This Row],[Hora fin ]]-Tabla13[[#This Row],[Hora inicio]])+MINUTE(Tabla13[[#This Row],[Hora fin ]]-Tabla13[[#This Row],[Hora inicio]])/60</f>
        <v>12</v>
      </c>
      <c r="G363" s="60" t="s">
        <v>4</v>
      </c>
      <c r="H363" s="60" t="s">
        <v>16</v>
      </c>
      <c r="I363" s="60" t="s">
        <v>6</v>
      </c>
      <c r="J363" s="60" t="s">
        <v>16</v>
      </c>
      <c r="K363" s="57" t="s">
        <v>440</v>
      </c>
      <c r="L363" s="75"/>
    </row>
    <row r="364" spans="1:12" hidden="1">
      <c r="A364" s="72">
        <v>46119</v>
      </c>
      <c r="B364" s="87"/>
      <c r="C364" s="74" t="str">
        <f>IF(Tabla13[[#This Row],[Fecha]]="","",TEXT(Tabla13[[#This Row],[Fecha]],"mmmm"))</f>
        <v>abril</v>
      </c>
      <c r="D364" s="75">
        <v>0.19583333333333333</v>
      </c>
      <c r="E364" s="75">
        <v>0.1986111111111111</v>
      </c>
      <c r="F364" s="71">
        <f>HOUR(Tabla13[[#This Row],[Hora fin ]]-Tabla13[[#This Row],[Hora inicio]])+MINUTE(Tabla13[[#This Row],[Hora fin ]]-Tabla13[[#This Row],[Hora inicio]])/60</f>
        <v>6.6666666666666666E-2</v>
      </c>
      <c r="G364" s="60" t="s">
        <v>10</v>
      </c>
      <c r="H364" s="60" t="s">
        <v>20</v>
      </c>
      <c r="I364" s="60" t="s">
        <v>24</v>
      </c>
      <c r="J364" s="60" t="s">
        <v>327</v>
      </c>
      <c r="K364" s="58" t="s">
        <v>515</v>
      </c>
      <c r="L364" s="75"/>
    </row>
    <row r="365" spans="1:12" hidden="1">
      <c r="A365" s="72">
        <v>46119</v>
      </c>
      <c r="B365" s="87"/>
      <c r="C365" s="74" t="str">
        <f>IF(Tabla13[[#This Row],[Fecha]]="","",TEXT(Tabla13[[#This Row],[Fecha]],"mmmm"))</f>
        <v>abril</v>
      </c>
      <c r="D365" s="75">
        <v>0.21597222222222223</v>
      </c>
      <c r="E365" s="75">
        <v>0.21805555555555556</v>
      </c>
      <c r="F365" s="71">
        <f>HOUR(Tabla13[[#This Row],[Hora fin ]]-Tabla13[[#This Row],[Hora inicio]])+MINUTE(Tabla13[[#This Row],[Hora fin ]]-Tabla13[[#This Row],[Hora inicio]])/60</f>
        <v>0.05</v>
      </c>
      <c r="G365" s="60" t="s">
        <v>4</v>
      </c>
      <c r="H365" s="60" t="s">
        <v>5</v>
      </c>
      <c r="I365" s="60" t="s">
        <v>258</v>
      </c>
      <c r="J365" s="60" t="s">
        <v>356</v>
      </c>
      <c r="K365" s="58" t="s">
        <v>400</v>
      </c>
      <c r="L365" s="75"/>
    </row>
    <row r="366" spans="1:12" hidden="1">
      <c r="A366" s="72">
        <v>46119</v>
      </c>
      <c r="B366" s="87"/>
      <c r="C366" s="74" t="str">
        <f>IF(Tabla13[[#This Row],[Fecha]]="","",TEXT(Tabla13[[#This Row],[Fecha]],"mmmm"))</f>
        <v>abril</v>
      </c>
      <c r="D366" s="75">
        <v>0.23472222222222222</v>
      </c>
      <c r="E366" s="75">
        <v>0.2361111111111111</v>
      </c>
      <c r="F366" s="71">
        <f>HOUR(Tabla13[[#This Row],[Hora fin ]]-Tabla13[[#This Row],[Hora inicio]])+MINUTE(Tabla13[[#This Row],[Hora fin ]]-Tabla13[[#This Row],[Hora inicio]])/60</f>
        <v>3.3333333333333333E-2</v>
      </c>
      <c r="G366" s="60" t="s">
        <v>10</v>
      </c>
      <c r="H366" s="60" t="s">
        <v>20</v>
      </c>
      <c r="I366" s="60" t="s">
        <v>24</v>
      </c>
      <c r="J366" s="60" t="s">
        <v>327</v>
      </c>
      <c r="K366" s="58" t="s">
        <v>515</v>
      </c>
      <c r="L366" s="75"/>
    </row>
    <row r="367" spans="1:12" hidden="1">
      <c r="A367" s="72">
        <v>46119</v>
      </c>
      <c r="B367" s="87"/>
      <c r="C367" s="74" t="str">
        <f>IF(Tabla13[[#This Row],[Fecha]]="","",TEXT(Tabla13[[#This Row],[Fecha]],"mmmm"))</f>
        <v>abril</v>
      </c>
      <c r="D367" s="75">
        <v>0.81597222222222221</v>
      </c>
      <c r="E367" s="75">
        <v>0.81944444444444442</v>
      </c>
      <c r="F367" s="71">
        <f>HOUR(Tabla13[[#This Row],[Hora fin ]]-Tabla13[[#This Row],[Hora inicio]])+MINUTE(Tabla13[[#This Row],[Hora fin ]]-Tabla13[[#This Row],[Hora inicio]])/60</f>
        <v>8.3333333333333329E-2</v>
      </c>
      <c r="G367" s="60" t="s">
        <v>4</v>
      </c>
      <c r="H367" s="60" t="s">
        <v>5</v>
      </c>
      <c r="I367" s="60" t="s">
        <v>258</v>
      </c>
      <c r="J367" s="60" t="s">
        <v>359</v>
      </c>
      <c r="K367" s="58" t="s">
        <v>400</v>
      </c>
      <c r="L367" s="75"/>
    </row>
    <row r="368" spans="1:12" ht="30" hidden="1">
      <c r="A368" s="72">
        <v>46119</v>
      </c>
      <c r="B368" s="87"/>
      <c r="C368" s="74" t="str">
        <f>IF(Tabla13[[#This Row],[Fecha]]="","",TEXT(Tabla13[[#This Row],[Fecha]],"mmmm"))</f>
        <v>abril</v>
      </c>
      <c r="D368" s="75">
        <v>0.89861111111111114</v>
      </c>
      <c r="E368" s="75">
        <v>0.92638888888888893</v>
      </c>
      <c r="F368" s="71">
        <f>HOUR(Tabla13[[#This Row],[Hora fin ]]-Tabla13[[#This Row],[Hora inicio]])+MINUTE(Tabla13[[#This Row],[Hora fin ]]-Tabla13[[#This Row],[Hora inicio]])/60</f>
        <v>0.66666666666666663</v>
      </c>
      <c r="G368" s="60" t="s">
        <v>10</v>
      </c>
      <c r="H368" s="60" t="s">
        <v>23</v>
      </c>
      <c r="I368" s="60" t="s">
        <v>17</v>
      </c>
      <c r="J368" s="60" t="s">
        <v>290</v>
      </c>
      <c r="K368" s="58" t="s">
        <v>517</v>
      </c>
      <c r="L368" s="75"/>
    </row>
    <row r="369" spans="1:12" ht="30" hidden="1">
      <c r="A369" s="72">
        <v>46120</v>
      </c>
      <c r="B369" s="87"/>
      <c r="C369" s="74" t="str">
        <f>IF(Tabla13[[#This Row],[Fecha]]="","",TEXT(Tabla13[[#This Row],[Fecha]],"mmmm"))</f>
        <v>abril</v>
      </c>
      <c r="D369" s="92">
        <v>0.35625000000000001</v>
      </c>
      <c r="E369" s="92">
        <v>0.49444444444444446</v>
      </c>
      <c r="F369" s="71">
        <f>HOUR(Tabla13[[#This Row],[Hora fin ]]-Tabla13[[#This Row],[Hora inicio]])+MINUTE(Tabla13[[#This Row],[Hora fin ]]-Tabla13[[#This Row],[Hora inicio]])/60</f>
        <v>3.3166666666666664</v>
      </c>
      <c r="G369" s="60" t="s">
        <v>10</v>
      </c>
      <c r="H369" s="60" t="s">
        <v>23</v>
      </c>
      <c r="I369" s="60" t="s">
        <v>17</v>
      </c>
      <c r="J369" s="60" t="s">
        <v>292</v>
      </c>
      <c r="K369" s="58" t="s">
        <v>516</v>
      </c>
      <c r="L369" s="75"/>
    </row>
    <row r="370" spans="1:12" hidden="1">
      <c r="A370" s="72">
        <v>46120</v>
      </c>
      <c r="B370" s="87"/>
      <c r="C370" s="74" t="str">
        <f>IF(Tabla13[[#This Row],[Fecha]]="","",TEXT(Tabla13[[#This Row],[Fecha]],"mmmm"))</f>
        <v>abril</v>
      </c>
      <c r="D370" s="93">
        <v>0.59236111111111112</v>
      </c>
      <c r="E370" s="93">
        <v>0.59444444444444444</v>
      </c>
      <c r="F370" s="71">
        <f>HOUR(Tabla13[[#This Row],[Hora fin ]]-Tabla13[[#This Row],[Hora inicio]])+MINUTE(Tabla13[[#This Row],[Hora fin ]]-Tabla13[[#This Row],[Hora inicio]])/60</f>
        <v>0.05</v>
      </c>
      <c r="G370" s="60" t="s">
        <v>4</v>
      </c>
      <c r="H370" s="60" t="s">
        <v>5</v>
      </c>
      <c r="I370" s="60" t="s">
        <v>258</v>
      </c>
      <c r="J370" s="60" t="s">
        <v>356</v>
      </c>
      <c r="K370" s="58" t="s">
        <v>400</v>
      </c>
      <c r="L370" s="75"/>
    </row>
    <row r="371" spans="1:12" ht="30" hidden="1">
      <c r="A371" s="72">
        <v>46120</v>
      </c>
      <c r="B371" s="87"/>
      <c r="C371" s="74" t="str">
        <f>IF(Tabla13[[#This Row],[Fecha]]="","",TEXT(Tabla13[[#This Row],[Fecha]],"mmmm"))</f>
        <v>abril</v>
      </c>
      <c r="D371" s="94">
        <v>0.91666666666666663</v>
      </c>
      <c r="E371" s="94">
        <v>0.97013888888888888</v>
      </c>
      <c r="F371" s="71">
        <f>HOUR(Tabla13[[#This Row],[Hora fin ]]-Tabla13[[#This Row],[Hora inicio]])+MINUTE(Tabla13[[#This Row],[Hora fin ]]-Tabla13[[#This Row],[Hora inicio]])/60</f>
        <v>1.2833333333333332</v>
      </c>
      <c r="G371" s="60" t="s">
        <v>10</v>
      </c>
      <c r="H371" s="60" t="s">
        <v>23</v>
      </c>
      <c r="I371" s="60" t="s">
        <v>17</v>
      </c>
      <c r="J371" s="60" t="s">
        <v>290</v>
      </c>
      <c r="K371" s="58" t="s">
        <v>518</v>
      </c>
      <c r="L371" s="75"/>
    </row>
    <row r="372" spans="1:12" hidden="1">
      <c r="A372" s="72">
        <v>46121</v>
      </c>
      <c r="B372" s="87"/>
      <c r="C372" s="74" t="str">
        <f>IF(Tabla13[[#This Row],[Fecha]]="","",TEXT(Tabla13[[#This Row],[Fecha]],"mmmm"))</f>
        <v>abril</v>
      </c>
      <c r="D372" s="95">
        <v>0.93333333333333335</v>
      </c>
      <c r="E372" s="95">
        <v>0.96319444444444446</v>
      </c>
      <c r="F372" s="71">
        <f>HOUR(Tabla13[[#This Row],[Hora fin ]]-Tabla13[[#This Row],[Hora inicio]])+MINUTE(Tabla13[[#This Row],[Hora fin ]]-Tabla13[[#This Row],[Hora inicio]])/60</f>
        <v>0.71666666666666667</v>
      </c>
      <c r="G372" s="60" t="s">
        <v>10</v>
      </c>
      <c r="H372" s="60" t="s">
        <v>30</v>
      </c>
      <c r="I372" s="60" t="s">
        <v>12</v>
      </c>
      <c r="J372" s="60" t="s">
        <v>270</v>
      </c>
      <c r="K372" s="57" t="s">
        <v>401</v>
      </c>
      <c r="L372" s="75"/>
    </row>
    <row r="373" spans="1:12" ht="30" hidden="1">
      <c r="A373" s="72">
        <v>46122</v>
      </c>
      <c r="B373" s="87"/>
      <c r="C373" s="74" t="str">
        <f>IF(Tabla13[[#This Row],[Fecha]]="","",TEXT(Tabla13[[#This Row],[Fecha]],"mmmm"))</f>
        <v>abril</v>
      </c>
      <c r="D373" s="94">
        <v>0.46805555555555556</v>
      </c>
      <c r="E373" s="94">
        <v>0.52222222222222225</v>
      </c>
      <c r="F373" s="71">
        <f>HOUR(Tabla13[[#This Row],[Hora fin ]]-Tabla13[[#This Row],[Hora inicio]])+MINUTE(Tabla13[[#This Row],[Hora fin ]]-Tabla13[[#This Row],[Hora inicio]])/60</f>
        <v>1.3</v>
      </c>
      <c r="G373" s="60" t="s">
        <v>10</v>
      </c>
      <c r="H373" s="60" t="s">
        <v>23</v>
      </c>
      <c r="I373" s="60" t="s">
        <v>19</v>
      </c>
      <c r="J373" s="60" t="s">
        <v>298</v>
      </c>
      <c r="K373" s="58" t="s">
        <v>444</v>
      </c>
      <c r="L373" s="75"/>
    </row>
    <row r="374" spans="1:12" hidden="1">
      <c r="A374" s="72">
        <v>46122</v>
      </c>
      <c r="B374" s="87"/>
      <c r="C374" s="74" t="str">
        <f>IF(Tabla13[[#This Row],[Fecha]]="","",TEXT(Tabla13[[#This Row],[Fecha]],"mmmm"))</f>
        <v>abril</v>
      </c>
      <c r="D374" s="95">
        <v>0.60347222222222219</v>
      </c>
      <c r="E374" s="95">
        <v>0.6069444444444444</v>
      </c>
      <c r="F374" s="71">
        <f>HOUR(Tabla13[[#This Row],[Hora fin ]]-Tabla13[[#This Row],[Hora inicio]])+MINUTE(Tabla13[[#This Row],[Hora fin ]]-Tabla13[[#This Row],[Hora inicio]])/60</f>
        <v>8.3333333333333329E-2</v>
      </c>
      <c r="G374" s="60" t="s">
        <v>4</v>
      </c>
      <c r="H374" s="60" t="s">
        <v>5</v>
      </c>
      <c r="I374" s="60" t="s">
        <v>258</v>
      </c>
      <c r="J374" s="60" t="s">
        <v>359</v>
      </c>
      <c r="K374" s="58" t="s">
        <v>400</v>
      </c>
      <c r="L374" s="75"/>
    </row>
    <row r="375" spans="1:12" ht="30" hidden="1">
      <c r="A375" s="72">
        <v>46122</v>
      </c>
      <c r="B375" s="87"/>
      <c r="C375" s="74" t="str">
        <f>IF(Tabla13[[#This Row],[Fecha]]="","",TEXT(Tabla13[[#This Row],[Fecha]],"mmmm"))</f>
        <v>abril</v>
      </c>
      <c r="D375" s="75">
        <v>0.88749999999999996</v>
      </c>
      <c r="E375" s="75">
        <v>0.91597222222222219</v>
      </c>
      <c r="F375" s="71">
        <f>HOUR(Tabla13[[#This Row],[Hora fin ]]-Tabla13[[#This Row],[Hora inicio]])+MINUTE(Tabla13[[#This Row],[Hora fin ]]-Tabla13[[#This Row],[Hora inicio]])/60</f>
        <v>0.68333333333333335</v>
      </c>
      <c r="G375" s="60" t="s">
        <v>10</v>
      </c>
      <c r="H375" s="60" t="s">
        <v>23</v>
      </c>
      <c r="I375" s="60" t="s">
        <v>17</v>
      </c>
      <c r="J375" s="60" t="s">
        <v>290</v>
      </c>
      <c r="K375" s="58" t="s">
        <v>519</v>
      </c>
      <c r="L375" s="75"/>
    </row>
    <row r="376" spans="1:12" hidden="1">
      <c r="A376" s="72">
        <v>46123</v>
      </c>
      <c r="B376" s="87"/>
      <c r="C376" s="74" t="str">
        <f>IF(Tabla13[[#This Row],[Fecha]]="","",TEXT(Tabla13[[#This Row],[Fecha]],"mmmm"))</f>
        <v>abril</v>
      </c>
      <c r="D376" s="75">
        <v>0.2298611111111111</v>
      </c>
      <c r="E376" s="75">
        <v>0.23819444444444443</v>
      </c>
      <c r="F376" s="71">
        <f>HOUR(Tabla13[[#This Row],[Hora fin ]]-Tabla13[[#This Row],[Hora inicio]])+MINUTE(Tabla13[[#This Row],[Hora fin ]]-Tabla13[[#This Row],[Hora inicio]])/60</f>
        <v>0.2</v>
      </c>
      <c r="G376" s="60" t="s">
        <v>10</v>
      </c>
      <c r="H376" s="60" t="s">
        <v>26</v>
      </c>
      <c r="I376" s="60" t="s">
        <v>17</v>
      </c>
      <c r="J376" s="60" t="s">
        <v>290</v>
      </c>
      <c r="K376" s="58" t="s">
        <v>520</v>
      </c>
      <c r="L376" s="75"/>
    </row>
    <row r="377" spans="1:12" hidden="1">
      <c r="A377" s="72">
        <v>46123</v>
      </c>
      <c r="B377" s="87"/>
      <c r="C377" s="74" t="str">
        <f>IF(Tabla13[[#This Row],[Fecha]]="","",TEXT(Tabla13[[#This Row],[Fecha]],"mmmm"))</f>
        <v>abril</v>
      </c>
      <c r="D377" s="75">
        <v>0.47430555555555554</v>
      </c>
      <c r="E377" s="75">
        <v>0.49722222222222223</v>
      </c>
      <c r="F377" s="71">
        <f>HOUR(Tabla13[[#This Row],[Hora fin ]]-Tabla13[[#This Row],[Hora inicio]])+MINUTE(Tabla13[[#This Row],[Hora fin ]]-Tabla13[[#This Row],[Hora inicio]])/60</f>
        <v>0.55000000000000004</v>
      </c>
      <c r="G377" s="60" t="s">
        <v>10</v>
      </c>
      <c r="H377" s="60" t="s">
        <v>26</v>
      </c>
      <c r="I377" s="60" t="s">
        <v>17</v>
      </c>
      <c r="J377" s="60" t="s">
        <v>290</v>
      </c>
      <c r="K377" s="58" t="s">
        <v>520</v>
      </c>
      <c r="L377" s="75"/>
    </row>
    <row r="378" spans="1:12" hidden="1">
      <c r="A378" s="72">
        <v>46124</v>
      </c>
      <c r="B378" s="87"/>
      <c r="C378" s="74" t="str">
        <f>IF(Tabla13[[#This Row],[Fecha]]="","",TEXT(Tabla13[[#This Row],[Fecha]],"mmmm"))</f>
        <v>abril</v>
      </c>
      <c r="D378" s="75">
        <v>0.1125</v>
      </c>
      <c r="E378" s="75">
        <v>0.13055555555555556</v>
      </c>
      <c r="F378" s="71">
        <f>HOUR(Tabla13[[#This Row],[Hora fin ]]-Tabla13[[#This Row],[Hora inicio]])+MINUTE(Tabla13[[#This Row],[Hora fin ]]-Tabla13[[#This Row],[Hora inicio]])/60</f>
        <v>0.43333333333333335</v>
      </c>
      <c r="G378" s="60" t="s">
        <v>10</v>
      </c>
      <c r="H378" s="60" t="s">
        <v>26</v>
      </c>
      <c r="I378" s="60" t="s">
        <v>17</v>
      </c>
      <c r="J378" s="60" t="s">
        <v>290</v>
      </c>
      <c r="K378" s="58" t="s">
        <v>520</v>
      </c>
      <c r="L378" s="75"/>
    </row>
    <row r="379" spans="1:12" hidden="1">
      <c r="A379" s="72">
        <v>46124</v>
      </c>
      <c r="B379" s="87"/>
      <c r="C379" s="74" t="str">
        <f>IF(Tabla13[[#This Row],[Fecha]]="","",TEXT(Tabla13[[#This Row],[Fecha]],"mmmm"))</f>
        <v>abril</v>
      </c>
      <c r="D379" s="75">
        <v>0.24305555555555555</v>
      </c>
      <c r="E379" s="75">
        <v>0.24513888888888888</v>
      </c>
      <c r="F379" s="71">
        <f>HOUR(Tabla13[[#This Row],[Hora fin ]]-Tabla13[[#This Row],[Hora inicio]])+MINUTE(Tabla13[[#This Row],[Hora fin ]]-Tabla13[[#This Row],[Hora inicio]])/60</f>
        <v>0.05</v>
      </c>
      <c r="G379" s="60" t="s">
        <v>4</v>
      </c>
      <c r="H379" s="60" t="s">
        <v>5</v>
      </c>
      <c r="I379" s="60" t="s">
        <v>258</v>
      </c>
      <c r="J379" s="60" t="s">
        <v>356</v>
      </c>
      <c r="K379" s="58" t="s">
        <v>400</v>
      </c>
      <c r="L379" s="75"/>
    </row>
    <row r="380" spans="1:12" hidden="1">
      <c r="A380" s="72">
        <v>46124</v>
      </c>
      <c r="B380" s="87"/>
      <c r="C380" s="74" t="str">
        <f>IF(Tabla13[[#This Row],[Fecha]]="","",TEXT(Tabla13[[#This Row],[Fecha]],"mmmm"))</f>
        <v>abril</v>
      </c>
      <c r="D380" s="75">
        <v>0.99027777777777781</v>
      </c>
      <c r="E380" s="75">
        <v>0.99305555555555558</v>
      </c>
      <c r="F380" s="71">
        <f>HOUR(Tabla13[[#This Row],[Hora fin ]]-Tabla13[[#This Row],[Hora inicio]])+MINUTE(Tabla13[[#This Row],[Hora fin ]]-Tabla13[[#This Row],[Hora inicio]])/60</f>
        <v>6.6666666666666666E-2</v>
      </c>
      <c r="G380" s="60" t="s">
        <v>4</v>
      </c>
      <c r="H380" s="60" t="s">
        <v>5</v>
      </c>
      <c r="I380" s="60" t="s">
        <v>258</v>
      </c>
      <c r="J380" s="60" t="s">
        <v>359</v>
      </c>
      <c r="K380" s="58" t="s">
        <v>400</v>
      </c>
      <c r="L380" s="75"/>
    </row>
    <row r="381" spans="1:12" hidden="1">
      <c r="A381" s="72">
        <v>46125</v>
      </c>
      <c r="B381" s="87" t="str">
        <f>IF(Tabla13[[#This Row],[Fecha]]="","",TEXT(Tabla13[[#This Row],[Fecha]],"aaaa"))</f>
        <v>lunes</v>
      </c>
      <c r="C381" s="74" t="str">
        <f>IF(Tabla13[[#This Row],[Fecha]]="","",TEXT(Tabla13[[#This Row],[Fecha]],"mmmm"))</f>
        <v>abril</v>
      </c>
      <c r="D381" s="75">
        <v>0.25</v>
      </c>
      <c r="E381" s="75">
        <v>0.5</v>
      </c>
      <c r="F381" s="71">
        <f>HOUR(Tabla13[[#This Row],[Hora fin ]]-Tabla13[[#This Row],[Hora inicio]])+MINUTE(Tabla13[[#This Row],[Hora fin ]]-Tabla13[[#This Row],[Hora inicio]])/60</f>
        <v>6</v>
      </c>
      <c r="G381" s="60" t="s">
        <v>4</v>
      </c>
      <c r="H381" s="60" t="s">
        <v>16</v>
      </c>
      <c r="I381" s="60" t="s">
        <v>6</v>
      </c>
      <c r="J381" s="60" t="s">
        <v>16</v>
      </c>
      <c r="K381" s="57" t="s">
        <v>440</v>
      </c>
      <c r="L381" s="75"/>
    </row>
    <row r="382" spans="1:12" hidden="1">
      <c r="A382" s="72">
        <v>46125</v>
      </c>
      <c r="B382" s="87"/>
      <c r="C382" s="74" t="str">
        <f>IF(Tabla13[[#This Row],[Fecha]]="","",TEXT(Tabla13[[#This Row],[Fecha]],"mmmm"))</f>
        <v>abril</v>
      </c>
      <c r="D382" s="75">
        <v>0.67708333333333337</v>
      </c>
      <c r="E382" s="75">
        <v>0.67847222222222225</v>
      </c>
      <c r="F382" s="71">
        <f>HOUR(Tabla13[[#This Row],[Hora fin ]]-Tabla13[[#This Row],[Hora inicio]])+MINUTE(Tabla13[[#This Row],[Hora fin ]]-Tabla13[[#This Row],[Hora inicio]])/60</f>
        <v>3.3333333333333333E-2</v>
      </c>
      <c r="G382" s="60" t="s">
        <v>4</v>
      </c>
      <c r="H382" s="60" t="s">
        <v>5</v>
      </c>
      <c r="I382" s="60" t="s">
        <v>258</v>
      </c>
      <c r="J382" s="60" t="s">
        <v>356</v>
      </c>
      <c r="K382" s="58" t="s">
        <v>400</v>
      </c>
      <c r="L382" s="75"/>
    </row>
    <row r="383" spans="1:12" hidden="1">
      <c r="A383" s="72">
        <v>46126</v>
      </c>
      <c r="B383" s="87"/>
      <c r="C383" s="74" t="str">
        <f>IF(Tabla13[[#This Row],[Fecha]]="","",TEXT(Tabla13[[#This Row],[Fecha]],"mmmm"))</f>
        <v>abril</v>
      </c>
      <c r="D383" s="75">
        <v>0.37430555555555556</v>
      </c>
      <c r="E383" s="75">
        <v>0.37777777777777777</v>
      </c>
      <c r="F383" s="71">
        <f>HOUR(Tabla13[[#This Row],[Hora fin ]]-Tabla13[[#This Row],[Hora inicio]])+MINUTE(Tabla13[[#This Row],[Hora fin ]]-Tabla13[[#This Row],[Hora inicio]])/60</f>
        <v>8.3333333333333329E-2</v>
      </c>
      <c r="G383" s="60" t="s">
        <v>4</v>
      </c>
      <c r="H383" s="60" t="s">
        <v>5</v>
      </c>
      <c r="I383" s="60" t="s">
        <v>258</v>
      </c>
      <c r="J383" s="60" t="s">
        <v>359</v>
      </c>
      <c r="K383" s="58" t="s">
        <v>400</v>
      </c>
      <c r="L383" s="75"/>
    </row>
    <row r="384" spans="1:12" hidden="1">
      <c r="A384" s="72">
        <v>46126</v>
      </c>
      <c r="B384" s="87"/>
      <c r="C384" s="74" t="str">
        <f>IF(Tabla13[[#This Row],[Fecha]]="","",TEXT(Tabla13[[#This Row],[Fecha]],"mmmm"))</f>
        <v>abril</v>
      </c>
      <c r="D384" s="75">
        <v>0.61527777777777781</v>
      </c>
      <c r="E384" s="75">
        <v>0.61875000000000002</v>
      </c>
      <c r="F384" s="71">
        <f>HOUR(Tabla13[[#This Row],[Hora fin ]]-Tabla13[[#This Row],[Hora inicio]])+MINUTE(Tabla13[[#This Row],[Hora fin ]]-Tabla13[[#This Row],[Hora inicio]])/60</f>
        <v>8.3333333333333329E-2</v>
      </c>
      <c r="G384" s="60" t="s">
        <v>4</v>
      </c>
      <c r="H384" s="60" t="s">
        <v>5</v>
      </c>
      <c r="I384" s="60" t="s">
        <v>258</v>
      </c>
      <c r="J384" s="60" t="s">
        <v>356</v>
      </c>
      <c r="K384" s="58" t="s">
        <v>400</v>
      </c>
      <c r="L384" s="75"/>
    </row>
    <row r="385" spans="1:12" hidden="1">
      <c r="A385" s="72">
        <v>46126</v>
      </c>
      <c r="B385" s="87"/>
      <c r="C385" s="74" t="str">
        <f>IF(Tabla13[[#This Row],[Fecha]]="","",TEXT(Tabla13[[#This Row],[Fecha]],"mmmm"))</f>
        <v>abril</v>
      </c>
      <c r="D385" s="75">
        <v>0.84513888888888888</v>
      </c>
      <c r="E385" s="75">
        <v>0.86527777777777781</v>
      </c>
      <c r="F385" s="71">
        <f>HOUR(Tabla13[[#This Row],[Hora fin ]]-Tabla13[[#This Row],[Hora inicio]])+MINUTE(Tabla13[[#This Row],[Hora fin ]]-Tabla13[[#This Row],[Hora inicio]])/60</f>
        <v>0.48333333333333334</v>
      </c>
      <c r="G385" s="60" t="s">
        <v>10</v>
      </c>
      <c r="H385" s="60" t="s">
        <v>26</v>
      </c>
      <c r="I385" s="60" t="s">
        <v>17</v>
      </c>
      <c r="J385" s="60" t="s">
        <v>290</v>
      </c>
      <c r="K385" s="58" t="s">
        <v>520</v>
      </c>
      <c r="L385" s="75"/>
    </row>
    <row r="386" spans="1:12" ht="30" hidden="1">
      <c r="A386" s="72">
        <v>46127</v>
      </c>
      <c r="B386" s="87" t="str">
        <f>IF(Tabla13[[#This Row],[Fecha]]="","",TEXT(Tabla13[[#This Row],[Fecha]],"aaaa"))</f>
        <v>miércoles</v>
      </c>
      <c r="C386" s="74" t="str">
        <f>IF(Tabla13[[#This Row],[Fecha]]="","",TEXT(Tabla13[[#This Row],[Fecha]],"mmmm"))</f>
        <v>abril</v>
      </c>
      <c r="D386" s="75">
        <v>0.49027777777777776</v>
      </c>
      <c r="E386" s="75">
        <v>0.52500000000000002</v>
      </c>
      <c r="F386" s="71">
        <f>HOUR(Tabla13[[#This Row],[Hora fin ]]-Tabla13[[#This Row],[Hora inicio]])+MINUTE(Tabla13[[#This Row],[Hora fin ]]-Tabla13[[#This Row],[Hora inicio]])/60</f>
        <v>0.83333333333333337</v>
      </c>
      <c r="G386" s="60" t="s">
        <v>10</v>
      </c>
      <c r="H386" s="60" t="s">
        <v>25</v>
      </c>
      <c r="I386" s="60" t="s">
        <v>19</v>
      </c>
      <c r="J386" s="60" t="s">
        <v>309</v>
      </c>
      <c r="K386" s="58" t="s">
        <v>533</v>
      </c>
      <c r="L386" s="75"/>
    </row>
    <row r="387" spans="1:12" hidden="1">
      <c r="A387" s="72">
        <v>46127</v>
      </c>
      <c r="B387" s="87" t="str">
        <f>IF(Tabla13[[#This Row],[Fecha]]="","",TEXT(Tabla13[[#This Row],[Fecha]],"aaaa"))</f>
        <v>miércoles</v>
      </c>
      <c r="C387" s="74" t="str">
        <f>IF(Tabla13[[#This Row],[Fecha]]="","",TEXT(Tabla13[[#This Row],[Fecha]],"mmmm"))</f>
        <v>abril</v>
      </c>
      <c r="D387" s="75">
        <v>0.84722222222222221</v>
      </c>
      <c r="E387" s="75">
        <v>0.85069444444444442</v>
      </c>
      <c r="F387" s="71">
        <f>HOUR(Tabla13[[#This Row],[Hora fin ]]-Tabla13[[#This Row],[Hora inicio]])+MINUTE(Tabla13[[#This Row],[Hora fin ]]-Tabla13[[#This Row],[Hora inicio]])/60</f>
        <v>8.3333333333333329E-2</v>
      </c>
      <c r="G387" s="60" t="s">
        <v>4</v>
      </c>
      <c r="H387" s="60" t="s">
        <v>5</v>
      </c>
      <c r="I387" s="60" t="s">
        <v>258</v>
      </c>
      <c r="J387" s="60" t="s">
        <v>359</v>
      </c>
      <c r="K387" s="58" t="s">
        <v>400</v>
      </c>
      <c r="L387" s="75"/>
    </row>
    <row r="388" spans="1:12" hidden="1">
      <c r="A388" s="72">
        <v>46128</v>
      </c>
      <c r="B388" s="87" t="str">
        <f>IF(Tabla13[[#This Row],[Fecha]]="","",TEXT(Tabla13[[#This Row],[Fecha]],"aaaa"))</f>
        <v>jueves</v>
      </c>
      <c r="C388" s="74" t="str">
        <f>IF(Tabla13[[#This Row],[Fecha]]="","",TEXT(Tabla13[[#This Row],[Fecha]],"mmmm"))</f>
        <v>abril</v>
      </c>
      <c r="D388" s="75">
        <v>0.26180555555555557</v>
      </c>
      <c r="E388" s="75">
        <v>0.28263888888888888</v>
      </c>
      <c r="F388" s="71">
        <f>HOUR(Tabla13[[#This Row],[Hora fin ]]-Tabla13[[#This Row],[Hora inicio]])+MINUTE(Tabla13[[#This Row],[Hora fin ]]-Tabla13[[#This Row],[Hora inicio]])/60</f>
        <v>0.5</v>
      </c>
      <c r="G388" s="60" t="s">
        <v>10</v>
      </c>
      <c r="H388" s="60" t="s">
        <v>30</v>
      </c>
      <c r="I388" s="60" t="s">
        <v>12</v>
      </c>
      <c r="J388" s="60" t="s">
        <v>270</v>
      </c>
      <c r="K388" s="57" t="s">
        <v>401</v>
      </c>
      <c r="L388" s="75"/>
    </row>
    <row r="389" spans="1:12" hidden="1">
      <c r="A389" s="72">
        <v>46128</v>
      </c>
      <c r="B389" s="87" t="str">
        <f>IF(Tabla13[[#This Row],[Fecha]]="","",TEXT(Tabla13[[#This Row],[Fecha]],"aaaa"))</f>
        <v>jueves</v>
      </c>
      <c r="C389" s="74" t="str">
        <f>IF(Tabla13[[#This Row],[Fecha]]="","",TEXT(Tabla13[[#This Row],[Fecha]],"mmmm"))</f>
        <v>abril</v>
      </c>
      <c r="D389" s="75">
        <v>0.43472222222222223</v>
      </c>
      <c r="E389" s="75">
        <v>0.43958333333333333</v>
      </c>
      <c r="F389" s="71">
        <f>HOUR(Tabla13[[#This Row],[Hora fin ]]-Tabla13[[#This Row],[Hora inicio]])+MINUTE(Tabla13[[#This Row],[Hora fin ]]-Tabla13[[#This Row],[Hora inicio]])/60</f>
        <v>0.11666666666666667</v>
      </c>
      <c r="G389" s="60" t="s">
        <v>10</v>
      </c>
      <c r="H389" s="60" t="s">
        <v>20</v>
      </c>
      <c r="I389" s="60" t="s">
        <v>24</v>
      </c>
      <c r="J389" s="60" t="s">
        <v>327</v>
      </c>
      <c r="K389" s="58" t="s">
        <v>462</v>
      </c>
      <c r="L389" s="75"/>
    </row>
    <row r="390" spans="1:12" hidden="1">
      <c r="A390" s="72">
        <v>46128</v>
      </c>
      <c r="B390" s="87" t="str">
        <f>IF(Tabla13[[#This Row],[Fecha]]="","",TEXT(Tabla13[[#This Row],[Fecha]],"aaaa"))</f>
        <v>jueves</v>
      </c>
      <c r="C390" s="74" t="str">
        <f>IF(Tabla13[[#This Row],[Fecha]]="","",TEXT(Tabla13[[#This Row],[Fecha]],"mmmm"))</f>
        <v>abril</v>
      </c>
      <c r="D390" s="75">
        <v>0.44861111111111113</v>
      </c>
      <c r="E390" s="75">
        <v>0.45069444444444445</v>
      </c>
      <c r="F390" s="71">
        <f>HOUR(Tabla13[[#This Row],[Hora fin ]]-Tabla13[[#This Row],[Hora inicio]])+MINUTE(Tabla13[[#This Row],[Hora fin ]]-Tabla13[[#This Row],[Hora inicio]])/60</f>
        <v>0.05</v>
      </c>
      <c r="G390" s="60" t="s">
        <v>10</v>
      </c>
      <c r="H390" s="60" t="s">
        <v>20</v>
      </c>
      <c r="I390" s="60" t="s">
        <v>24</v>
      </c>
      <c r="J390" s="60" t="s">
        <v>327</v>
      </c>
      <c r="K390" s="58" t="s">
        <v>462</v>
      </c>
      <c r="L390" s="75"/>
    </row>
    <row r="391" spans="1:12" hidden="1">
      <c r="A391" s="72">
        <v>46128</v>
      </c>
      <c r="B391" s="87" t="str">
        <f>IF(Tabla13[[#This Row],[Fecha]]="","",TEXT(Tabla13[[#This Row],[Fecha]],"aaaa"))</f>
        <v>jueves</v>
      </c>
      <c r="C391" s="74" t="str">
        <f>IF(Tabla13[[#This Row],[Fecha]]="","",TEXT(Tabla13[[#This Row],[Fecha]],"mmmm"))</f>
        <v>abril</v>
      </c>
      <c r="D391" s="75">
        <v>0.67777777777777781</v>
      </c>
      <c r="E391" s="75">
        <v>0.68055555555555558</v>
      </c>
      <c r="F391" s="71">
        <f>HOUR(Tabla13[[#This Row],[Hora fin ]]-Tabla13[[#This Row],[Hora inicio]])+MINUTE(Tabla13[[#This Row],[Hora fin ]]-Tabla13[[#This Row],[Hora inicio]])/60</f>
        <v>6.6666666666666666E-2</v>
      </c>
      <c r="G391" s="60" t="s">
        <v>4</v>
      </c>
      <c r="H391" s="60" t="s">
        <v>5</v>
      </c>
      <c r="I391" s="60" t="s">
        <v>258</v>
      </c>
      <c r="J391" s="60" t="s">
        <v>356</v>
      </c>
      <c r="K391" s="58" t="s">
        <v>400</v>
      </c>
      <c r="L391" s="75"/>
    </row>
    <row r="392" spans="1:12" hidden="1">
      <c r="A392" s="72">
        <v>46128</v>
      </c>
      <c r="B392" s="87" t="str">
        <f>IF(Tabla13[[#This Row],[Fecha]]="","",TEXT(Tabla13[[#This Row],[Fecha]],"aaaa"))</f>
        <v>jueves</v>
      </c>
      <c r="C392" s="74" t="str">
        <f>IF(Tabla13[[#This Row],[Fecha]]="","",TEXT(Tabla13[[#This Row],[Fecha]],"mmmm"))</f>
        <v>abril</v>
      </c>
      <c r="D392" s="75">
        <v>0.68958333333333333</v>
      </c>
      <c r="E392" s="75">
        <v>0.6958333333333333</v>
      </c>
      <c r="F392" s="71">
        <f>HOUR(Tabla13[[#This Row],[Hora fin ]]-Tabla13[[#This Row],[Hora inicio]])+MINUTE(Tabla13[[#This Row],[Hora fin ]]-Tabla13[[#This Row],[Hora inicio]])/60</f>
        <v>0.15</v>
      </c>
      <c r="G392" s="60" t="s">
        <v>4</v>
      </c>
      <c r="H392" s="60" t="s">
        <v>5</v>
      </c>
      <c r="I392" s="60" t="s">
        <v>258</v>
      </c>
      <c r="J392" s="60" t="s">
        <v>359</v>
      </c>
      <c r="K392" s="58" t="s">
        <v>400</v>
      </c>
      <c r="L392" s="75"/>
    </row>
    <row r="393" spans="1:12" hidden="1">
      <c r="A393" s="72">
        <v>46129</v>
      </c>
      <c r="B393" s="87" t="str">
        <f>IF(Tabla13[[#This Row],[Fecha]]="","",TEXT(Tabla13[[#This Row],[Fecha]],"aaaa"))</f>
        <v>viernes</v>
      </c>
      <c r="C393" s="74" t="str">
        <f>IF(Tabla13[[#This Row],[Fecha]]="","",TEXT(Tabla13[[#This Row],[Fecha]],"mmmm"))</f>
        <v>abril</v>
      </c>
      <c r="D393" s="75">
        <v>0.33402777777777776</v>
      </c>
      <c r="E393" s="75">
        <v>0.33680555555555558</v>
      </c>
      <c r="F393" s="71">
        <f>HOUR(Tabla13[[#This Row],[Hora fin ]]-Tabla13[[#This Row],[Hora inicio]])+MINUTE(Tabla13[[#This Row],[Hora fin ]]-Tabla13[[#This Row],[Hora inicio]])/60</f>
        <v>6.6666666666666666E-2</v>
      </c>
      <c r="G393" s="60" t="s">
        <v>4</v>
      </c>
      <c r="H393" s="60" t="s">
        <v>5</v>
      </c>
      <c r="I393" s="60" t="s">
        <v>258</v>
      </c>
      <c r="J393" s="60" t="s">
        <v>356</v>
      </c>
      <c r="K393" s="58" t="s">
        <v>400</v>
      </c>
      <c r="L393" s="75"/>
    </row>
    <row r="394" spans="1:12" ht="66" hidden="1" customHeight="1">
      <c r="A394" s="72">
        <v>46129</v>
      </c>
      <c r="B394" s="87"/>
      <c r="C394" s="74" t="str">
        <f>IF(Tabla13[[#This Row],[Fecha]]="","",TEXT(Tabla13[[#This Row],[Fecha]],"mmmm"))</f>
        <v>abril</v>
      </c>
      <c r="D394" s="75">
        <v>0.55347222222222225</v>
      </c>
      <c r="E394" s="75">
        <v>0.55555555555555558</v>
      </c>
      <c r="F394" s="71">
        <f>HOUR(Tabla13[[#This Row],[Hora fin ]]-Tabla13[[#This Row],[Hora inicio]])+MINUTE(Tabla13[[#This Row],[Hora fin ]]-Tabla13[[#This Row],[Hora inicio]])/60</f>
        <v>0.05</v>
      </c>
      <c r="G394" s="60" t="s">
        <v>10</v>
      </c>
      <c r="H394" s="60" t="s">
        <v>20</v>
      </c>
      <c r="I394" s="60" t="s">
        <v>258</v>
      </c>
      <c r="J394" s="60" t="s">
        <v>360</v>
      </c>
      <c r="K394" s="58" t="s">
        <v>521</v>
      </c>
      <c r="L394" s="75"/>
    </row>
    <row r="395" spans="1:12" ht="52.5" hidden="1" customHeight="1">
      <c r="A395" s="72">
        <v>46129</v>
      </c>
      <c r="B395" s="87"/>
      <c r="C395" s="74" t="str">
        <f>IF(Tabla13[[#This Row],[Fecha]]="","",TEXT(Tabla13[[#This Row],[Fecha]],"mmmm"))</f>
        <v>abril</v>
      </c>
      <c r="D395" s="75">
        <v>0.7583333333333333</v>
      </c>
      <c r="E395" s="75">
        <v>0.79791666666666672</v>
      </c>
      <c r="F395" s="71">
        <f>HOUR(Tabla13[[#This Row],[Hora fin ]]-Tabla13[[#This Row],[Hora inicio]])+MINUTE(Tabla13[[#This Row],[Hora fin ]]-Tabla13[[#This Row],[Hora inicio]])/60</f>
        <v>0.95</v>
      </c>
      <c r="G395" s="60" t="s">
        <v>10</v>
      </c>
      <c r="H395" s="60" t="s">
        <v>23</v>
      </c>
      <c r="I395" s="60" t="s">
        <v>15</v>
      </c>
      <c r="J395" s="60" t="s">
        <v>282</v>
      </c>
      <c r="K395" s="58" t="s">
        <v>522</v>
      </c>
      <c r="L395" s="75"/>
    </row>
    <row r="396" spans="1:12" ht="52.5" hidden="1" customHeight="1">
      <c r="A396" s="72">
        <v>46129</v>
      </c>
      <c r="B396" s="87"/>
      <c r="C396" s="74" t="str">
        <f>IF(Tabla13[[#This Row],[Fecha]]="","",TEXT(Tabla13[[#This Row],[Fecha]],"mmmm"))</f>
        <v>abril</v>
      </c>
      <c r="D396" s="75">
        <v>0.8979166666666667</v>
      </c>
      <c r="E396" s="75">
        <v>0.90069444444444446</v>
      </c>
      <c r="F396" s="71">
        <f>HOUR(Tabla13[[#This Row],[Hora fin ]]-Tabla13[[#This Row],[Hora inicio]])+MINUTE(Tabla13[[#This Row],[Hora fin ]]-Tabla13[[#This Row],[Hora inicio]])/60</f>
        <v>6.6666666666666666E-2</v>
      </c>
      <c r="G396" s="60" t="s">
        <v>4</v>
      </c>
      <c r="H396" s="60" t="s">
        <v>5</v>
      </c>
      <c r="I396" s="60" t="s">
        <v>258</v>
      </c>
      <c r="J396" s="60" t="s">
        <v>359</v>
      </c>
      <c r="K396" s="58" t="s">
        <v>400</v>
      </c>
      <c r="L396" s="75"/>
    </row>
    <row r="397" spans="1:12" ht="53.25" hidden="1" customHeight="1">
      <c r="A397" s="72">
        <v>46130</v>
      </c>
      <c r="B397" s="87"/>
      <c r="C397" s="74" t="str">
        <f>IF(Tabla13[[#This Row],[Fecha]]="","",TEXT(Tabla13[[#This Row],[Fecha]],"mmmm"))</f>
        <v>abril</v>
      </c>
      <c r="D397" s="75">
        <v>0.35833333333333334</v>
      </c>
      <c r="E397" s="75">
        <v>0.37569444444444444</v>
      </c>
      <c r="F397" s="71">
        <f>HOUR(Tabla13[[#This Row],[Hora fin ]]-Tabla13[[#This Row],[Hora inicio]])+MINUTE(Tabla13[[#This Row],[Hora fin ]]-Tabla13[[#This Row],[Hora inicio]])/60</f>
        <v>0.41666666666666669</v>
      </c>
      <c r="G397" s="60" t="s">
        <v>10</v>
      </c>
      <c r="H397" s="60" t="s">
        <v>20</v>
      </c>
      <c r="I397" s="60" t="s">
        <v>19</v>
      </c>
      <c r="J397" s="60" t="s">
        <v>312</v>
      </c>
      <c r="K397" s="58" t="s">
        <v>523</v>
      </c>
      <c r="L397" s="75"/>
    </row>
    <row r="398" spans="1:12" ht="36.75" hidden="1" customHeight="1">
      <c r="A398" s="72">
        <v>46130</v>
      </c>
      <c r="B398" s="87"/>
      <c r="C398" s="74" t="str">
        <f>IF(Tabla13[[#This Row],[Fecha]]="","",TEXT(Tabla13[[#This Row],[Fecha]],"mmmm"))</f>
        <v>abril</v>
      </c>
      <c r="D398" s="75">
        <v>0.40555555555555556</v>
      </c>
      <c r="E398" s="75">
        <v>0.41875000000000001</v>
      </c>
      <c r="F398" s="71">
        <f>HOUR(Tabla13[[#This Row],[Hora fin ]]-Tabla13[[#This Row],[Hora inicio]])+MINUTE(Tabla13[[#This Row],[Hora fin ]]-Tabla13[[#This Row],[Hora inicio]])/60</f>
        <v>0.31666666666666665</v>
      </c>
      <c r="G398" s="60" t="s">
        <v>10</v>
      </c>
      <c r="H398" s="60" t="s">
        <v>20</v>
      </c>
      <c r="I398" s="60" t="s">
        <v>24</v>
      </c>
      <c r="J398" s="60" t="s">
        <v>327</v>
      </c>
      <c r="K398" s="58" t="s">
        <v>462</v>
      </c>
      <c r="L398" s="75"/>
    </row>
    <row r="399" spans="1:12" hidden="1">
      <c r="A399" s="72">
        <v>46130</v>
      </c>
      <c r="B399" s="87"/>
      <c r="C399" s="74" t="str">
        <f>IF(Tabla13[[#This Row],[Fecha]]="","",TEXT(Tabla13[[#This Row],[Fecha]],"mmmm"))</f>
        <v>abril</v>
      </c>
      <c r="D399" s="75">
        <v>0.4548611111111111</v>
      </c>
      <c r="E399" s="75">
        <v>0.45694444444444443</v>
      </c>
      <c r="F399" s="71">
        <f>HOUR(Tabla13[[#This Row],[Hora fin ]]-Tabla13[[#This Row],[Hora inicio]])+MINUTE(Tabla13[[#This Row],[Hora fin ]]-Tabla13[[#This Row],[Hora inicio]])/60</f>
        <v>0.05</v>
      </c>
      <c r="G399" s="60" t="s">
        <v>4</v>
      </c>
      <c r="H399" s="60" t="s">
        <v>5</v>
      </c>
      <c r="I399" s="60" t="s">
        <v>258</v>
      </c>
      <c r="J399" s="60" t="s">
        <v>356</v>
      </c>
      <c r="K399" s="58" t="s">
        <v>400</v>
      </c>
      <c r="L399" s="75"/>
    </row>
    <row r="400" spans="1:12" hidden="1">
      <c r="A400" s="72">
        <v>46130</v>
      </c>
      <c r="B400" s="87"/>
      <c r="C400" s="74" t="str">
        <f>IF(Tabla13[[#This Row],[Fecha]]="","",TEXT(Tabla13[[#This Row],[Fecha]],"mmmm"))</f>
        <v>abril</v>
      </c>
      <c r="D400" s="75">
        <v>0.52847222222222223</v>
      </c>
      <c r="E400" s="75">
        <v>0.53055555555555556</v>
      </c>
      <c r="F400" s="71">
        <f>HOUR(Tabla13[[#This Row],[Hora fin ]]-Tabla13[[#This Row],[Hora inicio]])+MINUTE(Tabla13[[#This Row],[Hora fin ]]-Tabla13[[#This Row],[Hora inicio]])/60</f>
        <v>0.05</v>
      </c>
      <c r="G400" s="60" t="s">
        <v>4</v>
      </c>
      <c r="H400" s="60" t="s">
        <v>5</v>
      </c>
      <c r="I400" s="60" t="s">
        <v>258</v>
      </c>
      <c r="J400" s="60" t="s">
        <v>359</v>
      </c>
      <c r="K400" s="58" t="s">
        <v>400</v>
      </c>
      <c r="L400" s="75"/>
    </row>
    <row r="401" spans="1:12" hidden="1">
      <c r="A401" s="72">
        <v>46131</v>
      </c>
      <c r="B401" s="87"/>
      <c r="C401" s="74" t="str">
        <f>IF(Tabla13[[#This Row],[Fecha]]="","",TEXT(Tabla13[[#This Row],[Fecha]],"mmmm"))</f>
        <v>abril</v>
      </c>
      <c r="D401" s="75">
        <v>0.25</v>
      </c>
      <c r="E401" s="75">
        <v>0.66666666666666663</v>
      </c>
      <c r="F401" s="71">
        <f>HOUR(Tabla13[[#This Row],[Hora fin ]]-Tabla13[[#This Row],[Hora inicio]])+MINUTE(Tabla13[[#This Row],[Hora fin ]]-Tabla13[[#This Row],[Hora inicio]])/60</f>
        <v>10</v>
      </c>
      <c r="G401" s="60" t="s">
        <v>4</v>
      </c>
      <c r="H401" s="60" t="s">
        <v>16</v>
      </c>
      <c r="I401" s="60" t="s">
        <v>6</v>
      </c>
      <c r="J401" s="60" t="s">
        <v>16</v>
      </c>
      <c r="K401" s="57" t="s">
        <v>440</v>
      </c>
      <c r="L401" s="75"/>
    </row>
    <row r="402" spans="1:12" hidden="1">
      <c r="A402" s="72">
        <v>46132</v>
      </c>
      <c r="B402" s="87"/>
      <c r="C402" s="74" t="str">
        <f>IF(Tabla13[[#This Row],[Fecha]]="","",TEXT(Tabla13[[#This Row],[Fecha]],"mmmm"))</f>
        <v>abril</v>
      </c>
      <c r="D402" s="75">
        <v>0.59375</v>
      </c>
      <c r="E402" s="75">
        <v>0.59722222222222221</v>
      </c>
      <c r="F402" s="71">
        <f>HOUR(Tabla13[[#This Row],[Hora fin ]]-Tabla13[[#This Row],[Hora inicio]])+MINUTE(Tabla13[[#This Row],[Hora fin ]]-Tabla13[[#This Row],[Hora inicio]])/60</f>
        <v>8.3333333333333329E-2</v>
      </c>
      <c r="G402" s="60" t="s">
        <v>4</v>
      </c>
      <c r="H402" s="60" t="s">
        <v>5</v>
      </c>
      <c r="I402" s="60" t="s">
        <v>258</v>
      </c>
      <c r="J402" s="60" t="s">
        <v>356</v>
      </c>
      <c r="K402" s="58" t="s">
        <v>400</v>
      </c>
      <c r="L402" s="75"/>
    </row>
    <row r="403" spans="1:12" ht="30" hidden="1">
      <c r="A403" s="72">
        <v>46133</v>
      </c>
      <c r="B403" s="87"/>
      <c r="C403" s="74" t="str">
        <f>IF(Tabla13[[#This Row],[Fecha]]="","",TEXT(Tabla13[[#This Row],[Fecha]],"mmmm"))</f>
        <v>abril</v>
      </c>
      <c r="D403" s="75">
        <v>8.1944444444444445E-2</v>
      </c>
      <c r="E403" s="75">
        <v>0.18263888888888888</v>
      </c>
      <c r="F403" s="71">
        <f>HOUR(Tabla13[[#This Row],[Hora fin ]]-Tabla13[[#This Row],[Hora inicio]])+MINUTE(Tabla13[[#This Row],[Hora fin ]]-Tabla13[[#This Row],[Hora inicio]])/60</f>
        <v>2.4166666666666665</v>
      </c>
      <c r="G403" s="60" t="s">
        <v>10</v>
      </c>
      <c r="H403" s="60" t="s">
        <v>23</v>
      </c>
      <c r="I403" s="60" t="s">
        <v>15</v>
      </c>
      <c r="J403" s="60" t="s">
        <v>282</v>
      </c>
      <c r="K403" s="58" t="s">
        <v>522</v>
      </c>
      <c r="L403" s="75"/>
    </row>
    <row r="404" spans="1:12" hidden="1">
      <c r="A404" s="72">
        <v>46133</v>
      </c>
      <c r="B404" s="87"/>
      <c r="C404" s="74" t="str">
        <f>IF(Tabla13[[#This Row],[Fecha]]="","",TEXT(Tabla13[[#This Row],[Fecha]],"mmmm"))</f>
        <v>abril</v>
      </c>
      <c r="D404" s="75">
        <v>0.49583333333333335</v>
      </c>
      <c r="E404" s="75">
        <v>0.49791666666666667</v>
      </c>
      <c r="F404" s="71">
        <f>HOUR(Tabla13[[#This Row],[Hora fin ]]-Tabla13[[#This Row],[Hora inicio]])+MINUTE(Tabla13[[#This Row],[Hora fin ]]-Tabla13[[#This Row],[Hora inicio]])/60</f>
        <v>0.05</v>
      </c>
      <c r="G404" s="60" t="s">
        <v>4</v>
      </c>
      <c r="H404" s="60" t="s">
        <v>5</v>
      </c>
      <c r="I404" s="60" t="s">
        <v>258</v>
      </c>
      <c r="J404" s="60" t="s">
        <v>359</v>
      </c>
      <c r="K404" s="58" t="s">
        <v>400</v>
      </c>
      <c r="L404" s="75"/>
    </row>
    <row r="405" spans="1:12" ht="30" hidden="1">
      <c r="A405" s="72">
        <v>46133</v>
      </c>
      <c r="B405" s="87"/>
      <c r="C405" s="74" t="str">
        <f>IF(Tabla13[[#This Row],[Fecha]]="","",TEXT(Tabla13[[#This Row],[Fecha]],"mmmm"))</f>
        <v>abril</v>
      </c>
      <c r="D405" s="75">
        <v>0.55625000000000002</v>
      </c>
      <c r="E405" s="75">
        <v>0.56180555555555556</v>
      </c>
      <c r="F405" s="71">
        <f>HOUR(Tabla13[[#This Row],[Hora fin ]]-Tabla13[[#This Row],[Hora inicio]])+MINUTE(Tabla13[[#This Row],[Hora fin ]]-Tabla13[[#This Row],[Hora inicio]])/60</f>
        <v>0.13333333333333333</v>
      </c>
      <c r="G405" s="60" t="s">
        <v>10</v>
      </c>
      <c r="H405" s="60" t="s">
        <v>23</v>
      </c>
      <c r="I405" s="60" t="s">
        <v>24</v>
      </c>
      <c r="J405" s="60" t="s">
        <v>329</v>
      </c>
      <c r="K405" s="58" t="s">
        <v>524</v>
      </c>
      <c r="L405" s="75"/>
    </row>
    <row r="406" spans="1:12" hidden="1">
      <c r="A406" s="72">
        <v>46134</v>
      </c>
      <c r="B406" s="87"/>
      <c r="C406" s="74" t="str">
        <f>IF(Tabla13[[#This Row],[Fecha]]="","",TEXT(Tabla13[[#This Row],[Fecha]],"mmmm"))</f>
        <v>abril</v>
      </c>
      <c r="D406" s="75">
        <v>0.75555555555555554</v>
      </c>
      <c r="E406" s="75">
        <v>0.76597222222222228</v>
      </c>
      <c r="F406" s="71">
        <f>HOUR(Tabla13[[#This Row],[Hora fin ]]-Tabla13[[#This Row],[Hora inicio]])+MINUTE(Tabla13[[#This Row],[Hora fin ]]-Tabla13[[#This Row],[Hora inicio]])/60</f>
        <v>0.25</v>
      </c>
      <c r="G406" s="60" t="s">
        <v>10</v>
      </c>
      <c r="H406" s="60" t="s">
        <v>30</v>
      </c>
      <c r="I406" s="60" t="s">
        <v>12</v>
      </c>
      <c r="J406" s="60" t="s">
        <v>270</v>
      </c>
      <c r="K406" s="58" t="s">
        <v>525</v>
      </c>
      <c r="L406" s="75"/>
    </row>
    <row r="407" spans="1:12" hidden="1">
      <c r="A407" s="72">
        <v>46135</v>
      </c>
      <c r="B407" s="87"/>
      <c r="C407" s="74" t="str">
        <f>IF(Tabla13[[#This Row],[Fecha]]="","",TEXT(Tabla13[[#This Row],[Fecha]],"mmmm"))</f>
        <v>abril</v>
      </c>
      <c r="D407" s="75">
        <v>0.11458333333333333</v>
      </c>
      <c r="E407" s="75">
        <v>0.13680555555555557</v>
      </c>
      <c r="F407" s="71">
        <f>HOUR(Tabla13[[#This Row],[Hora fin ]]-Tabla13[[#This Row],[Hora inicio]])+MINUTE(Tabla13[[#This Row],[Hora fin ]]-Tabla13[[#This Row],[Hora inicio]])/60</f>
        <v>0.53333333333333333</v>
      </c>
      <c r="G407" s="60" t="s">
        <v>10</v>
      </c>
      <c r="H407" s="60" t="s">
        <v>23</v>
      </c>
      <c r="I407" s="60" t="s">
        <v>15</v>
      </c>
      <c r="J407" s="60" t="s">
        <v>281</v>
      </c>
      <c r="K407" s="58" t="s">
        <v>526</v>
      </c>
      <c r="L407" s="75"/>
    </row>
    <row r="408" spans="1:12" hidden="1">
      <c r="A408" s="72">
        <v>46135</v>
      </c>
      <c r="B408" s="87"/>
      <c r="C408" s="74" t="str">
        <f>IF(Tabla13[[#This Row],[Fecha]]="","",TEXT(Tabla13[[#This Row],[Fecha]],"mmmm"))</f>
        <v>abril</v>
      </c>
      <c r="D408" s="75">
        <v>0.40208333333333335</v>
      </c>
      <c r="E408" s="75">
        <v>0.5180555555555556</v>
      </c>
      <c r="F408" s="71">
        <f>HOUR(Tabla13[[#This Row],[Hora fin ]]-Tabla13[[#This Row],[Hora inicio]])+MINUTE(Tabla13[[#This Row],[Hora fin ]]-Tabla13[[#This Row],[Hora inicio]])/60</f>
        <v>2.7833333333333332</v>
      </c>
      <c r="G408" s="60" t="s">
        <v>13</v>
      </c>
      <c r="H408" s="60" t="s">
        <v>32</v>
      </c>
      <c r="I408" s="60" t="s">
        <v>9</v>
      </c>
      <c r="J408" s="60" t="s">
        <v>448</v>
      </c>
      <c r="K408" s="58" t="s">
        <v>480</v>
      </c>
      <c r="L408" s="75"/>
    </row>
    <row r="409" spans="1:12" hidden="1">
      <c r="A409" s="72">
        <v>46135</v>
      </c>
      <c r="B409" s="87"/>
      <c r="C409" s="74" t="str">
        <f>IF(Tabla13[[#This Row],[Fecha]]="","",TEXT(Tabla13[[#This Row],[Fecha]],"mmmm"))</f>
        <v>abril</v>
      </c>
      <c r="D409" s="75">
        <v>0.61597222222222225</v>
      </c>
      <c r="E409" s="75">
        <v>0.62083333333333335</v>
      </c>
      <c r="F409" s="71">
        <f>HOUR(Tabla13[[#This Row],[Hora fin ]]-Tabla13[[#This Row],[Hora inicio]])+MINUTE(Tabla13[[#This Row],[Hora fin ]]-Tabla13[[#This Row],[Hora inicio]])/60</f>
        <v>0.11666666666666667</v>
      </c>
      <c r="G409" s="60" t="s">
        <v>4</v>
      </c>
      <c r="H409" s="60" t="s">
        <v>5</v>
      </c>
      <c r="I409" s="60" t="s">
        <v>258</v>
      </c>
      <c r="J409" s="60" t="s">
        <v>356</v>
      </c>
      <c r="K409" s="58" t="s">
        <v>400</v>
      </c>
      <c r="L409" s="75"/>
    </row>
    <row r="410" spans="1:12" hidden="1">
      <c r="A410" s="72">
        <v>46135</v>
      </c>
      <c r="B410" s="87"/>
      <c r="C410" s="74" t="str">
        <f>IF(Tabla13[[#This Row],[Fecha]]="","",TEXT(Tabla13[[#This Row],[Fecha]],"mmmm"))</f>
        <v>abril</v>
      </c>
      <c r="D410" s="75">
        <v>0.75208333333333333</v>
      </c>
      <c r="E410" s="75">
        <v>0.77777777777777779</v>
      </c>
      <c r="F410" s="71">
        <f>HOUR(Tabla13[[#This Row],[Hora fin ]]-Tabla13[[#This Row],[Hora inicio]])+MINUTE(Tabla13[[#This Row],[Hora fin ]]-Tabla13[[#This Row],[Hora inicio]])/60</f>
        <v>0.6166666666666667</v>
      </c>
      <c r="G410" s="60" t="s">
        <v>10</v>
      </c>
      <c r="H410" s="60" t="s">
        <v>26</v>
      </c>
      <c r="I410" s="60" t="s">
        <v>17</v>
      </c>
      <c r="J410" s="60" t="s">
        <v>290</v>
      </c>
      <c r="K410" s="58" t="s">
        <v>520</v>
      </c>
      <c r="L410" s="75"/>
    </row>
    <row r="411" spans="1:12" hidden="1">
      <c r="A411" s="72">
        <v>46135</v>
      </c>
      <c r="B411" s="87"/>
      <c r="C411" s="74" t="str">
        <f>IF(Tabla13[[#This Row],[Fecha]]="","",TEXT(Tabla13[[#This Row],[Fecha]],"mmmm"))</f>
        <v>abril</v>
      </c>
      <c r="D411" s="75">
        <v>0.89444444444444449</v>
      </c>
      <c r="E411" s="75">
        <v>0.89722222222222225</v>
      </c>
      <c r="F411" s="71">
        <f>HOUR(Tabla13[[#This Row],[Hora fin ]]-Tabla13[[#This Row],[Hora inicio]])+MINUTE(Tabla13[[#This Row],[Hora fin ]]-Tabla13[[#This Row],[Hora inicio]])/60</f>
        <v>6.6666666666666666E-2</v>
      </c>
      <c r="G411" s="60" t="s">
        <v>10</v>
      </c>
      <c r="H411" s="60" t="s">
        <v>20</v>
      </c>
      <c r="I411" s="60" t="s">
        <v>21</v>
      </c>
      <c r="J411" s="60" t="s">
        <v>339</v>
      </c>
      <c r="K411" s="58" t="s">
        <v>527</v>
      </c>
      <c r="L411" s="75"/>
    </row>
    <row r="412" spans="1:12" hidden="1">
      <c r="A412" s="72">
        <v>46135</v>
      </c>
      <c r="B412" s="87"/>
      <c r="C412" s="74" t="str">
        <f>IF(Tabla13[[#This Row],[Fecha]]="","",TEXT(Tabla13[[#This Row],[Fecha]],"mmmm"))</f>
        <v>abril</v>
      </c>
      <c r="D412" s="75">
        <v>0.99722222222222223</v>
      </c>
      <c r="E412" s="75">
        <v>1</v>
      </c>
      <c r="F412" s="71">
        <f>HOUR(Tabla13[[#This Row],[Hora fin ]]-Tabla13[[#This Row],[Hora inicio]])+MINUTE(Tabla13[[#This Row],[Hora fin ]]-Tabla13[[#This Row],[Hora inicio]])/60</f>
        <v>6.6666666666666666E-2</v>
      </c>
      <c r="G412" s="60" t="s">
        <v>4</v>
      </c>
      <c r="H412" s="60" t="s">
        <v>5</v>
      </c>
      <c r="I412" s="60" t="s">
        <v>258</v>
      </c>
      <c r="J412" s="60" t="s">
        <v>359</v>
      </c>
      <c r="K412" s="58" t="s">
        <v>400</v>
      </c>
      <c r="L412" s="75"/>
    </row>
    <row r="413" spans="1:12" hidden="1">
      <c r="A413" s="72">
        <v>46136</v>
      </c>
      <c r="B413" s="87"/>
      <c r="C413" s="74" t="str">
        <f>IF(Tabla13[[#This Row],[Fecha]]="","",TEXT(Tabla13[[#This Row],[Fecha]],"mmmm"))</f>
        <v>abril</v>
      </c>
      <c r="D413" s="75">
        <v>8.3333333333333329E-2</v>
      </c>
      <c r="E413" s="75">
        <v>8.611111111111111E-2</v>
      </c>
      <c r="F413" s="71">
        <f>HOUR(Tabla13[[#This Row],[Hora fin ]]-Tabla13[[#This Row],[Hora inicio]])+MINUTE(Tabla13[[#This Row],[Hora fin ]]-Tabla13[[#This Row],[Hora inicio]])/60</f>
        <v>6.6666666666666666E-2</v>
      </c>
      <c r="G413" s="60" t="s">
        <v>10</v>
      </c>
      <c r="H413" s="60" t="s">
        <v>20</v>
      </c>
      <c r="I413" s="60" t="s">
        <v>21</v>
      </c>
      <c r="J413" s="60" t="s">
        <v>339</v>
      </c>
      <c r="K413" s="58" t="s">
        <v>527</v>
      </c>
      <c r="L413" s="75"/>
    </row>
    <row r="414" spans="1:12" hidden="1">
      <c r="A414" s="72">
        <v>46136</v>
      </c>
      <c r="B414" s="87"/>
      <c r="C414" s="74" t="str">
        <f>IF(Tabla13[[#This Row],[Fecha]]="","",TEXT(Tabla13[[#This Row],[Fecha]],"mmmm"))</f>
        <v>abril</v>
      </c>
      <c r="D414" s="75">
        <v>0.18541666666666667</v>
      </c>
      <c r="E414" s="75">
        <v>0.18819444444444444</v>
      </c>
      <c r="F414" s="71">
        <f>HOUR(Tabla13[[#This Row],[Hora fin ]]-Tabla13[[#This Row],[Hora inicio]])+MINUTE(Tabla13[[#This Row],[Hora fin ]]-Tabla13[[#This Row],[Hora inicio]])/60</f>
        <v>6.6666666666666666E-2</v>
      </c>
      <c r="G414" s="60" t="s">
        <v>4</v>
      </c>
      <c r="H414" s="60" t="s">
        <v>5</v>
      </c>
      <c r="I414" s="60" t="s">
        <v>258</v>
      </c>
      <c r="J414" s="60" t="s">
        <v>356</v>
      </c>
      <c r="K414" s="58" t="s">
        <v>400</v>
      </c>
      <c r="L414" s="75"/>
    </row>
    <row r="415" spans="1:12" ht="30" hidden="1">
      <c r="A415" s="72">
        <v>46137</v>
      </c>
      <c r="B415" s="87"/>
      <c r="C415" s="74" t="str">
        <f>IF(Tabla13[[#This Row],[Fecha]]="","",TEXT(Tabla13[[#This Row],[Fecha]],"mmmm"))</f>
        <v>abril</v>
      </c>
      <c r="D415" s="75">
        <v>0.27152777777777776</v>
      </c>
      <c r="E415" s="75">
        <v>0.3527777777777778</v>
      </c>
      <c r="F415" s="71">
        <f>HOUR(Tabla13[[#This Row],[Hora fin ]]-Tabla13[[#This Row],[Hora inicio]])+MINUTE(Tabla13[[#This Row],[Hora fin ]]-Tabla13[[#This Row],[Hora inicio]])/60</f>
        <v>1.95</v>
      </c>
      <c r="G415" s="60" t="s">
        <v>10</v>
      </c>
      <c r="H415" s="60" t="s">
        <v>23</v>
      </c>
      <c r="I415" s="60" t="s">
        <v>19</v>
      </c>
      <c r="J415" s="60" t="s">
        <v>312</v>
      </c>
      <c r="K415" s="58" t="s">
        <v>528</v>
      </c>
      <c r="L415" s="75"/>
    </row>
    <row r="416" spans="1:12" hidden="1">
      <c r="A416" s="72">
        <v>46137</v>
      </c>
      <c r="B416" s="87"/>
      <c r="C416" s="74" t="str">
        <f>IF(Tabla13[[#This Row],[Fecha]]="","",TEXT(Tabla13[[#This Row],[Fecha]],"mmmm"))</f>
        <v>abril</v>
      </c>
      <c r="D416" s="75">
        <v>0.42708333333333331</v>
      </c>
      <c r="E416" s="75">
        <v>0.52152777777777781</v>
      </c>
      <c r="F416" s="71">
        <f>HOUR(Tabla13[[#This Row],[Hora fin ]]-Tabla13[[#This Row],[Hora inicio]])+MINUTE(Tabla13[[#This Row],[Hora fin ]]-Tabla13[[#This Row],[Hora inicio]])/60</f>
        <v>2.2666666666666666</v>
      </c>
      <c r="G416" s="60" t="s">
        <v>10</v>
      </c>
      <c r="H416" s="60" t="s">
        <v>25</v>
      </c>
      <c r="I416" s="60" t="s">
        <v>19</v>
      </c>
      <c r="J416" s="60" t="s">
        <v>307</v>
      </c>
      <c r="K416" s="58" t="s">
        <v>529</v>
      </c>
      <c r="L416" s="75"/>
    </row>
    <row r="417" spans="1:12" hidden="1">
      <c r="A417" s="72">
        <v>46137</v>
      </c>
      <c r="B417" s="87"/>
      <c r="C417" s="74" t="str">
        <f>IF(Tabla13[[#This Row],[Fecha]]="","",TEXT(Tabla13[[#This Row],[Fecha]],"mmmm"))</f>
        <v>abril</v>
      </c>
      <c r="D417" s="75">
        <v>0.72499999999999998</v>
      </c>
      <c r="E417" s="75">
        <v>0.73055555555555551</v>
      </c>
      <c r="F417" s="71">
        <f>HOUR(Tabla13[[#This Row],[Hora fin ]]-Tabla13[[#This Row],[Hora inicio]])+MINUTE(Tabla13[[#This Row],[Hora fin ]]-Tabla13[[#This Row],[Hora inicio]])/60</f>
        <v>0.13333333333333333</v>
      </c>
      <c r="G417" s="60" t="s">
        <v>4</v>
      </c>
      <c r="H417" s="60" t="s">
        <v>5</v>
      </c>
      <c r="I417" s="60" t="s">
        <v>258</v>
      </c>
      <c r="J417" s="60" t="s">
        <v>359</v>
      </c>
      <c r="K417" s="58" t="s">
        <v>400</v>
      </c>
      <c r="L417" s="75"/>
    </row>
    <row r="418" spans="1:12" hidden="1">
      <c r="A418" s="72">
        <v>46138</v>
      </c>
      <c r="B418" s="87"/>
      <c r="C418" s="74" t="str">
        <f>IF(Tabla13[[#This Row],[Fecha]]="","",TEXT(Tabla13[[#This Row],[Fecha]],"mmmm"))</f>
        <v>abril</v>
      </c>
      <c r="D418" s="75">
        <v>4.3055555555555555E-2</v>
      </c>
      <c r="E418" s="75">
        <v>4.5138888888888888E-2</v>
      </c>
      <c r="F418" s="71">
        <f>HOUR(Tabla13[[#This Row],[Hora fin ]]-Tabla13[[#This Row],[Hora inicio]])+MINUTE(Tabla13[[#This Row],[Hora fin ]]-Tabla13[[#This Row],[Hora inicio]])/60</f>
        <v>0.05</v>
      </c>
      <c r="G418" s="60" t="s">
        <v>4</v>
      </c>
      <c r="H418" s="60" t="s">
        <v>5</v>
      </c>
      <c r="I418" s="60" t="s">
        <v>258</v>
      </c>
      <c r="J418" s="60" t="s">
        <v>356</v>
      </c>
      <c r="K418" s="58" t="s">
        <v>400</v>
      </c>
      <c r="L418" s="75"/>
    </row>
    <row r="419" spans="1:12" hidden="1">
      <c r="A419" s="72">
        <v>46138</v>
      </c>
      <c r="B419" s="87"/>
      <c r="C419" s="74" t="str">
        <f>IF(Tabla13[[#This Row],[Fecha]]="","",TEXT(Tabla13[[#This Row],[Fecha]],"mmmm"))</f>
        <v>abril</v>
      </c>
      <c r="D419" s="75">
        <v>0.25</v>
      </c>
      <c r="E419" s="75">
        <v>0.66666666666666663</v>
      </c>
      <c r="F419" s="71">
        <f>HOUR(Tabla13[[#This Row],[Hora fin ]]-Tabla13[[#This Row],[Hora inicio]])+MINUTE(Tabla13[[#This Row],[Hora fin ]]-Tabla13[[#This Row],[Hora inicio]])/60</f>
        <v>10</v>
      </c>
      <c r="G419" s="60" t="s">
        <v>4</v>
      </c>
      <c r="H419" s="60" t="s">
        <v>16</v>
      </c>
      <c r="I419" s="60" t="s">
        <v>6</v>
      </c>
      <c r="J419" s="60" t="s">
        <v>16</v>
      </c>
      <c r="K419" s="57" t="s">
        <v>440</v>
      </c>
      <c r="L419" s="75"/>
    </row>
    <row r="420" spans="1:12" hidden="1">
      <c r="A420" s="72">
        <v>46139</v>
      </c>
      <c r="B420" s="87"/>
      <c r="C420" s="74" t="str">
        <f>IF(Tabla13[[#This Row],[Fecha]]="","",TEXT(Tabla13[[#This Row],[Fecha]],"mmmm"))</f>
        <v>abril</v>
      </c>
      <c r="D420" s="75">
        <v>0.87569444444444444</v>
      </c>
      <c r="E420" s="75">
        <v>0.87847222222222221</v>
      </c>
      <c r="F420" s="71">
        <f>HOUR(Tabla13[[#This Row],[Hora fin ]]-Tabla13[[#This Row],[Hora inicio]])+MINUTE(Tabla13[[#This Row],[Hora fin ]]-Tabla13[[#This Row],[Hora inicio]])/60</f>
        <v>6.6666666666666666E-2</v>
      </c>
      <c r="G420" s="60" t="s">
        <v>4</v>
      </c>
      <c r="H420" s="60" t="s">
        <v>5</v>
      </c>
      <c r="I420" s="60" t="s">
        <v>258</v>
      </c>
      <c r="J420" s="60" t="s">
        <v>359</v>
      </c>
      <c r="K420" s="58" t="s">
        <v>400</v>
      </c>
      <c r="L420" s="75"/>
    </row>
    <row r="421" spans="1:12" hidden="1">
      <c r="A421" s="72">
        <v>46140</v>
      </c>
      <c r="B421" s="87"/>
      <c r="C421" s="74" t="str">
        <f>IF(Tabla13[[#This Row],[Fecha]]="","",TEXT(Tabla13[[#This Row],[Fecha]],"mmmm"))</f>
        <v>abril</v>
      </c>
      <c r="D421" s="75">
        <v>7.3611111111111113E-2</v>
      </c>
      <c r="E421" s="75">
        <v>8.611111111111111E-2</v>
      </c>
      <c r="F421" s="71">
        <f>HOUR(Tabla13[[#This Row],[Hora fin ]]-Tabla13[[#This Row],[Hora inicio]])+MINUTE(Tabla13[[#This Row],[Hora fin ]]-Tabla13[[#This Row],[Hora inicio]])/60</f>
        <v>0.3</v>
      </c>
      <c r="G421" s="60" t="s">
        <v>10</v>
      </c>
      <c r="H421" s="60" t="s">
        <v>30</v>
      </c>
      <c r="I421" s="60" t="s">
        <v>12</v>
      </c>
      <c r="J421" s="60" t="s">
        <v>270</v>
      </c>
      <c r="K421" s="57" t="s">
        <v>401</v>
      </c>
      <c r="L421" s="75"/>
    </row>
    <row r="422" spans="1:12" ht="30" hidden="1">
      <c r="A422" s="72">
        <v>46140</v>
      </c>
      <c r="B422" s="87"/>
      <c r="C422" s="74" t="str">
        <f>IF(Tabla13[[#This Row],[Fecha]]="","",TEXT(Tabla13[[#This Row],[Fecha]],"mmmm"))</f>
        <v>abril</v>
      </c>
      <c r="D422" s="75">
        <v>0.9555555555555556</v>
      </c>
      <c r="E422" s="75">
        <v>1</v>
      </c>
      <c r="F422" s="71">
        <f>HOUR(Tabla13[[#This Row],[Hora fin ]]-Tabla13[[#This Row],[Hora inicio]])+MINUTE(Tabla13[[#This Row],[Hora fin ]]-Tabla13[[#This Row],[Hora inicio]])/60</f>
        <v>1.0666666666666667</v>
      </c>
      <c r="G422" s="60" t="s">
        <v>13</v>
      </c>
      <c r="H422" s="60" t="s">
        <v>23</v>
      </c>
      <c r="I422" s="60" t="s">
        <v>17</v>
      </c>
      <c r="J422" s="60" t="s">
        <v>292</v>
      </c>
      <c r="K422" s="58" t="s">
        <v>530</v>
      </c>
      <c r="L422" s="75"/>
    </row>
    <row r="423" spans="1:12" ht="30" hidden="1">
      <c r="A423" s="72">
        <v>46141</v>
      </c>
      <c r="B423" s="87"/>
      <c r="C423" s="74" t="str">
        <f>IF(Tabla13[[#This Row],[Fecha]]="","",TEXT(Tabla13[[#This Row],[Fecha]],"mmmm"))</f>
        <v>abril</v>
      </c>
      <c r="D423" s="75">
        <v>6.9444444444444447E-4</v>
      </c>
      <c r="E423" s="75">
        <v>0.64652777777777781</v>
      </c>
      <c r="F423" s="71">
        <f>HOUR(Tabla13[[#This Row],[Hora fin ]]-Tabla13[[#This Row],[Hora inicio]])+MINUTE(Tabla13[[#This Row],[Hora fin ]]-Tabla13[[#This Row],[Hora inicio]])/60</f>
        <v>15.5</v>
      </c>
      <c r="G423" s="60" t="s">
        <v>13</v>
      </c>
      <c r="H423" s="60" t="s">
        <v>23</v>
      </c>
      <c r="I423" s="60" t="s">
        <v>17</v>
      </c>
      <c r="J423" s="60" t="s">
        <v>292</v>
      </c>
      <c r="K423" s="58" t="s">
        <v>532</v>
      </c>
      <c r="L423" s="75"/>
    </row>
    <row r="424" spans="1:12" ht="30" hidden="1">
      <c r="A424" s="72">
        <v>46141</v>
      </c>
      <c r="B424" s="87"/>
      <c r="C424" s="74" t="str">
        <f>IF(Tabla13[[#This Row],[Fecha]]="","",TEXT(Tabla13[[#This Row],[Fecha]],"mmmm"))</f>
        <v>abril</v>
      </c>
      <c r="D424" s="75">
        <v>0.9555555555555556</v>
      </c>
      <c r="E424" s="75">
        <v>0.99652777777777779</v>
      </c>
      <c r="F424" s="71">
        <f>HOUR(Tabla13[[#This Row],[Hora fin ]]-Tabla13[[#This Row],[Hora inicio]])+MINUTE(Tabla13[[#This Row],[Hora fin ]]-Tabla13[[#This Row],[Hora inicio]])/60</f>
        <v>0.98333333333333328</v>
      </c>
      <c r="G424" s="60" t="s">
        <v>10</v>
      </c>
      <c r="H424" s="60" t="s">
        <v>23</v>
      </c>
      <c r="I424" s="60" t="s">
        <v>24</v>
      </c>
      <c r="J424" s="60" t="s">
        <v>318</v>
      </c>
      <c r="K424" s="58" t="s">
        <v>531</v>
      </c>
      <c r="L424" s="75"/>
    </row>
    <row r="425" spans="1:12" hidden="1">
      <c r="A425" s="72">
        <v>46142</v>
      </c>
      <c r="B425" s="87"/>
      <c r="C425" s="74" t="str">
        <f>IF(Tabla13[[#This Row],[Fecha]]="","",TEXT(Tabla13[[#This Row],[Fecha]],"mmmm"))</f>
        <v>abril</v>
      </c>
      <c r="D425" s="75">
        <v>0.31319444444444444</v>
      </c>
      <c r="E425" s="75">
        <v>0.31527777777777777</v>
      </c>
      <c r="F425" s="71">
        <f>HOUR(Tabla13[[#This Row],[Hora fin ]]-Tabla13[[#This Row],[Hora inicio]])+MINUTE(Tabla13[[#This Row],[Hora fin ]]-Tabla13[[#This Row],[Hora inicio]])/60</f>
        <v>0.05</v>
      </c>
      <c r="G425" s="60" t="s">
        <v>4</v>
      </c>
      <c r="H425" s="60" t="s">
        <v>5</v>
      </c>
      <c r="I425" s="60" t="s">
        <v>258</v>
      </c>
      <c r="J425" s="60" t="s">
        <v>356</v>
      </c>
      <c r="K425" s="58" t="s">
        <v>400</v>
      </c>
      <c r="L425" s="75"/>
    </row>
    <row r="426" spans="1:12" hidden="1">
      <c r="A426" s="72">
        <v>46142</v>
      </c>
      <c r="B426" s="87"/>
      <c r="C426" s="74" t="str">
        <f>IF(Tabla13[[#This Row],[Fecha]]="","",TEXT(Tabla13[[#This Row],[Fecha]],"mmmm"))</f>
        <v>abril</v>
      </c>
      <c r="D426" s="75">
        <v>0.35208333333333336</v>
      </c>
      <c r="E426" s="75">
        <v>0.36388888888888887</v>
      </c>
      <c r="F426" s="71">
        <f>HOUR(Tabla13[[#This Row],[Hora fin ]]-Tabla13[[#This Row],[Hora inicio]])+MINUTE(Tabla13[[#This Row],[Hora fin ]]-Tabla13[[#This Row],[Hora inicio]])/60</f>
        <v>0.28333333333333333</v>
      </c>
      <c r="G426" s="60" t="s">
        <v>4</v>
      </c>
      <c r="H426" s="60" t="s">
        <v>5</v>
      </c>
      <c r="I426" s="60" t="s">
        <v>258</v>
      </c>
      <c r="J426" s="60" t="s">
        <v>359</v>
      </c>
      <c r="K426" s="58" t="s">
        <v>400</v>
      </c>
      <c r="L426" s="75"/>
    </row>
    <row r="427" spans="1:12" ht="30" hidden="1">
      <c r="A427" s="72">
        <v>46142</v>
      </c>
      <c r="B427" s="87"/>
      <c r="C427" s="74" t="str">
        <f>IF(Tabla13[[#This Row],[Fecha]]="","",TEXT(Tabla13[[#This Row],[Fecha]],"mmmm"))</f>
        <v>abril</v>
      </c>
      <c r="D427" s="75">
        <v>0.38472222222222224</v>
      </c>
      <c r="E427" s="75">
        <v>0.45277777777777778</v>
      </c>
      <c r="F427" s="71">
        <f>HOUR(Tabla13[[#This Row],[Hora fin ]]-Tabla13[[#This Row],[Hora inicio]])+MINUTE(Tabla13[[#This Row],[Hora fin ]]-Tabla13[[#This Row],[Hora inicio]])/60</f>
        <v>1.6333333333333333</v>
      </c>
      <c r="G427" s="60" t="s">
        <v>10</v>
      </c>
      <c r="H427" s="60" t="s">
        <v>23</v>
      </c>
      <c r="I427" s="60" t="s">
        <v>27</v>
      </c>
      <c r="J427" s="60" t="s">
        <v>374</v>
      </c>
      <c r="K427" s="58" t="s">
        <v>534</v>
      </c>
      <c r="L427" s="75"/>
    </row>
    <row r="428" spans="1:12" hidden="1">
      <c r="A428" s="72">
        <v>46142</v>
      </c>
      <c r="B428" s="87"/>
      <c r="C428" s="74" t="str">
        <f>IF(Tabla13[[#This Row],[Fecha]]="","",TEXT(Tabla13[[#This Row],[Fecha]],"mmmm"))</f>
        <v>abril</v>
      </c>
      <c r="D428" s="75">
        <v>0.49305555555555558</v>
      </c>
      <c r="E428" s="75">
        <v>0.49513888888888891</v>
      </c>
      <c r="F428" s="71">
        <f>HOUR(Tabla13[[#This Row],[Hora fin ]]-Tabla13[[#This Row],[Hora inicio]])+MINUTE(Tabla13[[#This Row],[Hora fin ]]-Tabla13[[#This Row],[Hora inicio]])/60</f>
        <v>0.05</v>
      </c>
      <c r="G428" s="60" t="s">
        <v>4</v>
      </c>
      <c r="H428" s="60" t="s">
        <v>5</v>
      </c>
      <c r="I428" s="60" t="s">
        <v>258</v>
      </c>
      <c r="J428" s="60" t="s">
        <v>356</v>
      </c>
      <c r="K428" s="58" t="s">
        <v>400</v>
      </c>
      <c r="L428" s="75"/>
    </row>
    <row r="429" spans="1:12" hidden="1">
      <c r="A429" s="72">
        <v>46144</v>
      </c>
      <c r="B429" s="87"/>
      <c r="C429" s="74" t="str">
        <f>IF(Tabla13[[#This Row],[Fecha]]="","",TEXT(Tabla13[[#This Row],[Fecha]],"mmmm"))</f>
        <v>mayo</v>
      </c>
      <c r="D429" s="75">
        <v>0.25</v>
      </c>
      <c r="E429" s="75">
        <v>0.66666666666666663</v>
      </c>
      <c r="F429" s="71">
        <f>HOUR(Tabla13[[#This Row],[Hora fin ]]-Tabla13[[#This Row],[Hora inicio]])+MINUTE(Tabla13[[#This Row],[Hora fin ]]-Tabla13[[#This Row],[Hora inicio]])/60</f>
        <v>10</v>
      </c>
      <c r="G429" s="60" t="s">
        <v>4</v>
      </c>
      <c r="H429" s="60" t="s">
        <v>16</v>
      </c>
      <c r="I429" s="60" t="s">
        <v>6</v>
      </c>
      <c r="J429" s="60" t="s">
        <v>16</v>
      </c>
      <c r="K429" s="57" t="s">
        <v>440</v>
      </c>
      <c r="L429" s="75"/>
    </row>
    <row r="430" spans="1:12" hidden="1">
      <c r="A430" s="72">
        <v>46145</v>
      </c>
      <c r="B430" s="87"/>
      <c r="C430" s="74" t="str">
        <f>IF(Tabla13[[#This Row],[Fecha]]="","",TEXT(Tabla13[[#This Row],[Fecha]],"mmmm"))</f>
        <v>mayo</v>
      </c>
      <c r="D430" s="75">
        <v>0.25</v>
      </c>
      <c r="E430" s="75">
        <v>0.66666666666666663</v>
      </c>
      <c r="F430" s="71">
        <f>HOUR(Tabla13[[#This Row],[Hora fin ]]-Tabla13[[#This Row],[Hora inicio]])+MINUTE(Tabla13[[#This Row],[Hora fin ]]-Tabla13[[#This Row],[Hora inicio]])/60</f>
        <v>10</v>
      </c>
      <c r="G430" s="60" t="s">
        <v>4</v>
      </c>
      <c r="H430" s="60" t="s">
        <v>16</v>
      </c>
      <c r="I430" s="60" t="s">
        <v>6</v>
      </c>
      <c r="J430" s="60" t="s">
        <v>16</v>
      </c>
      <c r="K430" s="57" t="s">
        <v>440</v>
      </c>
      <c r="L430" s="75"/>
    </row>
    <row r="431" spans="1:12" hidden="1">
      <c r="A431" s="72">
        <v>46146</v>
      </c>
      <c r="B431" s="87"/>
      <c r="C431" s="74" t="str">
        <f>IF(Tabla13[[#This Row],[Fecha]]="","",TEXT(Tabla13[[#This Row],[Fecha]],"mmmm"))</f>
        <v>mayo</v>
      </c>
      <c r="D431" s="75">
        <v>0.75694444444444442</v>
      </c>
      <c r="E431" s="75">
        <v>0.75972222222222219</v>
      </c>
      <c r="F431" s="71">
        <f>HOUR(Tabla13[[#This Row],[Hora fin ]]-Tabla13[[#This Row],[Hora inicio]])+MINUTE(Tabla13[[#This Row],[Hora fin ]]-Tabla13[[#This Row],[Hora inicio]])/60</f>
        <v>6.6666666666666666E-2</v>
      </c>
      <c r="G431" s="60" t="s">
        <v>4</v>
      </c>
      <c r="H431" s="60" t="s">
        <v>5</v>
      </c>
      <c r="I431" s="60" t="s">
        <v>258</v>
      </c>
      <c r="J431" s="60" t="s">
        <v>359</v>
      </c>
      <c r="K431" s="58" t="s">
        <v>400</v>
      </c>
      <c r="L431" s="75"/>
    </row>
    <row r="432" spans="1:12" hidden="1">
      <c r="A432" s="72">
        <v>46146</v>
      </c>
      <c r="B432" s="87"/>
      <c r="C432" s="74" t="str">
        <f>IF(Tabla13[[#This Row],[Fecha]]="","",TEXT(Tabla13[[#This Row],[Fecha]],"mmmm"))</f>
        <v>mayo</v>
      </c>
      <c r="D432" s="75">
        <v>0.76666666666666672</v>
      </c>
      <c r="E432" s="75">
        <v>0.76944444444444449</v>
      </c>
      <c r="F432" s="71">
        <f>HOUR(Tabla13[[#This Row],[Hora fin ]]-Tabla13[[#This Row],[Hora inicio]])+MINUTE(Tabla13[[#This Row],[Hora fin ]]-Tabla13[[#This Row],[Hora inicio]])/60</f>
        <v>6.6666666666666666E-2</v>
      </c>
      <c r="G432" s="60" t="s">
        <v>4</v>
      </c>
      <c r="H432" s="60" t="s">
        <v>5</v>
      </c>
      <c r="I432" s="60" t="s">
        <v>258</v>
      </c>
      <c r="J432" s="60" t="s">
        <v>356</v>
      </c>
      <c r="K432" s="58" t="s">
        <v>400</v>
      </c>
      <c r="L432" s="75"/>
    </row>
    <row r="433" spans="1:12" hidden="1">
      <c r="A433" s="72">
        <v>46146</v>
      </c>
      <c r="B433" s="87"/>
      <c r="C433" s="74" t="str">
        <f>IF(Tabla13[[#This Row],[Fecha]]="","",TEXT(Tabla13[[#This Row],[Fecha]],"mmmm"))</f>
        <v>mayo</v>
      </c>
      <c r="D433" s="75">
        <v>0.78611111111111109</v>
      </c>
      <c r="E433" s="75">
        <v>0.7895833333333333</v>
      </c>
      <c r="F433" s="71">
        <f>HOUR(Tabla13[[#This Row],[Hora fin ]]-Tabla13[[#This Row],[Hora inicio]])+MINUTE(Tabla13[[#This Row],[Hora fin ]]-Tabla13[[#This Row],[Hora inicio]])/60</f>
        <v>8.3333333333333329E-2</v>
      </c>
      <c r="G433" s="60" t="s">
        <v>4</v>
      </c>
      <c r="H433" s="60" t="s">
        <v>5</v>
      </c>
      <c r="I433" s="60" t="s">
        <v>258</v>
      </c>
      <c r="J433" s="60" t="s">
        <v>359</v>
      </c>
      <c r="K433" s="58" t="s">
        <v>400</v>
      </c>
      <c r="L433" s="75"/>
    </row>
    <row r="434" spans="1:12" hidden="1">
      <c r="A434" s="72">
        <v>46147</v>
      </c>
      <c r="B434" s="87"/>
      <c r="C434" s="74" t="str">
        <f>IF(Tabla13[[#This Row],[Fecha]]="","",TEXT(Tabla13[[#This Row],[Fecha]],"mmmm"))</f>
        <v>mayo</v>
      </c>
      <c r="D434" s="75">
        <v>0.1673611111111111</v>
      </c>
      <c r="E434" s="75">
        <v>0.23402777777777778</v>
      </c>
      <c r="F434" s="71">
        <f>HOUR(Tabla13[[#This Row],[Hora fin ]]-Tabla13[[#This Row],[Hora inicio]])+MINUTE(Tabla13[[#This Row],[Hora fin ]]-Tabla13[[#This Row],[Hora inicio]])/60</f>
        <v>1.6</v>
      </c>
      <c r="G434" s="60" t="s">
        <v>10</v>
      </c>
      <c r="H434" s="60" t="s">
        <v>30</v>
      </c>
      <c r="I434" s="60" t="s">
        <v>12</v>
      </c>
      <c r="J434" s="60" t="s">
        <v>270</v>
      </c>
      <c r="K434" s="57" t="s">
        <v>401</v>
      </c>
      <c r="L434" s="75"/>
    </row>
    <row r="435" spans="1:12" hidden="1">
      <c r="A435" s="72">
        <v>46147</v>
      </c>
      <c r="B435" s="87"/>
      <c r="C435" s="74" t="str">
        <f>IF(Tabla13[[#This Row],[Fecha]]="","",TEXT(Tabla13[[#This Row],[Fecha]],"mmmm"))</f>
        <v>mayo</v>
      </c>
      <c r="D435" s="75">
        <v>0.80833333333333335</v>
      </c>
      <c r="E435" s="75">
        <v>0.81041666666666667</v>
      </c>
      <c r="F435" s="71">
        <f>HOUR(Tabla13[[#This Row],[Hora fin ]]-Tabla13[[#This Row],[Hora inicio]])+MINUTE(Tabla13[[#This Row],[Hora fin ]]-Tabla13[[#This Row],[Hora inicio]])/60</f>
        <v>0.05</v>
      </c>
      <c r="G435" s="60" t="s">
        <v>4</v>
      </c>
      <c r="H435" s="60" t="s">
        <v>5</v>
      </c>
      <c r="I435" s="60" t="s">
        <v>258</v>
      </c>
      <c r="J435" s="60" t="s">
        <v>356</v>
      </c>
      <c r="K435" s="58" t="s">
        <v>400</v>
      </c>
      <c r="L435" s="75"/>
    </row>
    <row r="436" spans="1:12" hidden="1">
      <c r="A436" s="72">
        <v>46148</v>
      </c>
      <c r="B436" s="87"/>
      <c r="C436" s="74" t="str">
        <f>IF(Tabla13[[#This Row],[Fecha]]="","",TEXT(Tabla13[[#This Row],[Fecha]],"mmmm"))</f>
        <v>mayo</v>
      </c>
      <c r="D436" s="75">
        <v>5.486111111111111E-2</v>
      </c>
      <c r="E436" s="75">
        <v>5.6944444444444443E-2</v>
      </c>
      <c r="F436" s="71">
        <f>HOUR(Tabla13[[#This Row],[Hora fin ]]-Tabla13[[#This Row],[Hora inicio]])+MINUTE(Tabla13[[#This Row],[Hora fin ]]-Tabla13[[#This Row],[Hora inicio]])/60</f>
        <v>0.05</v>
      </c>
      <c r="G436" s="60" t="s">
        <v>4</v>
      </c>
      <c r="H436" s="60" t="s">
        <v>5</v>
      </c>
      <c r="I436" s="60" t="s">
        <v>258</v>
      </c>
      <c r="J436" s="60" t="s">
        <v>359</v>
      </c>
      <c r="K436" s="58" t="s">
        <v>400</v>
      </c>
      <c r="L436" s="75"/>
    </row>
    <row r="437" spans="1:12" hidden="1">
      <c r="A437" s="72">
        <v>46148</v>
      </c>
      <c r="B437" s="87"/>
      <c r="C437" s="74" t="str">
        <f>IF(Tabla13[[#This Row],[Fecha]]="","",TEXT(Tabla13[[#This Row],[Fecha]],"mmmm"))</f>
        <v>mayo</v>
      </c>
      <c r="D437" s="75">
        <v>6.5972222222222224E-2</v>
      </c>
      <c r="E437" s="75">
        <v>6.7361111111111108E-2</v>
      </c>
      <c r="F437" s="71">
        <f>HOUR(Tabla13[[#This Row],[Hora fin ]]-Tabla13[[#This Row],[Hora inicio]])+MINUTE(Tabla13[[#This Row],[Hora fin ]]-Tabla13[[#This Row],[Hora inicio]])/60</f>
        <v>3.3333333333333333E-2</v>
      </c>
      <c r="G437" s="60" t="s">
        <v>4</v>
      </c>
      <c r="H437" s="60" t="s">
        <v>5</v>
      </c>
      <c r="I437" s="60" t="s">
        <v>258</v>
      </c>
      <c r="J437" s="60" t="s">
        <v>356</v>
      </c>
      <c r="K437" s="58" t="s">
        <v>400</v>
      </c>
      <c r="L437" s="75"/>
    </row>
    <row r="438" spans="1:12" ht="30" hidden="1">
      <c r="A438" s="72">
        <v>46148</v>
      </c>
      <c r="B438" s="87"/>
      <c r="C438" s="74" t="str">
        <f>IF(Tabla13[[#This Row],[Fecha]]="","",TEXT(Tabla13[[#This Row],[Fecha]],"mmmm"))</f>
        <v>mayo</v>
      </c>
      <c r="D438" s="75">
        <v>0.16944444444444445</v>
      </c>
      <c r="E438" s="75">
        <v>0.24236111111111111</v>
      </c>
      <c r="F438" s="71">
        <f>HOUR(Tabla13[[#This Row],[Hora fin ]]-Tabla13[[#This Row],[Hora inicio]])+MINUTE(Tabla13[[#This Row],[Hora fin ]]-Tabla13[[#This Row],[Hora inicio]])/60</f>
        <v>1.75</v>
      </c>
      <c r="G438" s="60" t="s">
        <v>10</v>
      </c>
      <c r="H438" s="60" t="s">
        <v>23</v>
      </c>
      <c r="I438" s="60" t="s">
        <v>27</v>
      </c>
      <c r="J438" s="60" t="s">
        <v>374</v>
      </c>
      <c r="K438" s="58" t="s">
        <v>537</v>
      </c>
      <c r="L438" s="75"/>
    </row>
    <row r="439" spans="1:12" hidden="1">
      <c r="A439" s="72">
        <v>46148</v>
      </c>
      <c r="B439" s="87"/>
      <c r="C439" s="74" t="str">
        <f>IF(Tabla13[[#This Row],[Fecha]]="","",TEXT(Tabla13[[#This Row],[Fecha]],"mmmm"))</f>
        <v>mayo</v>
      </c>
      <c r="D439" s="75">
        <v>0.24861111111111112</v>
      </c>
      <c r="E439" s="75">
        <v>0.27013888888888887</v>
      </c>
      <c r="F439" s="71">
        <f>HOUR(Tabla13[[#This Row],[Hora fin ]]-Tabla13[[#This Row],[Hora inicio]])+MINUTE(Tabla13[[#This Row],[Hora fin ]]-Tabla13[[#This Row],[Hora inicio]])/60</f>
        <v>0.51666666666666672</v>
      </c>
      <c r="G439" s="60" t="s">
        <v>10</v>
      </c>
      <c r="H439" s="60" t="s">
        <v>25</v>
      </c>
      <c r="I439" s="60" t="s">
        <v>24</v>
      </c>
      <c r="J439" s="60" t="s">
        <v>329</v>
      </c>
      <c r="K439" s="58" t="s">
        <v>538</v>
      </c>
      <c r="L439" s="75"/>
    </row>
    <row r="440" spans="1:12" hidden="1">
      <c r="A440" s="72">
        <v>46148</v>
      </c>
      <c r="B440" s="87"/>
      <c r="C440" s="74" t="str">
        <f>IF(Tabla13[[#This Row],[Fecha]]="","",TEXT(Tabla13[[#This Row],[Fecha]],"mmmm"))</f>
        <v>mayo</v>
      </c>
      <c r="D440" s="75">
        <v>0.81388888888888888</v>
      </c>
      <c r="E440" s="75">
        <v>0.81666666666666665</v>
      </c>
      <c r="F440" s="71">
        <f>HOUR(Tabla13[[#This Row],[Hora fin ]]-Tabla13[[#This Row],[Hora inicio]])+MINUTE(Tabla13[[#This Row],[Hora fin ]]-Tabla13[[#This Row],[Hora inicio]])/60</f>
        <v>6.6666666666666666E-2</v>
      </c>
      <c r="G440" s="60" t="s">
        <v>4</v>
      </c>
      <c r="H440" s="60" t="s">
        <v>5</v>
      </c>
      <c r="I440" s="60" t="s">
        <v>258</v>
      </c>
      <c r="J440" s="60" t="s">
        <v>359</v>
      </c>
      <c r="K440" s="58" t="s">
        <v>400</v>
      </c>
      <c r="L440" s="75"/>
    </row>
    <row r="441" spans="1:12" hidden="1">
      <c r="A441" s="72">
        <v>46149</v>
      </c>
      <c r="B441" s="87"/>
      <c r="C441" s="74" t="str">
        <f>IF(Tabla13[[#This Row],[Fecha]]="","",TEXT(Tabla13[[#This Row],[Fecha]],"mmmm"))</f>
        <v>mayo</v>
      </c>
      <c r="D441" s="75">
        <v>4.5138888888888888E-2</v>
      </c>
      <c r="E441" s="75">
        <v>4.7222222222222221E-2</v>
      </c>
      <c r="F441" s="71">
        <f>HOUR(Tabla13[[#This Row],[Hora fin ]]-Tabla13[[#This Row],[Hora inicio]])+MINUTE(Tabla13[[#This Row],[Hora fin ]]-Tabla13[[#This Row],[Hora inicio]])/60</f>
        <v>0.05</v>
      </c>
      <c r="G441" s="60" t="s">
        <v>4</v>
      </c>
      <c r="H441" s="60" t="s">
        <v>5</v>
      </c>
      <c r="I441" s="60" t="s">
        <v>258</v>
      </c>
      <c r="J441" s="60" t="s">
        <v>356</v>
      </c>
      <c r="K441" s="58" t="s">
        <v>400</v>
      </c>
      <c r="L441" s="75"/>
    </row>
    <row r="442" spans="1:12" hidden="1">
      <c r="A442" s="72">
        <v>46149</v>
      </c>
      <c r="B442" s="87"/>
      <c r="C442" s="74" t="str">
        <f>IF(Tabla13[[#This Row],[Fecha]]="","",TEXT(Tabla13[[#This Row],[Fecha]],"mmmm"))</f>
        <v>mayo</v>
      </c>
      <c r="D442" s="75">
        <v>0.51666666666666672</v>
      </c>
      <c r="E442" s="75">
        <v>0.52430555555555558</v>
      </c>
      <c r="F442" s="71">
        <f>HOUR(Tabla13[[#This Row],[Hora fin ]]-Tabla13[[#This Row],[Hora inicio]])+MINUTE(Tabla13[[#This Row],[Hora fin ]]-Tabla13[[#This Row],[Hora inicio]])/60</f>
        <v>0.18333333333333332</v>
      </c>
      <c r="G442" s="60" t="s">
        <v>4</v>
      </c>
      <c r="H442" s="60" t="s">
        <v>5</v>
      </c>
      <c r="I442" s="60" t="s">
        <v>258</v>
      </c>
      <c r="J442" s="60" t="s">
        <v>359</v>
      </c>
      <c r="K442" s="58" t="s">
        <v>400</v>
      </c>
      <c r="L442" s="75"/>
    </row>
    <row r="443" spans="1:12" hidden="1">
      <c r="A443" s="72">
        <v>46149</v>
      </c>
      <c r="B443" s="87"/>
      <c r="C443" s="74" t="str">
        <f>IF(Tabla13[[#This Row],[Fecha]]="","",TEXT(Tabla13[[#This Row],[Fecha]],"mmmm"))</f>
        <v>mayo</v>
      </c>
      <c r="D443" s="75">
        <v>0.97361111111111109</v>
      </c>
      <c r="E443" s="75">
        <v>0.98472222222222228</v>
      </c>
      <c r="F443" s="71">
        <f>HOUR(Tabla13[[#This Row],[Hora fin ]]-Tabla13[[#This Row],[Hora inicio]])+MINUTE(Tabla13[[#This Row],[Hora fin ]]-Tabla13[[#This Row],[Hora inicio]])/60</f>
        <v>0.26666666666666666</v>
      </c>
      <c r="G443" s="60" t="s">
        <v>10</v>
      </c>
      <c r="H443" s="60" t="s">
        <v>23</v>
      </c>
      <c r="I443" s="60" t="s">
        <v>24</v>
      </c>
      <c r="J443" s="60" t="s">
        <v>329</v>
      </c>
      <c r="K443" s="58" t="s">
        <v>539</v>
      </c>
      <c r="L443" s="75"/>
    </row>
    <row r="444" spans="1:12" hidden="1">
      <c r="A444" s="72">
        <v>46150</v>
      </c>
      <c r="B444" s="87"/>
      <c r="C444" s="74" t="str">
        <f>IF(Tabla13[[#This Row],[Fecha]]="","",TEXT(Tabla13[[#This Row],[Fecha]],"mmmm"))</f>
        <v>mayo</v>
      </c>
      <c r="D444" s="75">
        <v>0.51666666666666672</v>
      </c>
      <c r="E444" s="75">
        <v>0.5180555555555556</v>
      </c>
      <c r="F444" s="71">
        <f>HOUR(Tabla13[[#This Row],[Hora fin ]]-Tabla13[[#This Row],[Hora inicio]])+MINUTE(Tabla13[[#This Row],[Hora fin ]]-Tabla13[[#This Row],[Hora inicio]])/60</f>
        <v>3.3333333333333333E-2</v>
      </c>
      <c r="G444" s="60" t="s">
        <v>10</v>
      </c>
      <c r="H444" s="60" t="s">
        <v>20</v>
      </c>
      <c r="I444" s="60" t="s">
        <v>6</v>
      </c>
      <c r="J444" s="60" t="s">
        <v>360</v>
      </c>
      <c r="K444" s="58" t="s">
        <v>540</v>
      </c>
      <c r="L444" s="75"/>
    </row>
    <row r="445" spans="1:12" hidden="1">
      <c r="A445" s="72">
        <v>46150</v>
      </c>
      <c r="B445" s="87"/>
      <c r="C445" s="74" t="str">
        <f>IF(Tabla13[[#This Row],[Fecha]]="","",TEXT(Tabla13[[#This Row],[Fecha]],"mmmm"))</f>
        <v>mayo</v>
      </c>
      <c r="D445" s="75">
        <v>0.56319444444444444</v>
      </c>
      <c r="E445" s="75">
        <v>0.58194444444444449</v>
      </c>
      <c r="F445" s="71">
        <f>HOUR(Tabla13[[#This Row],[Hora fin ]]-Tabla13[[#This Row],[Hora inicio]])+MINUTE(Tabla13[[#This Row],[Hora fin ]]-Tabla13[[#This Row],[Hora inicio]])/60</f>
        <v>0.45</v>
      </c>
      <c r="G445" s="60" t="s">
        <v>10</v>
      </c>
      <c r="H445" s="60" t="s">
        <v>26</v>
      </c>
      <c r="I445" s="60" t="s">
        <v>17</v>
      </c>
      <c r="J445" s="60" t="s">
        <v>290</v>
      </c>
      <c r="K445" s="58" t="s">
        <v>520</v>
      </c>
      <c r="L445" s="75"/>
    </row>
    <row r="446" spans="1:12" ht="30" hidden="1">
      <c r="A446" s="72">
        <v>46150</v>
      </c>
      <c r="B446" s="87"/>
      <c r="C446" s="74" t="str">
        <f>IF(Tabla13[[#This Row],[Fecha]]="","",TEXT(Tabla13[[#This Row],[Fecha]],"mmmm"))</f>
        <v>mayo</v>
      </c>
      <c r="D446" s="75">
        <v>0.91319444444444442</v>
      </c>
      <c r="E446" s="75">
        <v>0.91874999999999996</v>
      </c>
      <c r="F446" s="71">
        <f>HOUR(Tabla13[[#This Row],[Hora fin ]]-Tabla13[[#This Row],[Hora inicio]])+MINUTE(Tabla13[[#This Row],[Hora fin ]]-Tabla13[[#This Row],[Hora inicio]])/60</f>
        <v>0.13333333333333333</v>
      </c>
      <c r="G446" s="60" t="s">
        <v>10</v>
      </c>
      <c r="H446" s="60" t="s">
        <v>26</v>
      </c>
      <c r="I446" s="60" t="s">
        <v>257</v>
      </c>
      <c r="J446" s="60" t="s">
        <v>287</v>
      </c>
      <c r="K446" s="58" t="s">
        <v>541</v>
      </c>
      <c r="L446" s="75"/>
    </row>
    <row r="447" spans="1:12" ht="30" hidden="1">
      <c r="A447" s="72">
        <v>46150</v>
      </c>
      <c r="B447" s="87"/>
      <c r="C447" s="74" t="str">
        <f>IF(Tabla13[[#This Row],[Fecha]]="","",TEXT(Tabla13[[#This Row],[Fecha]],"mmmm"))</f>
        <v>mayo</v>
      </c>
      <c r="D447" s="75">
        <v>0.99583333333333335</v>
      </c>
      <c r="E447" s="75">
        <v>1</v>
      </c>
      <c r="F447" s="71">
        <f>HOUR(Tabla13[[#This Row],[Hora fin ]]-Tabla13[[#This Row],[Hora inicio]])+MINUTE(Tabla13[[#This Row],[Hora fin ]]-Tabla13[[#This Row],[Hora inicio]])/60</f>
        <v>0.1</v>
      </c>
      <c r="G447" s="60" t="s">
        <v>10</v>
      </c>
      <c r="H447" s="60" t="s">
        <v>26</v>
      </c>
      <c r="I447" s="60" t="s">
        <v>257</v>
      </c>
      <c r="J447" s="60" t="s">
        <v>287</v>
      </c>
      <c r="K447" s="58" t="s">
        <v>541</v>
      </c>
      <c r="L447" s="75"/>
    </row>
    <row r="448" spans="1:12" hidden="1">
      <c r="A448" s="72">
        <v>46151</v>
      </c>
      <c r="B448" s="87"/>
      <c r="C448" s="74" t="str">
        <f>IF(Tabla13[[#This Row],[Fecha]]="","",TEXT(Tabla13[[#This Row],[Fecha]],"mmmm"))</f>
        <v>mayo</v>
      </c>
      <c r="D448" s="75">
        <v>0.96388888888888891</v>
      </c>
      <c r="E448" s="75">
        <v>0.96597222222222223</v>
      </c>
      <c r="F448" s="71">
        <f>HOUR(Tabla13[[#This Row],[Hora fin ]]-Tabla13[[#This Row],[Hora inicio]])+MINUTE(Tabla13[[#This Row],[Hora fin ]]-Tabla13[[#This Row],[Hora inicio]])/60</f>
        <v>0.05</v>
      </c>
      <c r="G448" s="60" t="s">
        <v>4</v>
      </c>
      <c r="H448" s="60" t="s">
        <v>5</v>
      </c>
      <c r="I448" s="60" t="s">
        <v>258</v>
      </c>
      <c r="J448" s="60" t="s">
        <v>356</v>
      </c>
      <c r="K448" s="58" t="s">
        <v>400</v>
      </c>
      <c r="L448" s="75"/>
    </row>
    <row r="449" spans="1:12" hidden="1">
      <c r="A449" s="72">
        <v>46153</v>
      </c>
      <c r="B449" s="87"/>
      <c r="C449" s="74" t="str">
        <f>IF(Tabla13[[#This Row],[Fecha]]="","",TEXT(Tabla13[[#This Row],[Fecha]],"mmmm"))</f>
        <v>mayo</v>
      </c>
      <c r="D449" s="75">
        <v>0.33402777777777776</v>
      </c>
      <c r="E449" s="75">
        <v>0.33888888888888891</v>
      </c>
      <c r="F449" s="71">
        <f>HOUR(Tabla13[[#This Row],[Hora fin ]]-Tabla13[[#This Row],[Hora inicio]])+MINUTE(Tabla13[[#This Row],[Hora fin ]]-Tabla13[[#This Row],[Hora inicio]])/60</f>
        <v>0.11666666666666667</v>
      </c>
      <c r="G449" s="60" t="s">
        <v>4</v>
      </c>
      <c r="H449" s="60" t="s">
        <v>5</v>
      </c>
      <c r="I449" s="60" t="s">
        <v>258</v>
      </c>
      <c r="J449" s="60" t="s">
        <v>359</v>
      </c>
      <c r="K449" s="58" t="s">
        <v>400</v>
      </c>
      <c r="L449" s="75"/>
    </row>
    <row r="450" spans="1:12" hidden="1">
      <c r="A450" s="72">
        <v>46153</v>
      </c>
      <c r="B450" s="87"/>
      <c r="C450" s="74" t="str">
        <f>IF(Tabla13[[#This Row],[Fecha]]="","",TEXT(Tabla13[[#This Row],[Fecha]],"mmmm"))</f>
        <v>mayo</v>
      </c>
      <c r="D450" s="75">
        <v>0.35416666666666669</v>
      </c>
      <c r="E450" s="75">
        <v>0.35902777777777778</v>
      </c>
      <c r="F450" s="71">
        <f>HOUR(Tabla13[[#This Row],[Hora fin ]]-Tabla13[[#This Row],[Hora inicio]])+MINUTE(Tabla13[[#This Row],[Hora fin ]]-Tabla13[[#This Row],[Hora inicio]])/60</f>
        <v>0.11666666666666667</v>
      </c>
      <c r="G450" s="60" t="s">
        <v>10</v>
      </c>
      <c r="H450" s="60" t="s">
        <v>20</v>
      </c>
      <c r="I450" s="60" t="s">
        <v>24</v>
      </c>
      <c r="J450" s="60" t="s">
        <v>327</v>
      </c>
      <c r="K450" s="58" t="s">
        <v>542</v>
      </c>
      <c r="L450" s="75"/>
    </row>
    <row r="451" spans="1:12" hidden="1">
      <c r="A451" s="72">
        <v>46154</v>
      </c>
      <c r="B451" s="87"/>
      <c r="C451" s="74" t="str">
        <f>IF(Tabla13[[#This Row],[Fecha]]="","",TEXT(Tabla13[[#This Row],[Fecha]],"mmmm"))</f>
        <v>mayo</v>
      </c>
      <c r="D451" s="75">
        <v>0.53888888888888886</v>
      </c>
      <c r="E451" s="75">
        <v>0.54166666666666663</v>
      </c>
      <c r="F451" s="71">
        <f>HOUR(Tabla13[[#This Row],[Hora fin ]]-Tabla13[[#This Row],[Hora inicio]])+MINUTE(Tabla13[[#This Row],[Hora fin ]]-Tabla13[[#This Row],[Hora inicio]])/60</f>
        <v>6.6666666666666666E-2</v>
      </c>
      <c r="G451" s="60" t="s">
        <v>4</v>
      </c>
      <c r="H451" s="60" t="s">
        <v>5</v>
      </c>
      <c r="I451" s="60" t="s">
        <v>258</v>
      </c>
      <c r="J451" s="60" t="s">
        <v>356</v>
      </c>
      <c r="K451" s="58" t="s">
        <v>400</v>
      </c>
      <c r="L451" s="75"/>
    </row>
    <row r="452" spans="1:12" hidden="1">
      <c r="A452" s="72">
        <v>46155</v>
      </c>
      <c r="B452" s="87"/>
      <c r="C452" s="74" t="str">
        <f>IF(Tabla13[[#This Row],[Fecha]]="","",TEXT(Tabla13[[#This Row],[Fecha]],"mmmm"))</f>
        <v>mayo</v>
      </c>
      <c r="D452" s="75">
        <v>4.9305555555555554E-2</v>
      </c>
      <c r="E452" s="75">
        <v>5.2083333333333336E-2</v>
      </c>
      <c r="F452" s="71">
        <f>HOUR(Tabla13[[#This Row],[Hora fin ]]-Tabla13[[#This Row],[Hora inicio]])+MINUTE(Tabla13[[#This Row],[Hora fin ]]-Tabla13[[#This Row],[Hora inicio]])/60</f>
        <v>6.6666666666666666E-2</v>
      </c>
      <c r="G452" s="60" t="s">
        <v>4</v>
      </c>
      <c r="H452" s="60" t="s">
        <v>5</v>
      </c>
      <c r="I452" s="60" t="s">
        <v>258</v>
      </c>
      <c r="J452" s="60" t="s">
        <v>359</v>
      </c>
      <c r="K452" s="58" t="s">
        <v>400</v>
      </c>
      <c r="L452" s="75"/>
    </row>
    <row r="453" spans="1:12" hidden="1">
      <c r="A453" s="72">
        <v>46155</v>
      </c>
      <c r="B453" s="87"/>
      <c r="C453" s="74" t="str">
        <f>IF(Tabla13[[#This Row],[Fecha]]="","",TEXT(Tabla13[[#This Row],[Fecha]],"mmmm"))</f>
        <v>mayo</v>
      </c>
      <c r="D453" s="75">
        <v>0.44583333333333336</v>
      </c>
      <c r="E453" s="75">
        <v>0.44791666666666669</v>
      </c>
      <c r="F453" s="71">
        <f>HOUR(Tabla13[[#This Row],[Hora fin ]]-Tabla13[[#This Row],[Hora inicio]])+MINUTE(Tabla13[[#This Row],[Hora fin ]]-Tabla13[[#This Row],[Hora inicio]])/60</f>
        <v>0.05</v>
      </c>
      <c r="G453" s="60" t="s">
        <v>4</v>
      </c>
      <c r="H453" s="60" t="s">
        <v>5</v>
      </c>
      <c r="I453" s="60" t="s">
        <v>258</v>
      </c>
      <c r="J453" s="60" t="s">
        <v>356</v>
      </c>
      <c r="K453" s="58" t="s">
        <v>400</v>
      </c>
      <c r="L453" s="75"/>
    </row>
    <row r="454" spans="1:12" hidden="1">
      <c r="A454" s="72">
        <v>46155</v>
      </c>
      <c r="B454" s="87"/>
      <c r="C454" s="74" t="str">
        <f>IF(Tabla13[[#This Row],[Fecha]]="","",TEXT(Tabla13[[#This Row],[Fecha]],"mmmm"))</f>
        <v>mayo</v>
      </c>
      <c r="D454" s="75">
        <v>0.45763888888888887</v>
      </c>
      <c r="E454" s="75">
        <v>0.4597222222222222</v>
      </c>
      <c r="F454" s="71">
        <f>HOUR(Tabla13[[#This Row],[Hora fin ]]-Tabla13[[#This Row],[Hora inicio]])+MINUTE(Tabla13[[#This Row],[Hora fin ]]-Tabla13[[#This Row],[Hora inicio]])/60</f>
        <v>0.05</v>
      </c>
      <c r="G454" s="60" t="s">
        <v>4</v>
      </c>
      <c r="H454" s="60" t="s">
        <v>5</v>
      </c>
      <c r="I454" s="60" t="s">
        <v>258</v>
      </c>
      <c r="J454" s="60" t="s">
        <v>359</v>
      </c>
      <c r="K454" s="58" t="s">
        <v>400</v>
      </c>
      <c r="L454" s="75"/>
    </row>
    <row r="455" spans="1:12" hidden="1">
      <c r="A455" s="72">
        <v>46155</v>
      </c>
      <c r="B455" s="87"/>
      <c r="C455" s="74" t="str">
        <f>IF(Tabla13[[#This Row],[Fecha]]="","",TEXT(Tabla13[[#This Row],[Fecha]],"mmmm"))</f>
        <v>mayo</v>
      </c>
      <c r="D455" s="75">
        <v>0.46666666666666667</v>
      </c>
      <c r="E455" s="75">
        <v>0.46944444444444444</v>
      </c>
      <c r="F455" s="71">
        <f>HOUR(Tabla13[[#This Row],[Hora fin ]]-Tabla13[[#This Row],[Hora inicio]])+MINUTE(Tabla13[[#This Row],[Hora fin ]]-Tabla13[[#This Row],[Hora inicio]])/60</f>
        <v>6.6666666666666666E-2</v>
      </c>
      <c r="G455" s="60" t="s">
        <v>4</v>
      </c>
      <c r="H455" s="60" t="s">
        <v>5</v>
      </c>
      <c r="I455" s="60" t="s">
        <v>258</v>
      </c>
      <c r="J455" s="60" t="s">
        <v>356</v>
      </c>
      <c r="K455" s="58" t="s">
        <v>400</v>
      </c>
      <c r="L455" s="75"/>
    </row>
    <row r="456" spans="1:12" hidden="1">
      <c r="A456" s="72">
        <v>46155</v>
      </c>
      <c r="B456" s="87"/>
      <c r="C456" s="74" t="str">
        <f>IF(Tabla13[[#This Row],[Fecha]]="","",TEXT(Tabla13[[#This Row],[Fecha]],"mmmm"))</f>
        <v>mayo</v>
      </c>
      <c r="D456" s="75">
        <v>0.95694444444444449</v>
      </c>
      <c r="E456" s="75">
        <v>0.95833333333333337</v>
      </c>
      <c r="F456" s="71">
        <f>HOUR(Tabla13[[#This Row],[Hora fin ]]-Tabla13[[#This Row],[Hora inicio]])+MINUTE(Tabla13[[#This Row],[Hora fin ]]-Tabla13[[#This Row],[Hora inicio]])/60</f>
        <v>3.3333333333333333E-2</v>
      </c>
      <c r="G456" s="60" t="s">
        <v>4</v>
      </c>
      <c r="H456" s="60" t="s">
        <v>5</v>
      </c>
      <c r="I456" s="60" t="s">
        <v>258</v>
      </c>
      <c r="J456" s="60" t="s">
        <v>359</v>
      </c>
      <c r="K456" s="58" t="s">
        <v>400</v>
      </c>
      <c r="L456" s="75"/>
    </row>
    <row r="457" spans="1:12" hidden="1">
      <c r="A457" s="72">
        <v>46156</v>
      </c>
      <c r="B457" s="87"/>
      <c r="C457" s="74" t="str">
        <f>IF(Tabla13[[#This Row],[Fecha]]="","",TEXT(Tabla13[[#This Row],[Fecha]],"mmmm"))</f>
        <v>mayo</v>
      </c>
      <c r="D457" s="75">
        <v>0.37708333333333333</v>
      </c>
      <c r="E457" s="75">
        <v>0.37986111111111109</v>
      </c>
      <c r="F457" s="71">
        <f>HOUR(Tabla13[[#This Row],[Hora fin ]]-Tabla13[[#This Row],[Hora inicio]])+MINUTE(Tabla13[[#This Row],[Hora fin ]]-Tabla13[[#This Row],[Hora inicio]])/60</f>
        <v>6.6666666666666666E-2</v>
      </c>
      <c r="G457" s="60" t="s">
        <v>4</v>
      </c>
      <c r="H457" s="60" t="s">
        <v>5</v>
      </c>
      <c r="I457" s="60" t="s">
        <v>258</v>
      </c>
      <c r="J457" s="60" t="s">
        <v>356</v>
      </c>
      <c r="K457" s="58" t="s">
        <v>400</v>
      </c>
      <c r="L457" s="75"/>
    </row>
    <row r="458" spans="1:12" hidden="1">
      <c r="A458" s="72">
        <v>46157</v>
      </c>
      <c r="B458" s="87"/>
      <c r="C458" s="74" t="str">
        <f>IF(Tabla13[[#This Row],[Fecha]]="","",TEXT(Tabla13[[#This Row],[Fecha]],"mmmm"))</f>
        <v>mayo</v>
      </c>
      <c r="D458" s="75">
        <v>0.12013888888888889</v>
      </c>
      <c r="E458" s="75">
        <v>0.12291666666666666</v>
      </c>
      <c r="F458" s="71">
        <f>HOUR(Tabla13[[#This Row],[Hora fin ]]-Tabla13[[#This Row],[Hora inicio]])+MINUTE(Tabla13[[#This Row],[Hora fin ]]-Tabla13[[#This Row],[Hora inicio]])/60</f>
        <v>6.6666666666666666E-2</v>
      </c>
      <c r="G458" s="60" t="s">
        <v>4</v>
      </c>
      <c r="H458" s="60" t="s">
        <v>5</v>
      </c>
      <c r="I458" s="60" t="s">
        <v>258</v>
      </c>
      <c r="J458" s="60" t="s">
        <v>359</v>
      </c>
      <c r="K458" s="58" t="s">
        <v>400</v>
      </c>
      <c r="L458" s="75"/>
    </row>
    <row r="459" spans="1:12" hidden="1">
      <c r="A459" s="72">
        <v>46157</v>
      </c>
      <c r="B459" s="87"/>
      <c r="C459" s="74" t="str">
        <f>IF(Tabla13[[#This Row],[Fecha]]="","",TEXT(Tabla13[[#This Row],[Fecha]],"mmmm"))</f>
        <v>mayo</v>
      </c>
      <c r="D459" s="75">
        <v>0.38055555555555554</v>
      </c>
      <c r="E459" s="75">
        <v>0.3840277777777778</v>
      </c>
      <c r="F459" s="71">
        <f>HOUR(Tabla13[[#This Row],[Hora fin ]]-Tabla13[[#This Row],[Hora inicio]])+MINUTE(Tabla13[[#This Row],[Hora fin ]]-Tabla13[[#This Row],[Hora inicio]])/60</f>
        <v>8.3333333333333329E-2</v>
      </c>
      <c r="G459" s="60" t="s">
        <v>4</v>
      </c>
      <c r="H459" s="60" t="s">
        <v>5</v>
      </c>
      <c r="I459" s="60" t="s">
        <v>258</v>
      </c>
      <c r="J459" s="60" t="s">
        <v>356</v>
      </c>
      <c r="K459" s="58" t="s">
        <v>400</v>
      </c>
      <c r="L459" s="75"/>
    </row>
    <row r="460" spans="1:12" hidden="1">
      <c r="A460" s="72">
        <v>46158</v>
      </c>
      <c r="B460" s="87"/>
      <c r="C460" s="74" t="str">
        <f>IF(Tabla13[[#This Row],[Fecha]]="","",TEXT(Tabla13[[#This Row],[Fecha]],"mmmm"))</f>
        <v>mayo</v>
      </c>
      <c r="D460" s="75">
        <v>0.11666666666666667</v>
      </c>
      <c r="E460" s="75">
        <v>0.11874999999999999</v>
      </c>
      <c r="F460" s="71">
        <f>HOUR(Tabla13[[#This Row],[Hora fin ]]-Tabla13[[#This Row],[Hora inicio]])+MINUTE(Tabla13[[#This Row],[Hora fin ]]-Tabla13[[#This Row],[Hora inicio]])/60</f>
        <v>0.05</v>
      </c>
      <c r="G460" s="60" t="s">
        <v>4</v>
      </c>
      <c r="H460" s="60" t="s">
        <v>5</v>
      </c>
      <c r="I460" s="60" t="s">
        <v>258</v>
      </c>
      <c r="J460" s="60" t="s">
        <v>359</v>
      </c>
      <c r="K460" s="58" t="s">
        <v>400</v>
      </c>
      <c r="L460" s="75"/>
    </row>
    <row r="461" spans="1:12" hidden="1">
      <c r="A461" s="72">
        <v>46158</v>
      </c>
      <c r="B461" s="87"/>
      <c r="C461" s="74" t="str">
        <f>IF(Tabla13[[#This Row],[Fecha]]="","",TEXT(Tabla13[[#This Row],[Fecha]],"mmmm"))</f>
        <v>mayo</v>
      </c>
      <c r="D461" s="75">
        <v>0.38055555555555554</v>
      </c>
      <c r="E461" s="75">
        <v>0.3840277777777778</v>
      </c>
      <c r="F461" s="71">
        <f>HOUR(Tabla13[[#This Row],[Hora fin ]]-Tabla13[[#This Row],[Hora inicio]])+MINUTE(Tabla13[[#This Row],[Hora fin ]]-Tabla13[[#This Row],[Hora inicio]])/60</f>
        <v>8.3333333333333329E-2</v>
      </c>
      <c r="G461" s="60" t="s">
        <v>10</v>
      </c>
      <c r="H461" s="60" t="s">
        <v>26</v>
      </c>
      <c r="I461" s="60" t="s">
        <v>257</v>
      </c>
      <c r="J461" s="60" t="s">
        <v>287</v>
      </c>
      <c r="K461" s="58" t="s">
        <v>483</v>
      </c>
      <c r="L461" s="75"/>
    </row>
    <row r="462" spans="1:12" hidden="1">
      <c r="A462" s="72">
        <v>46158</v>
      </c>
      <c r="B462" s="87"/>
      <c r="C462" s="74" t="str">
        <f>IF(Tabla13[[#This Row],[Fecha]]="","",TEXT(Tabla13[[#This Row],[Fecha]],"mmmm"))</f>
        <v>mayo</v>
      </c>
      <c r="D462" s="75">
        <v>0.38611111111111113</v>
      </c>
      <c r="E462" s="75">
        <v>0.39444444444444443</v>
      </c>
      <c r="F462" s="71">
        <f>HOUR(Tabla13[[#This Row],[Hora fin ]]-Tabla13[[#This Row],[Hora inicio]])+MINUTE(Tabla13[[#This Row],[Hora fin ]]-Tabla13[[#This Row],[Hora inicio]])/60</f>
        <v>0.2</v>
      </c>
      <c r="G462" s="60" t="s">
        <v>4</v>
      </c>
      <c r="H462" s="60" t="s">
        <v>5</v>
      </c>
      <c r="I462" s="60" t="s">
        <v>258</v>
      </c>
      <c r="J462" s="60" t="s">
        <v>356</v>
      </c>
      <c r="K462" s="58" t="s">
        <v>400</v>
      </c>
      <c r="L462" s="75"/>
    </row>
    <row r="463" spans="1:12" hidden="1">
      <c r="A463" s="72">
        <v>46158</v>
      </c>
      <c r="B463" s="87"/>
      <c r="C463" s="74" t="str">
        <f>IF(Tabla13[[#This Row],[Fecha]]="","",TEXT(Tabla13[[#This Row],[Fecha]],"mmmm"))</f>
        <v>mayo</v>
      </c>
      <c r="D463" s="75">
        <v>0.39583333333333331</v>
      </c>
      <c r="E463" s="75">
        <v>0.4</v>
      </c>
      <c r="F463" s="71">
        <f>HOUR(Tabla13[[#This Row],[Hora fin ]]-Tabla13[[#This Row],[Hora inicio]])+MINUTE(Tabla13[[#This Row],[Hora fin ]]-Tabla13[[#This Row],[Hora inicio]])/60</f>
        <v>0.1</v>
      </c>
      <c r="G463" s="60" t="s">
        <v>10</v>
      </c>
      <c r="H463" s="60" t="s">
        <v>20</v>
      </c>
      <c r="I463" s="60" t="s">
        <v>21</v>
      </c>
      <c r="J463" s="60" t="s">
        <v>324</v>
      </c>
      <c r="K463" s="58" t="s">
        <v>543</v>
      </c>
      <c r="L463" s="75"/>
    </row>
    <row r="464" spans="1:12" hidden="1">
      <c r="A464" s="72">
        <v>46158</v>
      </c>
      <c r="B464" s="87"/>
      <c r="C464" s="74" t="str">
        <f>IF(Tabla13[[#This Row],[Fecha]]="","",TEXT(Tabla13[[#This Row],[Fecha]],"mmmm"))</f>
        <v>mayo</v>
      </c>
      <c r="D464" s="75">
        <v>0.40138888888888891</v>
      </c>
      <c r="E464" s="75">
        <v>0.40347222222222223</v>
      </c>
      <c r="F464" s="71">
        <f>HOUR(Tabla13[[#This Row],[Hora fin ]]-Tabla13[[#This Row],[Hora inicio]])+MINUTE(Tabla13[[#This Row],[Hora fin ]]-Tabla13[[#This Row],[Hora inicio]])/60</f>
        <v>0.05</v>
      </c>
      <c r="G464" s="60" t="s">
        <v>4</v>
      </c>
      <c r="H464" s="60" t="s">
        <v>5</v>
      </c>
      <c r="I464" s="60" t="s">
        <v>258</v>
      </c>
      <c r="J464" s="60" t="s">
        <v>359</v>
      </c>
      <c r="K464" s="58" t="s">
        <v>400</v>
      </c>
      <c r="L464" s="75"/>
    </row>
    <row r="465" spans="1:12" hidden="1">
      <c r="A465" s="72">
        <v>46159</v>
      </c>
      <c r="B465" s="87"/>
      <c r="C465" s="74" t="str">
        <f>IF(Tabla13[[#This Row],[Fecha]]="","",TEXT(Tabla13[[#This Row],[Fecha]],"mmmm"))</f>
        <v>mayo</v>
      </c>
      <c r="D465" s="75">
        <v>0.21249999999999999</v>
      </c>
      <c r="E465" s="75">
        <v>0.21388888888888888</v>
      </c>
      <c r="F465" s="71">
        <f>HOUR(Tabla13[[#This Row],[Hora fin ]]-Tabla13[[#This Row],[Hora inicio]])+MINUTE(Tabla13[[#This Row],[Hora fin ]]-Tabla13[[#This Row],[Hora inicio]])/60</f>
        <v>3.3333333333333333E-2</v>
      </c>
      <c r="G465" s="60" t="s">
        <v>4</v>
      </c>
      <c r="H465" s="60" t="s">
        <v>5</v>
      </c>
      <c r="I465" s="60" t="s">
        <v>258</v>
      </c>
      <c r="J465" s="60" t="s">
        <v>356</v>
      </c>
      <c r="K465" s="58" t="s">
        <v>400</v>
      </c>
      <c r="L465" s="75"/>
    </row>
    <row r="466" spans="1:12" hidden="1">
      <c r="A466" s="72">
        <v>46160</v>
      </c>
      <c r="B466" s="87"/>
      <c r="C466" s="74" t="str">
        <f>IF(Tabla13[[#This Row],[Fecha]]="","",TEXT(Tabla13[[#This Row],[Fecha]],"mmmm"))</f>
        <v>mayo</v>
      </c>
      <c r="D466" s="75">
        <v>0.25</v>
      </c>
      <c r="E466" s="75">
        <v>0.66666666666666663</v>
      </c>
      <c r="F466" s="71">
        <f>HOUR(Tabla13[[#This Row],[Hora fin ]]-Tabla13[[#This Row],[Hora inicio]])+MINUTE(Tabla13[[#This Row],[Hora fin ]]-Tabla13[[#This Row],[Hora inicio]])/60</f>
        <v>10</v>
      </c>
      <c r="G466" s="60" t="s">
        <v>4</v>
      </c>
      <c r="H466" s="60" t="s">
        <v>16</v>
      </c>
      <c r="I466" s="60" t="s">
        <v>6</v>
      </c>
      <c r="J466" s="60" t="s">
        <v>16</v>
      </c>
      <c r="K466" s="57" t="s">
        <v>440</v>
      </c>
      <c r="L466" s="75"/>
    </row>
    <row r="467" spans="1:12" hidden="1">
      <c r="A467" s="72">
        <v>46161</v>
      </c>
      <c r="B467" s="87"/>
      <c r="C467" s="74" t="str">
        <f>IF(Tabla13[[#This Row],[Fecha]]="","",TEXT(Tabla13[[#This Row],[Fecha]],"mmmm"))</f>
        <v>mayo</v>
      </c>
      <c r="D467" s="75">
        <v>0.25</v>
      </c>
      <c r="E467" s="75">
        <v>0.5</v>
      </c>
      <c r="F467" s="71">
        <f>HOUR(Tabla13[[#This Row],[Hora fin ]]-Tabla13[[#This Row],[Hora inicio]])+MINUTE(Tabla13[[#This Row],[Hora fin ]]-Tabla13[[#This Row],[Hora inicio]])/60</f>
        <v>6</v>
      </c>
      <c r="G467" s="60" t="s">
        <v>4</v>
      </c>
      <c r="H467" s="60" t="s">
        <v>16</v>
      </c>
      <c r="I467" s="60" t="s">
        <v>6</v>
      </c>
      <c r="J467" s="60" t="s">
        <v>16</v>
      </c>
      <c r="K467" s="57" t="s">
        <v>440</v>
      </c>
      <c r="L467" s="75"/>
    </row>
    <row r="468" spans="1:12" hidden="1">
      <c r="A468" s="72">
        <v>46112</v>
      </c>
      <c r="B468" s="87" t="str">
        <f>IF(Tabla13[[#This Row],[Fecha]]="","",TEXT(Tabla13[[#This Row],[Fecha]],"aaaa"))</f>
        <v>martes</v>
      </c>
      <c r="C468" s="74" t="str">
        <f>IF(Tabla13[[#This Row],[Fecha]]="","",TEXT(Tabla13[[#This Row],[Fecha]],"mmmm"))</f>
        <v>marzo</v>
      </c>
      <c r="D468" s="75">
        <v>0.2951388888888889</v>
      </c>
      <c r="E468" s="75">
        <v>0.29791666666666666</v>
      </c>
      <c r="F468" s="71">
        <f>HOUR(Tabla13[[#This Row],[Hora fin ]]-Tabla13[[#This Row],[Hora inicio]])+MINUTE(Tabla13[[#This Row],[Hora fin ]]-Tabla13[[#This Row],[Hora inicio]])/60</f>
        <v>6.6666666666666666E-2</v>
      </c>
      <c r="G468" s="60" t="s">
        <v>4</v>
      </c>
      <c r="H468" s="60" t="s">
        <v>5</v>
      </c>
      <c r="I468" s="60" t="s">
        <v>258</v>
      </c>
      <c r="J468" s="60" t="s">
        <v>359</v>
      </c>
      <c r="K468" s="58" t="s">
        <v>400</v>
      </c>
      <c r="L468" s="75"/>
    </row>
    <row r="469" spans="1:12" hidden="1">
      <c r="A469" s="72">
        <v>46112</v>
      </c>
      <c r="B469" s="87" t="str">
        <f>IF(Tabla13[[#This Row],[Fecha]]="","",TEXT(Tabla13[[#This Row],[Fecha]],"aaaa"))</f>
        <v>martes</v>
      </c>
      <c r="C469" s="74" t="str">
        <f>IF(Tabla13[[#This Row],[Fecha]]="","",TEXT(Tabla13[[#This Row],[Fecha]],"mmmm"))</f>
        <v>marzo</v>
      </c>
      <c r="D469" s="75">
        <v>0.41388888888888886</v>
      </c>
      <c r="E469" s="75">
        <v>0.44513888888888886</v>
      </c>
      <c r="F469" s="71">
        <f>HOUR(Tabla13[[#This Row],[Hora fin ]]-Tabla13[[#This Row],[Hora inicio]])+MINUTE(Tabla13[[#This Row],[Hora fin ]]-Tabla13[[#This Row],[Hora inicio]])/60</f>
        <v>0.75</v>
      </c>
      <c r="G469" s="60" t="s">
        <v>4</v>
      </c>
      <c r="H469" s="60" t="s">
        <v>5</v>
      </c>
      <c r="I469" s="60" t="s">
        <v>258</v>
      </c>
      <c r="J469" s="60" t="s">
        <v>359</v>
      </c>
      <c r="K469" s="58" t="s">
        <v>400</v>
      </c>
      <c r="L469" s="75"/>
    </row>
    <row r="470" spans="1:12" hidden="1">
      <c r="A470" s="72">
        <v>46112</v>
      </c>
      <c r="B470" s="87" t="str">
        <f>IF(Tabla13[[#This Row],[Fecha]]="","",TEXT(Tabla13[[#This Row],[Fecha]],"aaaa"))</f>
        <v>martes</v>
      </c>
      <c r="C470" s="74" t="str">
        <f>IF(Tabla13[[#This Row],[Fecha]]="","",TEXT(Tabla13[[#This Row],[Fecha]],"mmmm"))</f>
        <v>marzo</v>
      </c>
      <c r="D470" s="75">
        <v>0.67361111111111116</v>
      </c>
      <c r="E470" s="75">
        <v>0.67708333333333337</v>
      </c>
      <c r="F470" s="71">
        <f>HOUR(Tabla13[[#This Row],[Hora fin ]]-Tabla13[[#This Row],[Hora inicio]])+MINUTE(Tabla13[[#This Row],[Hora fin ]]-Tabla13[[#This Row],[Hora inicio]])/60</f>
        <v>8.3333333333333329E-2</v>
      </c>
      <c r="G470" s="60" t="s">
        <v>4</v>
      </c>
      <c r="H470" s="60" t="s">
        <v>5</v>
      </c>
      <c r="I470" s="60" t="s">
        <v>258</v>
      </c>
      <c r="J470" s="60" t="s">
        <v>359</v>
      </c>
      <c r="K470" s="58" t="s">
        <v>400</v>
      </c>
      <c r="L470" s="75"/>
    </row>
    <row r="471" spans="1:12" hidden="1">
      <c r="A471" s="72">
        <v>46162</v>
      </c>
      <c r="B471" s="87" t="str">
        <f>IF(Tabla13[[#This Row],[Fecha]]="","",TEXT(Tabla13[[#This Row],[Fecha]],"aaaa"))</f>
        <v>miércoles</v>
      </c>
      <c r="C471" s="74" t="str">
        <f>IF(Tabla13[[#This Row],[Fecha]]="","",TEXT(Tabla13[[#This Row],[Fecha]],"mmmm"))</f>
        <v>mayo</v>
      </c>
      <c r="D471" s="75">
        <v>0.17083333333333334</v>
      </c>
      <c r="E471" s="75">
        <v>0.17291666666666666</v>
      </c>
      <c r="F471" s="71">
        <f>HOUR(Tabla13[[#This Row],[Hora fin ]]-Tabla13[[#This Row],[Hora inicio]])+MINUTE(Tabla13[[#This Row],[Hora fin ]]-Tabla13[[#This Row],[Hora inicio]])/60</f>
        <v>0.05</v>
      </c>
      <c r="G471" s="60" t="s">
        <v>4</v>
      </c>
      <c r="H471" s="60" t="s">
        <v>5</v>
      </c>
      <c r="I471" s="60" t="s">
        <v>258</v>
      </c>
      <c r="J471" s="60" t="s">
        <v>359</v>
      </c>
      <c r="K471" s="58" t="s">
        <v>400</v>
      </c>
      <c r="L471" s="75"/>
    </row>
    <row r="472" spans="1:12" ht="30" hidden="1">
      <c r="A472" s="72">
        <v>46162</v>
      </c>
      <c r="B472" s="87" t="str">
        <f>IF(Tabla13[[#This Row],[Fecha]]="","",TEXT(Tabla13[[#This Row],[Fecha]],"aaaa"))</f>
        <v>miércoles</v>
      </c>
      <c r="C472" s="74" t="str">
        <f>IF(Tabla13[[#This Row],[Fecha]]="","",TEXT(Tabla13[[#This Row],[Fecha]],"mmmm"))</f>
        <v>mayo</v>
      </c>
      <c r="D472" s="75">
        <v>0.22222222222222221</v>
      </c>
      <c r="E472" s="75">
        <v>0.23749999999999999</v>
      </c>
      <c r="F472" s="71">
        <f>HOUR(Tabla13[[#This Row],[Hora fin ]]-Tabla13[[#This Row],[Hora inicio]])+MINUTE(Tabla13[[#This Row],[Hora fin ]]-Tabla13[[#This Row],[Hora inicio]])/60</f>
        <v>0.36666666666666664</v>
      </c>
      <c r="G472" s="60" t="s">
        <v>10</v>
      </c>
      <c r="H472" s="60" t="s">
        <v>23</v>
      </c>
      <c r="I472" s="60" t="s">
        <v>17</v>
      </c>
      <c r="J472" s="60" t="s">
        <v>290</v>
      </c>
      <c r="K472" s="58" t="s">
        <v>544</v>
      </c>
      <c r="L472" s="75"/>
    </row>
    <row r="473" spans="1:12" ht="30" hidden="1">
      <c r="A473" s="72">
        <v>46163</v>
      </c>
      <c r="B473" s="87" t="str">
        <f>IF(Tabla13[[#This Row],[Fecha]]="","",TEXT(Tabla13[[#This Row],[Fecha]],"aaaa"))</f>
        <v>jueves</v>
      </c>
      <c r="C473" s="74" t="str">
        <f>IF(Tabla13[[#This Row],[Fecha]]="","",TEXT(Tabla13[[#This Row],[Fecha]],"mmmm"))</f>
        <v>mayo</v>
      </c>
      <c r="D473" s="75">
        <v>0.32361111111111113</v>
      </c>
      <c r="E473" s="75">
        <v>0.38819444444444445</v>
      </c>
      <c r="F473" s="71">
        <f>HOUR(Tabla13[[#This Row],[Hora fin ]]-Tabla13[[#This Row],[Hora inicio]])+MINUTE(Tabla13[[#This Row],[Hora fin ]]-Tabla13[[#This Row],[Hora inicio]])/60</f>
        <v>1.55</v>
      </c>
      <c r="G473" s="60" t="s">
        <v>10</v>
      </c>
      <c r="H473" s="60" t="s">
        <v>23</v>
      </c>
      <c r="I473" s="60" t="s">
        <v>19</v>
      </c>
      <c r="J473" s="60" t="s">
        <v>210</v>
      </c>
      <c r="K473" s="58" t="s">
        <v>545</v>
      </c>
      <c r="L473" s="75"/>
    </row>
    <row r="474" spans="1:12" hidden="1">
      <c r="A474" s="72">
        <v>46163</v>
      </c>
      <c r="B474" s="87" t="str">
        <f>IF(Tabla13[[#This Row],[Fecha]]="","",TEXT(Tabla13[[#This Row],[Fecha]],"aaaa"))</f>
        <v>jueves</v>
      </c>
      <c r="C474" s="74" t="str">
        <f>IF(Tabla13[[#This Row],[Fecha]]="","",TEXT(Tabla13[[#This Row],[Fecha]],"mmmm"))</f>
        <v>mayo</v>
      </c>
      <c r="D474" s="75">
        <v>0.96111111111111114</v>
      </c>
      <c r="E474" s="75">
        <v>0.96597222222222223</v>
      </c>
      <c r="F474" s="71">
        <f>HOUR(Tabla13[[#This Row],[Hora fin ]]-Tabla13[[#This Row],[Hora inicio]])+MINUTE(Tabla13[[#This Row],[Hora fin ]]-Tabla13[[#This Row],[Hora inicio]])/60</f>
        <v>0.11666666666666667</v>
      </c>
      <c r="G474" s="60" t="s">
        <v>10</v>
      </c>
      <c r="H474" s="60" t="s">
        <v>26</v>
      </c>
      <c r="I474" s="60" t="s">
        <v>257</v>
      </c>
      <c r="J474" s="60" t="s">
        <v>287</v>
      </c>
      <c r="K474" s="58" t="s">
        <v>483</v>
      </c>
      <c r="L474" s="75"/>
    </row>
    <row r="475" spans="1:12" ht="30" hidden="1">
      <c r="A475" s="72">
        <v>46165</v>
      </c>
      <c r="B475" s="87" t="str">
        <f>IF(Tabla13[[#This Row],[Fecha]]="","",TEXT(Tabla13[[#This Row],[Fecha]],"aaaa"))</f>
        <v>sábado</v>
      </c>
      <c r="C475" s="74" t="str">
        <f>IF(Tabla13[[#This Row],[Fecha]]="","",TEXT(Tabla13[[#This Row],[Fecha]],"mmmm"))</f>
        <v>mayo</v>
      </c>
      <c r="D475" s="75">
        <v>0.27152777777777776</v>
      </c>
      <c r="E475" s="75">
        <v>0.31944444444444442</v>
      </c>
      <c r="F475" s="71">
        <f>HOUR(Tabla13[[#This Row],[Hora fin ]]-Tabla13[[#This Row],[Hora inicio]])+MINUTE(Tabla13[[#This Row],[Hora fin ]]-Tabla13[[#This Row],[Hora inicio]])/60</f>
        <v>1.1499999999999999</v>
      </c>
      <c r="G475" s="60" t="s">
        <v>10</v>
      </c>
      <c r="H475" s="60" t="s">
        <v>30</v>
      </c>
      <c r="I475" s="60" t="s">
        <v>9</v>
      </c>
      <c r="J475" s="60" t="s">
        <v>266</v>
      </c>
      <c r="K475" s="58" t="s">
        <v>546</v>
      </c>
      <c r="L475" s="75"/>
    </row>
    <row r="476" spans="1:12" hidden="1">
      <c r="A476" s="72">
        <v>46165</v>
      </c>
      <c r="B476" s="87" t="str">
        <f>IF(Tabla13[[#This Row],[Fecha]]="","",TEXT(Tabla13[[#This Row],[Fecha]],"aaaa"))</f>
        <v>sábado</v>
      </c>
      <c r="C476" s="74" t="str">
        <f>IF(Tabla13[[#This Row],[Fecha]]="","",TEXT(Tabla13[[#This Row],[Fecha]],"mmmm"))</f>
        <v>mayo</v>
      </c>
      <c r="D476" s="75">
        <v>0.54722222222222228</v>
      </c>
      <c r="E476" s="75">
        <v>1</v>
      </c>
      <c r="F476" s="71">
        <f>HOUR(Tabla13[[#This Row],[Hora fin ]]-Tabla13[[#This Row],[Hora inicio]])+MINUTE(Tabla13[[#This Row],[Hora fin ]]-Tabla13[[#This Row],[Hora inicio]])/60</f>
        <v>10.866666666666667</v>
      </c>
      <c r="G476" s="60" t="s">
        <v>10</v>
      </c>
      <c r="H476" s="60" t="s">
        <v>23</v>
      </c>
      <c r="I476" s="60" t="s">
        <v>17</v>
      </c>
      <c r="J476" s="60" t="s">
        <v>292</v>
      </c>
      <c r="K476" s="58" t="s">
        <v>547</v>
      </c>
      <c r="L476" s="75"/>
    </row>
    <row r="477" spans="1:12" hidden="1">
      <c r="A477" s="72">
        <v>46167</v>
      </c>
      <c r="B477" s="87" t="str">
        <f>IF(Tabla13[[#This Row],[Fecha]]="","",TEXT(Tabla13[[#This Row],[Fecha]],"aaaa"))</f>
        <v>lunes</v>
      </c>
      <c r="C477" s="74" t="str">
        <f>IF(Tabla13[[#This Row],[Fecha]]="","",TEXT(Tabla13[[#This Row],[Fecha]],"mmmm"))</f>
        <v>mayo</v>
      </c>
      <c r="D477" s="75">
        <v>0.47638888888888886</v>
      </c>
      <c r="E477" s="75">
        <v>0.47847222222222224</v>
      </c>
      <c r="F477" s="71">
        <f>HOUR(Tabla13[[#This Row],[Hora fin ]]-Tabla13[[#This Row],[Hora inicio]])+MINUTE(Tabla13[[#This Row],[Hora fin ]]-Tabla13[[#This Row],[Hora inicio]])/60</f>
        <v>0.05</v>
      </c>
      <c r="G477" s="60" t="s">
        <v>4</v>
      </c>
      <c r="H477" s="60" t="s">
        <v>5</v>
      </c>
      <c r="I477" s="60" t="s">
        <v>258</v>
      </c>
      <c r="J477" s="60" t="s">
        <v>356</v>
      </c>
      <c r="K477" s="58" t="s">
        <v>400</v>
      </c>
      <c r="L477" s="75"/>
    </row>
    <row r="478" spans="1:12" ht="30" hidden="1">
      <c r="A478" s="72">
        <v>46168</v>
      </c>
      <c r="B478" s="87" t="str">
        <f>IF(Tabla13[[#This Row],[Fecha]]="","",TEXT(Tabla13[[#This Row],[Fecha]],"aaaa"))</f>
        <v>martes</v>
      </c>
      <c r="C478" s="74" t="str">
        <f>IF(Tabla13[[#This Row],[Fecha]]="","",TEXT(Tabla13[[#This Row],[Fecha]],"mmmm"))</f>
        <v>mayo</v>
      </c>
      <c r="D478" s="75">
        <v>0.15416666666666667</v>
      </c>
      <c r="E478" s="75">
        <v>0.16458333333333333</v>
      </c>
      <c r="F478" s="71">
        <f>HOUR(Tabla13[[#This Row],[Hora fin ]]-Tabla13[[#This Row],[Hora inicio]])+MINUTE(Tabla13[[#This Row],[Hora fin ]]-Tabla13[[#This Row],[Hora inicio]])/60</f>
        <v>0.25</v>
      </c>
      <c r="G478" s="60" t="s">
        <v>10</v>
      </c>
      <c r="H478" s="60" t="s">
        <v>20</v>
      </c>
      <c r="I478" s="60" t="s">
        <v>12</v>
      </c>
      <c r="J478" s="60" t="s">
        <v>270</v>
      </c>
      <c r="K478" s="58" t="s">
        <v>548</v>
      </c>
      <c r="L478" s="75"/>
    </row>
    <row r="479" spans="1:12" ht="45" hidden="1">
      <c r="A479" s="72">
        <v>46168</v>
      </c>
      <c r="B479" s="87" t="str">
        <f>IF(Tabla13[[#This Row],[Fecha]]="","",TEXT(Tabla13[[#This Row],[Fecha]],"aaaa"))</f>
        <v>martes</v>
      </c>
      <c r="C479" s="74" t="str">
        <f>IF(Tabla13[[#This Row],[Fecha]]="","",TEXT(Tabla13[[#This Row],[Fecha]],"mmmm"))</f>
        <v>mayo</v>
      </c>
      <c r="D479" s="75">
        <v>0.33541666666666664</v>
      </c>
      <c r="E479" s="75">
        <v>0.36041666666666666</v>
      </c>
      <c r="F479" s="71">
        <f>HOUR(Tabla13[[#This Row],[Hora fin ]]-Tabla13[[#This Row],[Hora inicio]])+MINUTE(Tabla13[[#This Row],[Hora fin ]]-Tabla13[[#This Row],[Hora inicio]])/60</f>
        <v>0.6</v>
      </c>
      <c r="G479" s="60" t="s">
        <v>10</v>
      </c>
      <c r="H479" s="60" t="s">
        <v>30</v>
      </c>
      <c r="I479" s="60" t="s">
        <v>12</v>
      </c>
      <c r="J479" s="60" t="s">
        <v>270</v>
      </c>
      <c r="K479" s="58" t="s">
        <v>551</v>
      </c>
      <c r="L479" s="75"/>
    </row>
    <row r="480" spans="1:12" hidden="1">
      <c r="A480" s="72">
        <v>46168</v>
      </c>
      <c r="B480" s="87" t="str">
        <f>IF(Tabla13[[#This Row],[Fecha]]="","",TEXT(Tabla13[[#This Row],[Fecha]],"aaaa"))</f>
        <v>martes</v>
      </c>
      <c r="C480" s="74" t="str">
        <f>IF(Tabla13[[#This Row],[Fecha]]="","",TEXT(Tabla13[[#This Row],[Fecha]],"mmmm"))</f>
        <v>mayo</v>
      </c>
      <c r="D480" s="75">
        <v>0.81944444444444442</v>
      </c>
      <c r="E480" s="75">
        <v>0.9145833333333333</v>
      </c>
      <c r="F480" s="71">
        <f>HOUR(Tabla13[[#This Row],[Hora fin ]]-Tabla13[[#This Row],[Hora inicio]])+MINUTE(Tabla13[[#This Row],[Hora fin ]]-Tabla13[[#This Row],[Hora inicio]])/60</f>
        <v>2.2833333333333332</v>
      </c>
      <c r="G480" s="60" t="s">
        <v>10</v>
      </c>
      <c r="H480" s="60" t="s">
        <v>30</v>
      </c>
      <c r="I480" s="60" t="s">
        <v>12</v>
      </c>
      <c r="J480" s="60" t="s">
        <v>270</v>
      </c>
      <c r="K480" s="58" t="s">
        <v>401</v>
      </c>
      <c r="L480" s="75"/>
    </row>
    <row r="481" spans="1:12 16384:16384" hidden="1">
      <c r="A481" s="72">
        <v>46168</v>
      </c>
      <c r="B481" s="87" t="str">
        <f>IF(Tabla13[[#This Row],[Fecha]]="","",TEXT(Tabla13[[#This Row],[Fecha]],"aaaa"))</f>
        <v>martes</v>
      </c>
      <c r="C481" s="74" t="str">
        <f>IF(Tabla13[[#This Row],[Fecha]]="","",TEXT(Tabla13[[#This Row],[Fecha]],"mmmm"))</f>
        <v>mayo</v>
      </c>
      <c r="D481" s="75">
        <v>0.95833333333333337</v>
      </c>
      <c r="E481" s="75">
        <v>0.96180555555555558</v>
      </c>
      <c r="F481" s="71">
        <f>HOUR(Tabla13[[#This Row],[Hora fin ]]-Tabla13[[#This Row],[Hora inicio]])+MINUTE(Tabla13[[#This Row],[Hora fin ]]-Tabla13[[#This Row],[Hora inicio]])/60</f>
        <v>8.3333333333333329E-2</v>
      </c>
      <c r="G481" s="60" t="s">
        <v>4</v>
      </c>
      <c r="H481" s="60" t="s">
        <v>5</v>
      </c>
      <c r="I481" s="60" t="s">
        <v>258</v>
      </c>
      <c r="J481" s="60" t="s">
        <v>359</v>
      </c>
      <c r="K481" s="58" t="s">
        <v>400</v>
      </c>
      <c r="L481" s="75"/>
    </row>
    <row r="482" spans="1:12 16384:16384" ht="30" hidden="1">
      <c r="A482" s="72">
        <v>46169</v>
      </c>
      <c r="B482" s="87" t="str">
        <f>IF(Tabla13[[#This Row],[Fecha]]="","",TEXT(Tabla13[[#This Row],[Fecha]],"aaaa"))</f>
        <v>miércoles</v>
      </c>
      <c r="C482" s="74" t="str">
        <f>IF(Tabla13[[#This Row],[Fecha]]="","",TEXT(Tabla13[[#This Row],[Fecha]],"mmmm"))</f>
        <v>mayo</v>
      </c>
      <c r="D482" s="75">
        <v>0.93611111111111112</v>
      </c>
      <c r="E482" s="75">
        <v>0.95833333333333337</v>
      </c>
      <c r="F482" s="71">
        <f>HOUR(Tabla13[[#This Row],[Hora fin ]]-Tabla13[[#This Row],[Hora inicio]])+MINUTE(Tabla13[[#This Row],[Hora fin ]]-Tabla13[[#This Row],[Hora inicio]])/60</f>
        <v>0.53333333333333333</v>
      </c>
      <c r="G482" s="60" t="s">
        <v>10</v>
      </c>
      <c r="H482" s="60" t="s">
        <v>23</v>
      </c>
      <c r="I482" s="60" t="s">
        <v>17</v>
      </c>
      <c r="J482" s="60" t="s">
        <v>290</v>
      </c>
      <c r="K482" s="58" t="s">
        <v>549</v>
      </c>
      <c r="L482" s="75"/>
    </row>
    <row r="483" spans="1:12 16384:16384" hidden="1">
      <c r="A483" s="72">
        <v>46171</v>
      </c>
      <c r="B483" s="87" t="str">
        <f>IF(Tabla13[[#This Row],[Fecha]]="","",TEXT(Tabla13[[#This Row],[Fecha]],"aaaa"))</f>
        <v>viernes</v>
      </c>
      <c r="C483" s="74" t="str">
        <f>IF(Tabla13[[#This Row],[Fecha]]="","",TEXT(Tabla13[[#This Row],[Fecha]],"mmmm"))</f>
        <v>mayo</v>
      </c>
      <c r="D483" s="75">
        <v>0.14861111111111111</v>
      </c>
      <c r="E483" s="75">
        <v>0.15069444444444444</v>
      </c>
      <c r="F483" s="71">
        <f>HOUR(Tabla13[[#This Row],[Hora fin ]]-Tabla13[[#This Row],[Hora inicio]])+MINUTE(Tabla13[[#This Row],[Hora fin ]]-Tabla13[[#This Row],[Hora inicio]])/60</f>
        <v>0.05</v>
      </c>
      <c r="G483" s="60" t="s">
        <v>4</v>
      </c>
      <c r="H483" s="60" t="s">
        <v>5</v>
      </c>
      <c r="I483" s="60" t="s">
        <v>258</v>
      </c>
      <c r="J483" s="60" t="s">
        <v>356</v>
      </c>
      <c r="K483" s="58" t="s">
        <v>400</v>
      </c>
      <c r="L483" s="75"/>
    </row>
    <row r="484" spans="1:12 16384:16384" hidden="1">
      <c r="A484" s="72">
        <v>46171</v>
      </c>
      <c r="B484" s="87" t="str">
        <f>IF(Tabla13[[#This Row],[Fecha]]="","",TEXT(Tabla13[[#This Row],[Fecha]],"aaaa"))</f>
        <v>viernes</v>
      </c>
      <c r="C484" s="74" t="str">
        <f>IF(Tabla13[[#This Row],[Fecha]]="","",TEXT(Tabla13[[#This Row],[Fecha]],"mmmm"))</f>
        <v>mayo</v>
      </c>
      <c r="D484" s="75">
        <v>0.94097222222222221</v>
      </c>
      <c r="E484" s="75">
        <v>0.96458333333333335</v>
      </c>
      <c r="F484" s="71">
        <f>HOUR(Tabla13[[#This Row],[Hora fin ]]-Tabla13[[#This Row],[Hora inicio]])+MINUTE(Tabla13[[#This Row],[Hora fin ]]-Tabla13[[#This Row],[Hora inicio]])/60</f>
        <v>0.56666666666666665</v>
      </c>
      <c r="G484" s="60" t="s">
        <v>10</v>
      </c>
      <c r="H484" s="60" t="s">
        <v>26</v>
      </c>
      <c r="I484" s="60" t="s">
        <v>12</v>
      </c>
      <c r="J484" s="60" t="s">
        <v>269</v>
      </c>
      <c r="K484" s="58" t="s">
        <v>550</v>
      </c>
      <c r="L484" s="75"/>
    </row>
    <row r="485" spans="1:12 16384:16384" hidden="1">
      <c r="A485" s="72">
        <v>46172</v>
      </c>
      <c r="B485" s="87" t="str">
        <f>IF(Tabla13[[#This Row],[Fecha]]="","",TEXT(Tabla13[[#This Row],[Fecha]],"aaaa"))</f>
        <v>sábado</v>
      </c>
      <c r="C485" s="74" t="str">
        <f>IF(Tabla13[[#This Row],[Fecha]]="","",TEXT(Tabla13[[#This Row],[Fecha]],"mmmm"))</f>
        <v>mayo</v>
      </c>
      <c r="D485" s="75">
        <v>9.6527777777777782E-2</v>
      </c>
      <c r="E485" s="75">
        <v>9.8611111111111108E-2</v>
      </c>
      <c r="F485" s="71">
        <f>HOUR(Tabla13[[#This Row],[Hora fin ]]-Tabla13[[#This Row],[Hora inicio]])+MINUTE(Tabla13[[#This Row],[Hora fin ]]-Tabla13[[#This Row],[Hora inicio]])/60</f>
        <v>0.05</v>
      </c>
      <c r="G485" s="60" t="s">
        <v>4</v>
      </c>
      <c r="H485" s="60" t="s">
        <v>5</v>
      </c>
      <c r="I485" s="60" t="s">
        <v>258</v>
      </c>
      <c r="J485" s="60" t="s">
        <v>359</v>
      </c>
      <c r="K485" s="58" t="s">
        <v>400</v>
      </c>
      <c r="L485" s="75"/>
    </row>
    <row r="486" spans="1:12 16384:16384" hidden="1">
      <c r="A486" s="72">
        <v>46172</v>
      </c>
      <c r="B486" s="87" t="str">
        <f>IF(Tabla13[[#This Row],[Fecha]]="","",TEXT(Tabla13[[#This Row],[Fecha]],"aaaa"))</f>
        <v>sábado</v>
      </c>
      <c r="C486" s="74" t="str">
        <f>IF(Tabla13[[#This Row],[Fecha]]="","",TEXT(Tabla13[[#This Row],[Fecha]],"mmmm"))</f>
        <v>mayo</v>
      </c>
      <c r="D486" s="75">
        <v>0.3576388888888889</v>
      </c>
      <c r="E486" s="75">
        <v>0.3611111111111111</v>
      </c>
      <c r="F486" s="71">
        <f>HOUR(Tabla13[[#This Row],[Hora fin ]]-Tabla13[[#This Row],[Hora inicio]])+MINUTE(Tabla13[[#This Row],[Hora fin ]]-Tabla13[[#This Row],[Hora inicio]])/60</f>
        <v>8.3333333333333329E-2</v>
      </c>
      <c r="G486" s="60" t="s">
        <v>4</v>
      </c>
      <c r="H486" s="60" t="s">
        <v>5</v>
      </c>
      <c r="I486" s="60" t="s">
        <v>258</v>
      </c>
      <c r="J486" s="60" t="s">
        <v>356</v>
      </c>
      <c r="K486" s="58" t="s">
        <v>400</v>
      </c>
      <c r="L486" s="75"/>
    </row>
    <row r="487" spans="1:12 16384:16384" hidden="1">
      <c r="A487" s="72">
        <v>46172</v>
      </c>
      <c r="B487" s="74" t="str">
        <f>IF(Tabla13[[#This Row],[Fecha]]="","",TEXT(Tabla13[[#This Row],[Fecha]],"aaaa"))</f>
        <v>sábado</v>
      </c>
      <c r="C487" s="74" t="str">
        <f>IF(Tabla13[[#This Row],[Fecha]]="","",TEXT(Tabla13[[#This Row],[Fecha]],"mmmm"))</f>
        <v>mayo</v>
      </c>
      <c r="D487" s="75">
        <v>0.65694444444444444</v>
      </c>
      <c r="E487" s="75">
        <v>0.66666666666666663</v>
      </c>
      <c r="F487" s="71">
        <f>HOUR(Tabla13[[#This Row],[Hora fin ]]-Tabla13[[#This Row],[Hora inicio]])+MINUTE(Tabla13[[#This Row],[Hora fin ]]-Tabla13[[#This Row],[Hora inicio]])/60</f>
        <v>0.23333333333333334</v>
      </c>
      <c r="G487" s="60" t="s">
        <v>10</v>
      </c>
      <c r="H487" s="60" t="s">
        <v>30</v>
      </c>
      <c r="I487" s="60" t="s">
        <v>12</v>
      </c>
      <c r="J487" s="58" t="s">
        <v>270</v>
      </c>
      <c r="K487" s="75" t="s">
        <v>401</v>
      </c>
      <c r="L487" s="76"/>
      <c r="XFD487" s="72"/>
    </row>
    <row r="488" spans="1:12 16384:16384" hidden="1">
      <c r="A488" s="72">
        <v>46172</v>
      </c>
      <c r="B488" s="74" t="str">
        <f>IF(Tabla13[[#This Row],[Fecha]]="","",TEXT(Tabla13[[#This Row],[Fecha]],"aaaa"))</f>
        <v>sábado</v>
      </c>
      <c r="C488" s="74" t="str">
        <f>IF(Tabla13[[#This Row],[Fecha]]="","",TEXT(Tabla13[[#This Row],[Fecha]],"mmmm"))</f>
        <v>mayo</v>
      </c>
      <c r="D488" s="75">
        <v>0.73055555555555551</v>
      </c>
      <c r="E488" s="75">
        <v>0.73263888888888884</v>
      </c>
      <c r="F488" s="71">
        <f>HOUR(Tabla13[[#This Row],[Hora fin ]]-Tabla13[[#This Row],[Hora inicio]])+MINUTE(Tabla13[[#This Row],[Hora fin ]]-Tabla13[[#This Row],[Hora inicio]])/60</f>
        <v>0.05</v>
      </c>
      <c r="G488" s="60" t="s">
        <v>4</v>
      </c>
      <c r="H488" s="60" t="s">
        <v>5</v>
      </c>
      <c r="I488" s="60" t="s">
        <v>258</v>
      </c>
      <c r="J488" s="60" t="s">
        <v>359</v>
      </c>
      <c r="K488" s="58" t="s">
        <v>400</v>
      </c>
      <c r="L488" s="75"/>
    </row>
    <row r="489" spans="1:12 16384:16384">
      <c r="A489" s="72">
        <v>46174</v>
      </c>
      <c r="B489" s="87" t="str">
        <f>IF(Tabla13[[#This Row],[Fecha]]="","",TEXT(Tabla13[[#This Row],[Fecha]],"aaaa"))</f>
        <v>lunes</v>
      </c>
      <c r="C489" s="74" t="str">
        <f>IF(Tabla13[[#This Row],[Fecha]]="","",TEXT(Tabla13[[#This Row],[Fecha]],"mmmm"))</f>
        <v>junio</v>
      </c>
      <c r="D489" s="75">
        <v>0.76736111111111116</v>
      </c>
      <c r="E489" s="75">
        <v>0.76944444444444449</v>
      </c>
      <c r="F489" s="71">
        <f>HOUR(Tabla13[[#This Row],[Hora fin ]]-Tabla13[[#This Row],[Hora inicio]])+MINUTE(Tabla13[[#This Row],[Hora fin ]]-Tabla13[[#This Row],[Hora inicio]])/60</f>
        <v>0.05</v>
      </c>
      <c r="G489" s="60" t="s">
        <v>4</v>
      </c>
      <c r="H489" s="60" t="s">
        <v>5</v>
      </c>
      <c r="I489" s="60" t="s">
        <v>258</v>
      </c>
      <c r="J489" s="60" t="s">
        <v>359</v>
      </c>
      <c r="K489" s="58" t="s">
        <v>400</v>
      </c>
      <c r="L489" s="75"/>
    </row>
    <row r="490" spans="1:12 16384:16384">
      <c r="A490" s="72">
        <v>46175</v>
      </c>
      <c r="B490" s="87" t="str">
        <f>IF(Tabla13[[#This Row],[Fecha]]="","",TEXT(Tabla13[[#This Row],[Fecha]],"aaaa"))</f>
        <v>martes</v>
      </c>
      <c r="C490" s="74" t="str">
        <f>IF(Tabla13[[#This Row],[Fecha]]="","",TEXT(Tabla13[[#This Row],[Fecha]],"mmmm"))</f>
        <v>junio</v>
      </c>
      <c r="D490" s="75">
        <v>5.2777777777777778E-2</v>
      </c>
      <c r="E490" s="75">
        <v>5.486111111111111E-2</v>
      </c>
      <c r="F490" s="71">
        <f>HOUR(Tabla13[[#This Row],[Hora fin ]]-Tabla13[[#This Row],[Hora inicio]])+MINUTE(Tabla13[[#This Row],[Hora fin ]]-Tabla13[[#This Row],[Hora inicio]])/60</f>
        <v>0.05</v>
      </c>
      <c r="G490" s="60" t="s">
        <v>4</v>
      </c>
      <c r="H490" s="60" t="s">
        <v>5</v>
      </c>
      <c r="I490" s="60" t="s">
        <v>258</v>
      </c>
      <c r="J490" s="60" t="s">
        <v>359</v>
      </c>
      <c r="K490" s="58" t="s">
        <v>400</v>
      </c>
      <c r="L490" s="75"/>
    </row>
    <row r="491" spans="1:12 16384:16384">
      <c r="A491" s="72">
        <v>46175</v>
      </c>
      <c r="B491" s="87" t="str">
        <f>IF(Tabla13[[#This Row],[Fecha]]="","",TEXT(Tabla13[[#This Row],[Fecha]],"aaaa"))</f>
        <v>martes</v>
      </c>
      <c r="C491" s="74" t="str">
        <f>IF(Tabla13[[#This Row],[Fecha]]="","",TEXT(Tabla13[[#This Row],[Fecha]],"mmmm"))</f>
        <v>junio</v>
      </c>
      <c r="D491" s="75">
        <v>0.47222222222222221</v>
      </c>
      <c r="E491" s="75">
        <v>0.47708333333333336</v>
      </c>
      <c r="F491" s="71">
        <f>HOUR(Tabla13[[#This Row],[Hora fin ]]-Tabla13[[#This Row],[Hora inicio]])+MINUTE(Tabla13[[#This Row],[Hora fin ]]-Tabla13[[#This Row],[Hora inicio]])/60</f>
        <v>0.11666666666666667</v>
      </c>
      <c r="G491" s="60" t="s">
        <v>4</v>
      </c>
      <c r="H491" s="60" t="s">
        <v>5</v>
      </c>
      <c r="I491" s="60" t="s">
        <v>258</v>
      </c>
      <c r="J491" s="60" t="s">
        <v>359</v>
      </c>
      <c r="K491" s="58" t="s">
        <v>400</v>
      </c>
      <c r="L491" s="75"/>
    </row>
    <row r="492" spans="1:12 16384:16384" ht="30">
      <c r="A492" s="72">
        <v>46175</v>
      </c>
      <c r="B492" s="87" t="str">
        <f>IF(Tabla13[[#This Row],[Fecha]]="","",TEXT(Tabla13[[#This Row],[Fecha]],"aaaa"))</f>
        <v>martes</v>
      </c>
      <c r="C492" s="74" t="str">
        <f>IF(Tabla13[[#This Row],[Fecha]]="","",TEXT(Tabla13[[#This Row],[Fecha]],"mmmm"))</f>
        <v>junio</v>
      </c>
      <c r="D492" s="75">
        <v>0.49375000000000002</v>
      </c>
      <c r="E492" s="75">
        <v>0.50347222222222221</v>
      </c>
      <c r="F492" s="71">
        <f>HOUR(Tabla13[[#This Row],[Hora fin ]]-Tabla13[[#This Row],[Hora inicio]])+MINUTE(Tabla13[[#This Row],[Hora fin ]]-Tabla13[[#This Row],[Hora inicio]])/60</f>
        <v>0.23333333333333334</v>
      </c>
      <c r="G492" s="60" t="s">
        <v>7</v>
      </c>
      <c r="H492" s="60" t="s">
        <v>23</v>
      </c>
      <c r="I492" s="60" t="s">
        <v>17</v>
      </c>
      <c r="J492" s="60" t="s">
        <v>290</v>
      </c>
      <c r="K492" s="58" t="s">
        <v>517</v>
      </c>
      <c r="L492" s="75"/>
    </row>
    <row r="493" spans="1:12 16384:16384">
      <c r="A493" s="72">
        <v>46175</v>
      </c>
      <c r="B493" s="87" t="str">
        <f>IF(Tabla13[[#This Row],[Fecha]]="","",TEXT(Tabla13[[#This Row],[Fecha]],"aaaa"))</f>
        <v>martes</v>
      </c>
      <c r="C493" s="74" t="str">
        <f>IF(Tabla13[[#This Row],[Fecha]]="","",TEXT(Tabla13[[#This Row],[Fecha]],"mmmm"))</f>
        <v>junio</v>
      </c>
      <c r="D493" s="75">
        <v>0.90763888888888888</v>
      </c>
      <c r="E493" s="75">
        <v>0.91597222222222219</v>
      </c>
      <c r="F493" s="71">
        <f>HOUR(Tabla13[[#This Row],[Hora fin ]]-Tabla13[[#This Row],[Hora inicio]])+MINUTE(Tabla13[[#This Row],[Hora fin ]]-Tabla13[[#This Row],[Hora inicio]])/60</f>
        <v>0.2</v>
      </c>
      <c r="G493" s="60" t="s">
        <v>10</v>
      </c>
      <c r="H493" s="60" t="s">
        <v>26</v>
      </c>
      <c r="I493" s="60" t="s">
        <v>24</v>
      </c>
      <c r="J493" s="60" t="s">
        <v>329</v>
      </c>
      <c r="K493" s="58" t="s">
        <v>574</v>
      </c>
      <c r="L493" s="75"/>
    </row>
    <row r="494" spans="1:12 16384:16384">
      <c r="A494" s="72">
        <v>46175</v>
      </c>
      <c r="B494" s="87" t="str">
        <f>IF(Tabla13[[#This Row],[Fecha]]="","",TEXT(Tabla13[[#This Row],[Fecha]],"aaaa"))</f>
        <v>martes</v>
      </c>
      <c r="C494" s="74" t="str">
        <f>IF(Tabla13[[#This Row],[Fecha]]="","",TEXT(Tabla13[[#This Row],[Fecha]],"mmmm"))</f>
        <v>junio</v>
      </c>
      <c r="D494" s="133">
        <v>0.91736111111111107</v>
      </c>
      <c r="E494" s="75">
        <v>0.93680555555555556</v>
      </c>
      <c r="F494" s="71">
        <f>HOUR(Tabla13[[#This Row],[Hora fin ]]-Tabla13[[#This Row],[Hora inicio]])+MINUTE(Tabla13[[#This Row],[Hora fin ]]-Tabla13[[#This Row],[Hora inicio]])/60</f>
        <v>0.46666666666666667</v>
      </c>
      <c r="G494" s="60" t="s">
        <v>10</v>
      </c>
      <c r="H494" s="60" t="s">
        <v>30</v>
      </c>
      <c r="I494" s="60" t="s">
        <v>12</v>
      </c>
      <c r="J494" s="60" t="s">
        <v>270</v>
      </c>
      <c r="K494" s="58" t="s">
        <v>401</v>
      </c>
      <c r="L494" s="75"/>
    </row>
    <row r="495" spans="1:12 16384:16384">
      <c r="A495" s="72">
        <v>46176</v>
      </c>
      <c r="B495" s="87" t="str">
        <f>IF(Tabla13[[#This Row],[Fecha]]="","",TEXT(Tabla13[[#This Row],[Fecha]],"aaaa"))</f>
        <v>miércoles</v>
      </c>
      <c r="C495" s="74" t="str">
        <f>IF(Tabla13[[#This Row],[Fecha]]="","",TEXT(Tabla13[[#This Row],[Fecha]],"mmmm"))</f>
        <v>junio</v>
      </c>
      <c r="D495" s="133">
        <v>3.1944444444444442E-2</v>
      </c>
      <c r="E495" s="75">
        <v>3.3333333333333333E-2</v>
      </c>
      <c r="F495" s="71">
        <f>HOUR(Tabla13[[#This Row],[Hora fin ]]-Tabla13[[#This Row],[Hora inicio]])+MINUTE(Tabla13[[#This Row],[Hora fin ]]-Tabla13[[#This Row],[Hora inicio]])/60</f>
        <v>3.3333333333333333E-2</v>
      </c>
      <c r="G495" s="60" t="s">
        <v>4</v>
      </c>
      <c r="H495" s="60" t="s">
        <v>5</v>
      </c>
      <c r="I495" s="60" t="s">
        <v>258</v>
      </c>
      <c r="J495" s="60" t="s">
        <v>359</v>
      </c>
      <c r="K495" s="58" t="s">
        <v>400</v>
      </c>
      <c r="L495" s="75"/>
    </row>
    <row r="496" spans="1:12 16384:16384">
      <c r="A496" s="72">
        <v>46176</v>
      </c>
      <c r="B496" s="87" t="str">
        <f>IF(Tabla13[[#This Row],[Fecha]]="","",TEXT(Tabla13[[#This Row],[Fecha]],"aaaa"))</f>
        <v>miércoles</v>
      </c>
      <c r="C496" s="74" t="str">
        <f>IF(Tabla13[[#This Row],[Fecha]]="","",TEXT(Tabla13[[#This Row],[Fecha]],"mmmm"))</f>
        <v>junio</v>
      </c>
      <c r="D496" s="133">
        <v>0.4</v>
      </c>
      <c r="E496" s="75">
        <v>0.40277777777777779</v>
      </c>
      <c r="F496" s="71">
        <f>HOUR(Tabla13[[#This Row],[Hora fin ]]-Tabla13[[#This Row],[Hora inicio]])+MINUTE(Tabla13[[#This Row],[Hora fin ]]-Tabla13[[#This Row],[Hora inicio]])/60</f>
        <v>6.6666666666666666E-2</v>
      </c>
      <c r="G496" s="60" t="s">
        <v>4</v>
      </c>
      <c r="H496" s="60" t="s">
        <v>5</v>
      </c>
      <c r="I496" s="60" t="s">
        <v>258</v>
      </c>
      <c r="J496" s="60" t="s">
        <v>359</v>
      </c>
      <c r="K496" s="58" t="s">
        <v>400</v>
      </c>
      <c r="L496" s="75"/>
    </row>
    <row r="497" spans="1:12" ht="30">
      <c r="A497" s="72">
        <v>46176</v>
      </c>
      <c r="B497" s="87" t="str">
        <f>IF(Tabla13[[#This Row],[Fecha]]="","",TEXT(Tabla13[[#This Row],[Fecha]],"aaaa"))</f>
        <v>miércoles</v>
      </c>
      <c r="C497" s="74" t="str">
        <f>IF(Tabla13[[#This Row],[Fecha]]="","",TEXT(Tabla13[[#This Row],[Fecha]],"mmmm"))</f>
        <v>junio</v>
      </c>
      <c r="D497" s="133">
        <v>0.44374999999999998</v>
      </c>
      <c r="E497" s="75">
        <v>0.49236111111111114</v>
      </c>
      <c r="F497" s="71">
        <f>HOUR(Tabla13[[#This Row],[Hora fin ]]-Tabla13[[#This Row],[Hora inicio]])+MINUTE(Tabla13[[#This Row],[Hora fin ]]-Tabla13[[#This Row],[Hora inicio]])/60</f>
        <v>1.1666666666666667</v>
      </c>
      <c r="G497" s="60" t="s">
        <v>7</v>
      </c>
      <c r="H497" s="60" t="s">
        <v>23</v>
      </c>
      <c r="I497" s="60" t="s">
        <v>17</v>
      </c>
      <c r="J497" s="60" t="s">
        <v>290</v>
      </c>
      <c r="K497" s="58" t="s">
        <v>517</v>
      </c>
      <c r="L497" s="75"/>
    </row>
    <row r="498" spans="1:12">
      <c r="A498" s="72">
        <v>46176</v>
      </c>
      <c r="B498" s="87" t="str">
        <f>IF(Tabla13[[#This Row],[Fecha]]="","",TEXT(Tabla13[[#This Row],[Fecha]],"aaaa"))</f>
        <v>miércoles</v>
      </c>
      <c r="C498" s="74" t="str">
        <f>IF(Tabla13[[#This Row],[Fecha]]="","",TEXT(Tabla13[[#This Row],[Fecha]],"mmmm"))</f>
        <v>junio</v>
      </c>
      <c r="D498" s="133">
        <v>0.57013888888888886</v>
      </c>
      <c r="E498" s="75">
        <v>0.57152777777777775</v>
      </c>
      <c r="F498" s="71">
        <f>HOUR(Tabla13[[#This Row],[Hora fin ]]-Tabla13[[#This Row],[Hora inicio]])+MINUTE(Tabla13[[#This Row],[Hora fin ]]-Tabla13[[#This Row],[Hora inicio]])/60</f>
        <v>3.3333333333333333E-2</v>
      </c>
      <c r="G498" s="60" t="s">
        <v>4</v>
      </c>
      <c r="H498" s="60" t="s">
        <v>5</v>
      </c>
      <c r="I498" s="60" t="s">
        <v>258</v>
      </c>
      <c r="J498" s="60" t="s">
        <v>359</v>
      </c>
      <c r="K498" s="58" t="s">
        <v>400</v>
      </c>
      <c r="L498" s="75"/>
    </row>
    <row r="499" spans="1:12">
      <c r="A499" s="72">
        <v>46177</v>
      </c>
      <c r="B499" s="87" t="str">
        <f>IF(Tabla13[[#This Row],[Fecha]]="","",TEXT(Tabla13[[#This Row],[Fecha]],"aaaa"))</f>
        <v>jueves</v>
      </c>
      <c r="C499" s="74" t="str">
        <f>IF(Tabla13[[#This Row],[Fecha]]="","",TEXT(Tabla13[[#This Row],[Fecha]],"mmmm"))</f>
        <v>junio</v>
      </c>
      <c r="D499" s="133">
        <v>0.39791666666666664</v>
      </c>
      <c r="E499" s="75">
        <v>0.40069444444444446</v>
      </c>
      <c r="F499" s="71">
        <f>HOUR(Tabla13[[#This Row],[Hora fin ]]-Tabla13[[#This Row],[Hora inicio]])+MINUTE(Tabla13[[#This Row],[Hora fin ]]-Tabla13[[#This Row],[Hora inicio]])/60</f>
        <v>6.6666666666666666E-2</v>
      </c>
      <c r="G499" s="60" t="s">
        <v>4</v>
      </c>
      <c r="H499" s="60" t="s">
        <v>5</v>
      </c>
      <c r="I499" s="60" t="s">
        <v>258</v>
      </c>
      <c r="J499" s="60" t="s">
        <v>359</v>
      </c>
      <c r="K499" s="58" t="s">
        <v>400</v>
      </c>
      <c r="L499" s="75"/>
    </row>
    <row r="500" spans="1:12">
      <c r="A500" s="72">
        <v>46177</v>
      </c>
      <c r="B500" s="87" t="str">
        <f>IF(Tabla13[[#This Row],[Fecha]]="","",TEXT(Tabla13[[#This Row],[Fecha]],"aaaa"))</f>
        <v>jueves</v>
      </c>
      <c r="C500" s="74" t="str">
        <f>IF(Tabla13[[#This Row],[Fecha]]="","",TEXT(Tabla13[[#This Row],[Fecha]],"mmmm"))</f>
        <v>junio</v>
      </c>
      <c r="D500" s="133">
        <v>0.41111111111111109</v>
      </c>
      <c r="E500" s="75">
        <v>0.41388888888888886</v>
      </c>
      <c r="F500" s="71">
        <f>HOUR(Tabla13[[#This Row],[Hora fin ]]-Tabla13[[#This Row],[Hora inicio]])+MINUTE(Tabla13[[#This Row],[Hora fin ]]-Tabla13[[#This Row],[Hora inicio]])/60</f>
        <v>6.6666666666666666E-2</v>
      </c>
      <c r="G500" s="60" t="s">
        <v>4</v>
      </c>
      <c r="H500" s="60" t="s">
        <v>5</v>
      </c>
      <c r="I500" s="60" t="s">
        <v>258</v>
      </c>
      <c r="J500" s="60" t="s">
        <v>359</v>
      </c>
      <c r="K500" s="58" t="s">
        <v>400</v>
      </c>
      <c r="L500" s="75"/>
    </row>
    <row r="501" spans="1:12">
      <c r="A501" s="72">
        <v>46177</v>
      </c>
      <c r="B501" s="87" t="str">
        <f>IF(Tabla13[[#This Row],[Fecha]]="","",TEXT(Tabla13[[#This Row],[Fecha]],"aaaa"))</f>
        <v>jueves</v>
      </c>
      <c r="C501" s="74" t="str">
        <f>IF(Tabla13[[#This Row],[Fecha]]="","",TEXT(Tabla13[[#This Row],[Fecha]],"mmmm"))</f>
        <v>junio</v>
      </c>
      <c r="D501" s="133">
        <v>0.42499999999999999</v>
      </c>
      <c r="E501" s="75">
        <v>0.42777777777777776</v>
      </c>
      <c r="F501" s="71">
        <f>HOUR(Tabla13[[#This Row],[Hora fin ]]-Tabla13[[#This Row],[Hora inicio]])+MINUTE(Tabla13[[#This Row],[Hora fin ]]-Tabla13[[#This Row],[Hora inicio]])/60</f>
        <v>6.6666666666666666E-2</v>
      </c>
      <c r="G501" s="60" t="s">
        <v>4</v>
      </c>
      <c r="H501" s="60" t="s">
        <v>5</v>
      </c>
      <c r="I501" s="60" t="s">
        <v>258</v>
      </c>
      <c r="J501" s="60" t="s">
        <v>359</v>
      </c>
      <c r="K501" s="58" t="s">
        <v>400</v>
      </c>
      <c r="L501" s="75"/>
    </row>
    <row r="502" spans="1:12">
      <c r="A502" s="72">
        <v>46177</v>
      </c>
      <c r="B502" s="87" t="str">
        <f>IF(Tabla13[[#This Row],[Fecha]]="","",TEXT(Tabla13[[#This Row],[Fecha]],"aaaa"))</f>
        <v>jueves</v>
      </c>
      <c r="C502" s="74" t="str">
        <f>IF(Tabla13[[#This Row],[Fecha]]="","",TEXT(Tabla13[[#This Row],[Fecha]],"mmmm"))</f>
        <v>junio</v>
      </c>
      <c r="D502" s="133">
        <v>0.62986111111111109</v>
      </c>
      <c r="E502" s="75">
        <v>0.65486111111111112</v>
      </c>
      <c r="F502" s="71">
        <f>HOUR(Tabla13[[#This Row],[Hora fin ]]-Tabla13[[#This Row],[Hora inicio]])+MINUTE(Tabla13[[#This Row],[Hora fin ]]-Tabla13[[#This Row],[Hora inicio]])/60</f>
        <v>0.6</v>
      </c>
      <c r="G502" s="60" t="s">
        <v>10</v>
      </c>
      <c r="H502" s="60" t="s">
        <v>30</v>
      </c>
      <c r="I502" s="60" t="s">
        <v>12</v>
      </c>
      <c r="J502" s="60" t="s">
        <v>270</v>
      </c>
      <c r="K502" s="58" t="s">
        <v>401</v>
      </c>
      <c r="L502" s="75"/>
    </row>
    <row r="503" spans="1:12">
      <c r="A503" s="72">
        <v>46177</v>
      </c>
      <c r="B503" s="87" t="str">
        <f>IF(Tabla13[[#This Row],[Fecha]]="","",TEXT(Tabla13[[#This Row],[Fecha]],"aaaa"))</f>
        <v>jueves</v>
      </c>
      <c r="C503" s="74" t="str">
        <f>IF(Tabla13[[#This Row],[Fecha]]="","",TEXT(Tabla13[[#This Row],[Fecha]],"mmmm"))</f>
        <v>junio</v>
      </c>
      <c r="D503" s="133">
        <v>0.97013888888888888</v>
      </c>
      <c r="E503" s="75">
        <v>0.9916666666666667</v>
      </c>
      <c r="F503" s="71">
        <f>HOUR(Tabla13[[#This Row],[Hora fin ]]-Tabla13[[#This Row],[Hora inicio]])+MINUTE(Tabla13[[#This Row],[Hora fin ]]-Tabla13[[#This Row],[Hora inicio]])/60</f>
        <v>0.51666666666666672</v>
      </c>
      <c r="G503" s="60" t="s">
        <v>10</v>
      </c>
      <c r="H503" s="60" t="s">
        <v>30</v>
      </c>
      <c r="I503" s="60" t="s">
        <v>12</v>
      </c>
      <c r="J503" s="60" t="s">
        <v>270</v>
      </c>
      <c r="K503" s="58" t="s">
        <v>401</v>
      </c>
      <c r="L503" s="75"/>
    </row>
    <row r="504" spans="1:12">
      <c r="A504" s="72">
        <v>46178</v>
      </c>
      <c r="B504" s="87" t="str">
        <f>IF(Tabla13[[#This Row],[Fecha]]="","",TEXT(Tabla13[[#This Row],[Fecha]],"aaaa"))</f>
        <v>viernes</v>
      </c>
      <c r="C504" s="74" t="str">
        <f>IF(Tabla13[[#This Row],[Fecha]]="","",TEXT(Tabla13[[#This Row],[Fecha]],"mmmm"))</f>
        <v>junio</v>
      </c>
      <c r="D504" s="133">
        <v>0.11319444444444444</v>
      </c>
      <c r="E504" s="75">
        <v>0.1451388888888889</v>
      </c>
      <c r="F504" s="71">
        <f>HOUR(Tabla13[[#This Row],[Hora fin ]]-Tabla13[[#This Row],[Hora inicio]])+MINUTE(Tabla13[[#This Row],[Hora fin ]]-Tabla13[[#This Row],[Hora inicio]])/60</f>
        <v>0.76666666666666672</v>
      </c>
      <c r="G504" s="60" t="s">
        <v>10</v>
      </c>
      <c r="H504" s="60" t="s">
        <v>30</v>
      </c>
      <c r="I504" s="60" t="s">
        <v>12</v>
      </c>
      <c r="J504" s="60" t="s">
        <v>270</v>
      </c>
      <c r="K504" s="58" t="s">
        <v>401</v>
      </c>
      <c r="L504" s="75"/>
    </row>
    <row r="505" spans="1:12">
      <c r="A505" s="72">
        <v>46178</v>
      </c>
      <c r="B505" s="87" t="str">
        <f>IF(Tabla13[[#This Row],[Fecha]]="","",TEXT(Tabla13[[#This Row],[Fecha]],"aaaa"))</f>
        <v>viernes</v>
      </c>
      <c r="C505" s="74" t="str">
        <f>IF(Tabla13[[#This Row],[Fecha]]="","",TEXT(Tabla13[[#This Row],[Fecha]],"mmmm"))</f>
        <v>junio</v>
      </c>
      <c r="D505" s="133">
        <v>0.19027777777777777</v>
      </c>
      <c r="E505" s="75">
        <v>0.21875</v>
      </c>
      <c r="F505" s="71">
        <f>HOUR(Tabla13[[#This Row],[Hora fin ]]-Tabla13[[#This Row],[Hora inicio]])+MINUTE(Tabla13[[#This Row],[Hora fin ]]-Tabla13[[#This Row],[Hora inicio]])/60</f>
        <v>0.68333333333333335</v>
      </c>
      <c r="G505" s="60" t="s">
        <v>10</v>
      </c>
      <c r="H505" s="60" t="s">
        <v>30</v>
      </c>
      <c r="I505" s="60" t="s">
        <v>12</v>
      </c>
      <c r="J505" s="60" t="s">
        <v>270</v>
      </c>
      <c r="K505" s="58" t="s">
        <v>401</v>
      </c>
      <c r="L505" s="75"/>
    </row>
    <row r="506" spans="1:12" ht="30">
      <c r="A506" s="72">
        <v>46178</v>
      </c>
      <c r="B506" s="87" t="str">
        <f>IF(Tabla13[[#This Row],[Fecha]]="","",TEXT(Tabla13[[#This Row],[Fecha]],"aaaa"))</f>
        <v>viernes</v>
      </c>
      <c r="C506" s="74" t="str">
        <f>IF(Tabla13[[#This Row],[Fecha]]="","",TEXT(Tabla13[[#This Row],[Fecha]],"mmmm"))</f>
        <v>junio</v>
      </c>
      <c r="D506" s="133">
        <v>0.38263888888888886</v>
      </c>
      <c r="E506" s="75">
        <v>0.3923611111111111</v>
      </c>
      <c r="F506" s="71">
        <f>HOUR(Tabla13[[#This Row],[Hora fin ]]-Tabla13[[#This Row],[Hora inicio]])+MINUTE(Tabla13[[#This Row],[Hora fin ]]-Tabla13[[#This Row],[Hora inicio]])/60</f>
        <v>0.23333333333333334</v>
      </c>
      <c r="G506" s="60" t="s">
        <v>4</v>
      </c>
      <c r="H506" s="60" t="s">
        <v>16</v>
      </c>
      <c r="I506" s="60" t="s">
        <v>17</v>
      </c>
      <c r="J506" s="60" t="s">
        <v>292</v>
      </c>
      <c r="K506" s="58" t="s">
        <v>580</v>
      </c>
      <c r="L506" s="75"/>
    </row>
    <row r="507" spans="1:12">
      <c r="A507" s="72">
        <v>46178</v>
      </c>
      <c r="B507" s="87" t="str">
        <f>IF(Tabla13[[#This Row],[Fecha]]="","",TEXT(Tabla13[[#This Row],[Fecha]],"aaaa"))</f>
        <v>viernes</v>
      </c>
      <c r="C507" s="74" t="str">
        <f>IF(Tabla13[[#This Row],[Fecha]]="","",TEXT(Tabla13[[#This Row],[Fecha]],"mmmm"))</f>
        <v>junio</v>
      </c>
      <c r="D507" s="133">
        <v>0.42430555555555555</v>
      </c>
      <c r="E507" s="75">
        <v>0.45277777777777778</v>
      </c>
      <c r="F507" s="71">
        <f>HOUR(Tabla13[[#This Row],[Hora fin ]]-Tabla13[[#This Row],[Hora inicio]])+MINUTE(Tabla13[[#This Row],[Hora fin ]]-Tabla13[[#This Row],[Hora inicio]])/60</f>
        <v>0.68333333333333335</v>
      </c>
      <c r="G507" s="60" t="s">
        <v>10</v>
      </c>
      <c r="H507" s="60" t="s">
        <v>30</v>
      </c>
      <c r="I507" s="60" t="s">
        <v>12</v>
      </c>
      <c r="J507" s="60" t="s">
        <v>270</v>
      </c>
      <c r="K507" s="58" t="s">
        <v>401</v>
      </c>
      <c r="L507" s="75"/>
    </row>
    <row r="508" spans="1:12" ht="30">
      <c r="A508" s="72">
        <v>46178</v>
      </c>
      <c r="B508" s="87" t="str">
        <f>IF(Tabla13[[#This Row],[Fecha]]="","",TEXT(Tabla13[[#This Row],[Fecha]],"aaaa"))</f>
        <v>viernes</v>
      </c>
      <c r="C508" s="74" t="str">
        <f>IF(Tabla13[[#This Row],[Fecha]]="","",TEXT(Tabla13[[#This Row],[Fecha]],"mmmm"))</f>
        <v>junio</v>
      </c>
      <c r="D508" s="133">
        <v>0.60902777777777772</v>
      </c>
      <c r="E508" s="75">
        <v>0.66388888888888886</v>
      </c>
      <c r="F508" s="71">
        <f>HOUR(Tabla13[[#This Row],[Hora fin ]]-Tabla13[[#This Row],[Hora inicio]])+MINUTE(Tabla13[[#This Row],[Hora fin ]]-Tabla13[[#This Row],[Hora inicio]])/60</f>
        <v>1.3166666666666667</v>
      </c>
      <c r="G508" s="60" t="s">
        <v>7</v>
      </c>
      <c r="H508" s="60" t="s">
        <v>20</v>
      </c>
      <c r="I508" s="60" t="s">
        <v>12</v>
      </c>
      <c r="J508" s="60" t="s">
        <v>270</v>
      </c>
      <c r="K508" s="58" t="s">
        <v>576</v>
      </c>
      <c r="L508" s="75"/>
    </row>
    <row r="509" spans="1:12">
      <c r="A509" s="72">
        <v>46178</v>
      </c>
      <c r="B509" s="87" t="str">
        <f>IF(Tabla13[[#This Row],[Fecha]]="","",TEXT(Tabla13[[#This Row],[Fecha]],"aaaa"))</f>
        <v>viernes</v>
      </c>
      <c r="C509" s="74" t="str">
        <f>IF(Tabla13[[#This Row],[Fecha]]="","",TEXT(Tabla13[[#This Row],[Fecha]],"mmmm"))</f>
        <v>junio</v>
      </c>
      <c r="D509" s="133">
        <v>0.7006944444444444</v>
      </c>
      <c r="E509" s="75">
        <v>0.74652777777777779</v>
      </c>
      <c r="F509" s="71">
        <f>HOUR(Tabla13[[#This Row],[Hora fin ]]-Tabla13[[#This Row],[Hora inicio]])+MINUTE(Tabla13[[#This Row],[Hora fin ]]-Tabla13[[#This Row],[Hora inicio]])/60</f>
        <v>1.1000000000000001</v>
      </c>
      <c r="G509" s="60" t="s">
        <v>10</v>
      </c>
      <c r="H509" s="60" t="s">
        <v>26</v>
      </c>
      <c r="I509" s="60" t="s">
        <v>17</v>
      </c>
      <c r="J509" s="60" t="s">
        <v>290</v>
      </c>
      <c r="K509" s="58" t="s">
        <v>434</v>
      </c>
      <c r="L509" s="75"/>
    </row>
    <row r="510" spans="1:12">
      <c r="A510" s="72">
        <v>46179</v>
      </c>
      <c r="B510" s="87" t="str">
        <f>IF(Tabla13[[#This Row],[Fecha]]="","",TEXT(Tabla13[[#This Row],[Fecha]],"aaaa"))</f>
        <v>sábado</v>
      </c>
      <c r="C510" s="74" t="str">
        <f>IF(Tabla13[[#This Row],[Fecha]]="","",TEXT(Tabla13[[#This Row],[Fecha]],"mmmm"))</f>
        <v>junio</v>
      </c>
      <c r="D510" s="133">
        <v>0.41944444444444445</v>
      </c>
      <c r="E510" s="75">
        <v>0.4236111111111111</v>
      </c>
      <c r="F510" s="71">
        <f>HOUR(Tabla13[[#This Row],[Hora fin ]]-Tabla13[[#This Row],[Hora inicio]])+MINUTE(Tabla13[[#This Row],[Hora fin ]]-Tabla13[[#This Row],[Hora inicio]])/60</f>
        <v>0.1</v>
      </c>
      <c r="G510" s="60" t="s">
        <v>4</v>
      </c>
      <c r="H510" s="60" t="s">
        <v>5</v>
      </c>
      <c r="I510" s="60" t="s">
        <v>258</v>
      </c>
      <c r="J510" s="60" t="s">
        <v>359</v>
      </c>
      <c r="K510" s="58" t="s">
        <v>400</v>
      </c>
      <c r="L510" s="75"/>
    </row>
    <row r="511" spans="1:12">
      <c r="A511" s="72">
        <v>46179</v>
      </c>
      <c r="B511" s="87" t="str">
        <f>IF(Tabla13[[#This Row],[Fecha]]="","",TEXT(Tabla13[[#This Row],[Fecha]],"aaaa"))</f>
        <v>sábado</v>
      </c>
      <c r="C511" s="74" t="str">
        <f>IF(Tabla13[[#This Row],[Fecha]]="","",TEXT(Tabla13[[#This Row],[Fecha]],"mmmm"))</f>
        <v>junio</v>
      </c>
      <c r="D511" s="133">
        <v>0.5</v>
      </c>
      <c r="E511" s="75">
        <v>0.75</v>
      </c>
      <c r="F511" s="71">
        <f>HOUR(Tabla13[[#This Row],[Hora fin ]]-Tabla13[[#This Row],[Hora inicio]])+MINUTE(Tabla13[[#This Row],[Hora fin ]]-Tabla13[[#This Row],[Hora inicio]])/60</f>
        <v>6</v>
      </c>
      <c r="G511" s="60" t="s">
        <v>4</v>
      </c>
      <c r="H511" s="60" t="s">
        <v>16</v>
      </c>
      <c r="I511" s="60" t="s">
        <v>6</v>
      </c>
      <c r="J511" s="60" t="s">
        <v>16</v>
      </c>
      <c r="K511" s="58" t="s">
        <v>440</v>
      </c>
      <c r="L511" s="75"/>
    </row>
    <row r="512" spans="1:12">
      <c r="A512" s="72">
        <v>46180</v>
      </c>
      <c r="B512" s="87" t="str">
        <f>IF(Tabla13[[#This Row],[Fecha]]="","",TEXT(Tabla13[[#This Row],[Fecha]],"aaaa"))</f>
        <v>domingo</v>
      </c>
      <c r="C512" s="74" t="str">
        <f>IF(Tabla13[[#This Row],[Fecha]]="","",TEXT(Tabla13[[#This Row],[Fecha]],"mmmm"))</f>
        <v>junio</v>
      </c>
      <c r="D512" s="133">
        <v>0.25</v>
      </c>
      <c r="E512" s="75">
        <v>0.75</v>
      </c>
      <c r="F512" s="71">
        <f>HOUR(Tabla13[[#This Row],[Hora fin ]]-Tabla13[[#This Row],[Hora inicio]])+MINUTE(Tabla13[[#This Row],[Hora fin ]]-Tabla13[[#This Row],[Hora inicio]])/60</f>
        <v>12</v>
      </c>
      <c r="G512" s="60" t="s">
        <v>4</v>
      </c>
      <c r="H512" s="60" t="s">
        <v>16</v>
      </c>
      <c r="I512" s="60" t="s">
        <v>6</v>
      </c>
      <c r="J512" s="60" t="s">
        <v>16</v>
      </c>
      <c r="K512" s="58" t="s">
        <v>440</v>
      </c>
      <c r="L512" s="75"/>
    </row>
    <row r="513" spans="1:12">
      <c r="A513" s="72">
        <v>46181</v>
      </c>
      <c r="B513" s="87" t="str">
        <f>IF(Tabla13[[#This Row],[Fecha]]="","",TEXT(Tabla13[[#This Row],[Fecha]],"aaaa"))</f>
        <v>lunes</v>
      </c>
      <c r="C513" s="74" t="str">
        <f>IF(Tabla13[[#This Row],[Fecha]]="","",TEXT(Tabla13[[#This Row],[Fecha]],"mmmm"))</f>
        <v>junio</v>
      </c>
      <c r="D513" s="133">
        <v>0.25</v>
      </c>
      <c r="E513" s="75">
        <v>0.75</v>
      </c>
      <c r="F513" s="71">
        <f>HOUR(Tabla13[[#This Row],[Hora fin ]]-Tabla13[[#This Row],[Hora inicio]])+MINUTE(Tabla13[[#This Row],[Hora fin ]]-Tabla13[[#This Row],[Hora inicio]])/60</f>
        <v>12</v>
      </c>
      <c r="G513" s="60" t="s">
        <v>4</v>
      </c>
      <c r="H513" s="60" t="s">
        <v>16</v>
      </c>
      <c r="I513" s="60" t="s">
        <v>6</v>
      </c>
      <c r="J513" s="60" t="s">
        <v>16</v>
      </c>
      <c r="K513" s="58" t="s">
        <v>440</v>
      </c>
      <c r="L513" s="75"/>
    </row>
    <row r="514" spans="1:12">
      <c r="A514" s="72">
        <v>46182</v>
      </c>
      <c r="B514" s="87" t="str">
        <f>IF(Tabla13[[#This Row],[Fecha]]="","",TEXT(Tabla13[[#This Row],[Fecha]],"aaaa"))</f>
        <v>martes</v>
      </c>
      <c r="C514" s="74" t="str">
        <f>IF(Tabla13[[#This Row],[Fecha]]="","",TEXT(Tabla13[[#This Row],[Fecha]],"mmmm"))</f>
        <v>junio</v>
      </c>
      <c r="D514" s="133">
        <v>0.25</v>
      </c>
      <c r="E514" s="75">
        <v>0.75</v>
      </c>
      <c r="F514" s="71">
        <f>HOUR(Tabla13[[#This Row],[Hora fin ]]-Tabla13[[#This Row],[Hora inicio]])+MINUTE(Tabla13[[#This Row],[Hora fin ]]-Tabla13[[#This Row],[Hora inicio]])/60</f>
        <v>12</v>
      </c>
      <c r="G514" s="60" t="s">
        <v>4</v>
      </c>
      <c r="H514" s="60" t="s">
        <v>16</v>
      </c>
      <c r="I514" s="60" t="s">
        <v>6</v>
      </c>
      <c r="J514" s="60" t="s">
        <v>16</v>
      </c>
      <c r="K514" s="58" t="s">
        <v>440</v>
      </c>
      <c r="L514" s="75"/>
    </row>
    <row r="515" spans="1:12">
      <c r="A515" s="72">
        <v>46183</v>
      </c>
      <c r="B515" s="87" t="str">
        <f>IF(Tabla13[[#This Row],[Fecha]]="","",TEXT(Tabla13[[#This Row],[Fecha]],"aaaa"))</f>
        <v>miércoles</v>
      </c>
      <c r="C515" s="74" t="str">
        <f>IF(Tabla13[[#This Row],[Fecha]]="","",TEXT(Tabla13[[#This Row],[Fecha]],"mmmm"))</f>
        <v>junio</v>
      </c>
      <c r="D515" s="133">
        <v>0.26874999999999999</v>
      </c>
      <c r="E515" s="75">
        <v>0.29375000000000001</v>
      </c>
      <c r="F515" s="71">
        <f>HOUR(Tabla13[[#This Row],[Hora fin ]]-Tabla13[[#This Row],[Hora inicio]])+MINUTE(Tabla13[[#This Row],[Hora fin ]]-Tabla13[[#This Row],[Hora inicio]])/60</f>
        <v>0.6</v>
      </c>
      <c r="G515" s="60" t="s">
        <v>7</v>
      </c>
      <c r="H515" s="60" t="s">
        <v>23</v>
      </c>
      <c r="I515" s="60" t="s">
        <v>19</v>
      </c>
      <c r="J515" s="60" t="s">
        <v>316</v>
      </c>
      <c r="K515" s="58" t="s">
        <v>577</v>
      </c>
      <c r="L515" s="75"/>
    </row>
    <row r="516" spans="1:12">
      <c r="A516" s="72">
        <v>46183</v>
      </c>
      <c r="B516" s="87" t="str">
        <f>IF(Tabla13[[#This Row],[Fecha]]="","",TEXT(Tabla13[[#This Row],[Fecha]],"aaaa"))</f>
        <v>miércoles</v>
      </c>
      <c r="C516" s="74" t="str">
        <f>IF(Tabla13[[#This Row],[Fecha]]="","",TEXT(Tabla13[[#This Row],[Fecha]],"mmmm"))</f>
        <v>junio</v>
      </c>
      <c r="D516" s="133">
        <v>0.33263888888888887</v>
      </c>
      <c r="E516" s="75">
        <v>0.33541666666666664</v>
      </c>
      <c r="F516" s="71">
        <f>HOUR(Tabla13[[#This Row],[Hora fin ]]-Tabla13[[#This Row],[Hora inicio]])+MINUTE(Tabla13[[#This Row],[Hora fin ]]-Tabla13[[#This Row],[Hora inicio]])/60</f>
        <v>6.6666666666666666E-2</v>
      </c>
      <c r="G516" s="60" t="s">
        <v>7</v>
      </c>
      <c r="H516" s="60" t="s">
        <v>20</v>
      </c>
      <c r="I516" s="60" t="s">
        <v>6</v>
      </c>
      <c r="J516" s="60" t="s">
        <v>359</v>
      </c>
      <c r="K516" s="58" t="s">
        <v>578</v>
      </c>
      <c r="L516" s="75"/>
    </row>
    <row r="517" spans="1:12">
      <c r="A517" s="72">
        <v>46183</v>
      </c>
      <c r="B517" s="87" t="str">
        <f>IF(Tabla13[[#This Row],[Fecha]]="","",TEXT(Tabla13[[#This Row],[Fecha]],"aaaa"))</f>
        <v>miércoles</v>
      </c>
      <c r="C517" s="74" t="str">
        <f>IF(Tabla13[[#This Row],[Fecha]]="","",TEXT(Tabla13[[#This Row],[Fecha]],"mmmm"))</f>
        <v>junio</v>
      </c>
      <c r="D517" s="133">
        <v>0.34027777777777779</v>
      </c>
      <c r="E517" s="75">
        <v>0.34513888888888888</v>
      </c>
      <c r="F517" s="71">
        <f>HOUR(Tabla13[[#This Row],[Hora fin ]]-Tabla13[[#This Row],[Hora inicio]])+MINUTE(Tabla13[[#This Row],[Hora fin ]]-Tabla13[[#This Row],[Hora inicio]])/60</f>
        <v>0.11666666666666667</v>
      </c>
      <c r="G517" s="60" t="s">
        <v>4</v>
      </c>
      <c r="H517" s="60" t="s">
        <v>5</v>
      </c>
      <c r="I517" s="60" t="s">
        <v>258</v>
      </c>
      <c r="J517" s="60" t="s">
        <v>359</v>
      </c>
      <c r="K517" s="58" t="s">
        <v>400</v>
      </c>
      <c r="L517" s="75"/>
    </row>
    <row r="518" spans="1:12" ht="30">
      <c r="A518" s="72">
        <v>46183</v>
      </c>
      <c r="B518" s="87" t="str">
        <f>IF(Tabla13[[#This Row],[Fecha]]="","",TEXT(Tabla13[[#This Row],[Fecha]],"aaaa"))</f>
        <v>miércoles</v>
      </c>
      <c r="C518" s="74" t="str">
        <f>IF(Tabla13[[#This Row],[Fecha]]="","",TEXT(Tabla13[[#This Row],[Fecha]],"mmmm"))</f>
        <v>junio</v>
      </c>
      <c r="D518" s="133">
        <v>0.53333333333333333</v>
      </c>
      <c r="E518" s="75">
        <v>0.57638888888888884</v>
      </c>
      <c r="F518" s="71">
        <f>HOUR(Tabla13[[#This Row],[Hora fin ]]-Tabla13[[#This Row],[Hora inicio]])+MINUTE(Tabla13[[#This Row],[Hora fin ]]-Tabla13[[#This Row],[Hora inicio]])/60</f>
        <v>1.0333333333333334</v>
      </c>
      <c r="G518" s="60" t="s">
        <v>7</v>
      </c>
      <c r="H518" s="60" t="s">
        <v>20</v>
      </c>
      <c r="I518" s="60" t="s">
        <v>258</v>
      </c>
      <c r="J518" s="60" t="s">
        <v>356</v>
      </c>
      <c r="K518" s="58" t="s">
        <v>579</v>
      </c>
      <c r="L518" s="75"/>
    </row>
    <row r="519" spans="1:12">
      <c r="A519" s="72">
        <v>46184</v>
      </c>
      <c r="B519" s="87" t="str">
        <f>IF(Tabla13[[#This Row],[Fecha]]="","",TEXT(Tabla13[[#This Row],[Fecha]],"aaaa"))</f>
        <v>jueves</v>
      </c>
      <c r="C519" s="74" t="str">
        <f>IF(Tabla13[[#This Row],[Fecha]]="","",TEXT(Tabla13[[#This Row],[Fecha]],"mmmm"))</f>
        <v>junio</v>
      </c>
      <c r="D519" s="133">
        <v>6.5277777777777782E-2</v>
      </c>
      <c r="E519" s="75">
        <v>6.8750000000000006E-2</v>
      </c>
      <c r="F519" s="71">
        <f>HOUR(Tabla13[[#This Row],[Hora fin ]]-Tabla13[[#This Row],[Hora inicio]])+MINUTE(Tabla13[[#This Row],[Hora fin ]]-Tabla13[[#This Row],[Hora inicio]])/60</f>
        <v>8.3333333333333329E-2</v>
      </c>
      <c r="G519" s="60" t="s">
        <v>4</v>
      </c>
      <c r="H519" s="60" t="s">
        <v>5</v>
      </c>
      <c r="I519" s="60" t="s">
        <v>258</v>
      </c>
      <c r="J519" s="60" t="s">
        <v>359</v>
      </c>
      <c r="K519" s="58" t="s">
        <v>400</v>
      </c>
      <c r="L519" s="75"/>
    </row>
    <row r="520" spans="1:12">
      <c r="A520" s="72">
        <v>46186</v>
      </c>
      <c r="B520" s="87" t="str">
        <f>IF(Tabla13[[#This Row],[Fecha]]="","",TEXT(Tabla13[[#This Row],[Fecha]],"aaaa"))</f>
        <v>sábado</v>
      </c>
      <c r="C520" s="74" t="str">
        <f>IF(Tabla13[[#This Row],[Fecha]]="","",TEXT(Tabla13[[#This Row],[Fecha]],"mmmm"))</f>
        <v>junio</v>
      </c>
      <c r="D520" s="133">
        <v>0.1701388888888889</v>
      </c>
      <c r="E520" s="75">
        <v>0.17291666666666666</v>
      </c>
      <c r="F520" s="71">
        <f>HOUR(Tabla13[[#This Row],[Hora fin ]]-Tabla13[[#This Row],[Hora inicio]])+MINUTE(Tabla13[[#This Row],[Hora fin ]]-Tabla13[[#This Row],[Hora inicio]])/60</f>
        <v>6.6666666666666666E-2</v>
      </c>
      <c r="G520" s="60" t="s">
        <v>4</v>
      </c>
      <c r="H520" s="60" t="s">
        <v>5</v>
      </c>
      <c r="I520" s="60" t="s">
        <v>258</v>
      </c>
      <c r="J520" s="60" t="s">
        <v>359</v>
      </c>
      <c r="K520" s="58" t="s">
        <v>400</v>
      </c>
      <c r="L520" s="75"/>
    </row>
    <row r="521" spans="1:12">
      <c r="A521" s="72">
        <v>46187</v>
      </c>
      <c r="B521" s="87" t="str">
        <f>IF(Tabla13[[#This Row],[Fecha]]="","",TEXT(Tabla13[[#This Row],[Fecha]],"aaaa"))</f>
        <v>domingo</v>
      </c>
      <c r="C521" s="74" t="str">
        <f>IF(Tabla13[[#This Row],[Fecha]]="","",TEXT(Tabla13[[#This Row],[Fecha]],"mmmm"))</f>
        <v>junio</v>
      </c>
      <c r="D521" s="133">
        <v>0.25</v>
      </c>
      <c r="E521" s="75">
        <v>0.66666666666666663</v>
      </c>
      <c r="F521" s="71">
        <f>HOUR(Tabla13[[#This Row],[Hora fin ]]-Tabla13[[#This Row],[Hora inicio]])+MINUTE(Tabla13[[#This Row],[Hora fin ]]-Tabla13[[#This Row],[Hora inicio]])/60</f>
        <v>10</v>
      </c>
      <c r="G521" s="60" t="s">
        <v>4</v>
      </c>
      <c r="H521" s="60" t="s">
        <v>16</v>
      </c>
      <c r="I521" s="60" t="s">
        <v>6</v>
      </c>
      <c r="J521" s="60" t="s">
        <v>16</v>
      </c>
      <c r="K521" s="58" t="s">
        <v>440</v>
      </c>
      <c r="L521" s="75"/>
    </row>
    <row r="522" spans="1:12">
      <c r="A522" s="72">
        <v>46188</v>
      </c>
      <c r="B522" s="87" t="str">
        <f>IF(Tabla13[[#This Row],[Fecha]]="","",TEXT(Tabla13[[#This Row],[Fecha]],"aaaa"))</f>
        <v>lunes</v>
      </c>
      <c r="C522" s="74" t="str">
        <f>IF(Tabla13[[#This Row],[Fecha]]="","",TEXT(Tabla13[[#This Row],[Fecha]],"mmmm"))</f>
        <v>junio</v>
      </c>
      <c r="D522" s="133">
        <v>0.25</v>
      </c>
      <c r="E522" s="75">
        <v>0.66666666666666663</v>
      </c>
      <c r="F522" s="71">
        <f>HOUR(Tabla13[[#This Row],[Hora fin ]]-Tabla13[[#This Row],[Hora inicio]])+MINUTE(Tabla13[[#This Row],[Hora fin ]]-Tabla13[[#This Row],[Hora inicio]])/60</f>
        <v>10</v>
      </c>
      <c r="G522" s="60" t="s">
        <v>4</v>
      </c>
      <c r="H522" s="60" t="s">
        <v>16</v>
      </c>
      <c r="I522" s="60" t="s">
        <v>6</v>
      </c>
      <c r="J522" s="60" t="s">
        <v>16</v>
      </c>
      <c r="K522" s="58" t="s">
        <v>440</v>
      </c>
      <c r="L522" s="75"/>
    </row>
    <row r="523" spans="1:12" ht="30">
      <c r="A523" s="72">
        <v>46190</v>
      </c>
      <c r="B523" s="87" t="str">
        <f>IF(Tabla13[[#This Row],[Fecha]]="","",TEXT(Tabla13[[#This Row],[Fecha]],"aaaa"))</f>
        <v>miércoles</v>
      </c>
      <c r="C523" s="74" t="str">
        <f>IF(Tabla13[[#This Row],[Fecha]]="","",TEXT(Tabla13[[#This Row],[Fecha]],"mmmm"))</f>
        <v>junio</v>
      </c>
      <c r="D523" s="133">
        <v>0.34791666666666665</v>
      </c>
      <c r="E523" s="75">
        <v>0.34930555555555554</v>
      </c>
      <c r="F523" s="71">
        <f>HOUR(Tabla13[[#This Row],[Hora fin ]]-Tabla13[[#This Row],[Hora inicio]])+MINUTE(Tabla13[[#This Row],[Hora fin ]]-Tabla13[[#This Row],[Hora inicio]])/60</f>
        <v>3.3333333333333333E-2</v>
      </c>
      <c r="G523" s="60" t="s">
        <v>4</v>
      </c>
      <c r="H523" s="60" t="s">
        <v>16</v>
      </c>
      <c r="I523" s="60" t="s">
        <v>17</v>
      </c>
      <c r="J523" s="60" t="s">
        <v>292</v>
      </c>
      <c r="K523" s="58" t="s">
        <v>580</v>
      </c>
      <c r="L523" s="75"/>
    </row>
    <row r="524" spans="1:12">
      <c r="A524" s="72">
        <v>46191</v>
      </c>
      <c r="B524" s="87" t="str">
        <f>IF(Tabla13[[#This Row],[Fecha]]="","",TEXT(Tabla13[[#This Row],[Fecha]],"aaaa"))</f>
        <v>jueves</v>
      </c>
      <c r="C524" s="74" t="str">
        <f>IF(Tabla13[[#This Row],[Fecha]]="","",TEXT(Tabla13[[#This Row],[Fecha]],"mmmm"))</f>
        <v>junio</v>
      </c>
      <c r="D524" s="133">
        <v>0.34375</v>
      </c>
      <c r="E524" s="75">
        <v>0.34583333333333333</v>
      </c>
      <c r="F524" s="71">
        <f>HOUR(Tabla13[[#This Row],[Hora fin ]]-Tabla13[[#This Row],[Hora inicio]])+MINUTE(Tabla13[[#This Row],[Hora fin ]]-Tabla13[[#This Row],[Hora inicio]])/60</f>
        <v>0.05</v>
      </c>
      <c r="G524" s="60" t="s">
        <v>4</v>
      </c>
      <c r="H524" s="60" t="s">
        <v>5</v>
      </c>
      <c r="I524" s="60" t="s">
        <v>258</v>
      </c>
      <c r="J524" s="60" t="s">
        <v>359</v>
      </c>
      <c r="K524" s="58" t="s">
        <v>400</v>
      </c>
      <c r="L524" s="75"/>
    </row>
    <row r="525" spans="1:12" ht="30">
      <c r="A525" s="72">
        <v>46192</v>
      </c>
      <c r="B525" s="87" t="str">
        <f>IF(Tabla13[[#This Row],[Fecha]]="","",TEXT(Tabla13[[#This Row],[Fecha]],"aaaa"))</f>
        <v>viernes</v>
      </c>
      <c r="C525" s="74" t="str">
        <f>IF(Tabla13[[#This Row],[Fecha]]="","",TEXT(Tabla13[[#This Row],[Fecha]],"mmmm"))</f>
        <v>junio</v>
      </c>
      <c r="D525" s="133">
        <v>0.41666666666666669</v>
      </c>
      <c r="E525" s="75">
        <v>0.65</v>
      </c>
      <c r="F525" s="71">
        <f>HOUR(Tabla13[[#This Row],[Hora fin ]]-Tabla13[[#This Row],[Hora inicio]])+MINUTE(Tabla13[[#This Row],[Hora fin ]]-Tabla13[[#This Row],[Hora inicio]])/60</f>
        <v>5.6</v>
      </c>
      <c r="G525" s="60" t="s">
        <v>7</v>
      </c>
      <c r="H525" s="60" t="s">
        <v>23</v>
      </c>
      <c r="I525" s="60" t="s">
        <v>257</v>
      </c>
      <c r="J525" s="60" t="s">
        <v>287</v>
      </c>
      <c r="K525" s="58" t="s">
        <v>596</v>
      </c>
      <c r="L525" s="75"/>
    </row>
    <row r="526" spans="1:12">
      <c r="A526" s="72">
        <v>46192</v>
      </c>
      <c r="B526" s="87" t="str">
        <f>IF(Tabla13[[#This Row],[Fecha]]="","",TEXT(Tabla13[[#This Row],[Fecha]],"aaaa"))</f>
        <v>viernes</v>
      </c>
      <c r="C526" s="74" t="str">
        <f>IF(Tabla13[[#This Row],[Fecha]]="","",TEXT(Tabla13[[#This Row],[Fecha]],"mmmm"))</f>
        <v>junio</v>
      </c>
      <c r="D526" s="133">
        <v>0.65</v>
      </c>
      <c r="E526" s="75">
        <v>1</v>
      </c>
      <c r="F526" s="71">
        <f>HOUR(Tabla13[[#This Row],[Hora fin ]]-Tabla13[[#This Row],[Hora inicio]])+MINUTE(Tabla13[[#This Row],[Hora fin ]]-Tabla13[[#This Row],[Hora inicio]])/60</f>
        <v>8.4</v>
      </c>
      <c r="G526" s="60" t="s">
        <v>7</v>
      </c>
      <c r="H526" s="60" t="s">
        <v>23</v>
      </c>
      <c r="I526" s="60" t="s">
        <v>17</v>
      </c>
      <c r="J526" s="60" t="s">
        <v>292</v>
      </c>
      <c r="K526" s="58" t="s">
        <v>582</v>
      </c>
      <c r="L526" s="75"/>
    </row>
    <row r="527" spans="1:12">
      <c r="A527" s="72">
        <v>46195</v>
      </c>
      <c r="B527" s="87" t="str">
        <f>IF(Tabla13[[#This Row],[Fecha]]="","",TEXT(Tabla13[[#This Row],[Fecha]],"aaaa"))</f>
        <v>lunes</v>
      </c>
      <c r="C527" s="74" t="str">
        <f>IF(Tabla13[[#This Row],[Fecha]]="","",TEXT(Tabla13[[#This Row],[Fecha]],"mmmm"))</f>
        <v>junio</v>
      </c>
      <c r="D527" s="133">
        <v>0.53263888888888888</v>
      </c>
      <c r="E527" s="75">
        <v>0.53402777777777777</v>
      </c>
      <c r="F527" s="71">
        <f>HOUR(Tabla13[[#This Row],[Hora fin ]]-Tabla13[[#This Row],[Hora inicio]])+MINUTE(Tabla13[[#This Row],[Hora fin ]]-Tabla13[[#This Row],[Hora inicio]])/60</f>
        <v>3.3333333333333333E-2</v>
      </c>
      <c r="G527" s="60" t="s">
        <v>4</v>
      </c>
      <c r="H527" s="60" t="s">
        <v>5</v>
      </c>
      <c r="I527" s="60" t="s">
        <v>258</v>
      </c>
      <c r="J527" s="60" t="s">
        <v>359</v>
      </c>
      <c r="K527" s="58" t="s">
        <v>400</v>
      </c>
      <c r="L527" s="75"/>
    </row>
    <row r="528" spans="1:12">
      <c r="A528" s="72">
        <v>46196</v>
      </c>
      <c r="B528" s="87" t="str">
        <f>IF(Tabla13[[#This Row],[Fecha]]="","",TEXT(Tabla13[[#This Row],[Fecha]],"aaaa"))</f>
        <v>martes</v>
      </c>
      <c r="C528" s="74" t="str">
        <f>IF(Tabla13[[#This Row],[Fecha]]="","",TEXT(Tabla13[[#This Row],[Fecha]],"mmmm"))</f>
        <v>junio</v>
      </c>
      <c r="D528" s="133">
        <v>5.486111111111111E-2</v>
      </c>
      <c r="E528" s="75">
        <v>5.6944444444444443E-2</v>
      </c>
      <c r="F528" s="71">
        <f>HOUR(Tabla13[[#This Row],[Hora fin ]]-Tabla13[[#This Row],[Hora inicio]])+MINUTE(Tabla13[[#This Row],[Hora fin ]]-Tabla13[[#This Row],[Hora inicio]])/60</f>
        <v>0.05</v>
      </c>
      <c r="G528" s="60" t="s">
        <v>4</v>
      </c>
      <c r="H528" s="60" t="s">
        <v>5</v>
      </c>
      <c r="I528" s="60" t="s">
        <v>258</v>
      </c>
      <c r="J528" s="60" t="s">
        <v>359</v>
      </c>
      <c r="K528" s="58" t="s">
        <v>400</v>
      </c>
      <c r="L528" s="75"/>
    </row>
    <row r="529" spans="1:12">
      <c r="A529" s="72">
        <v>46196</v>
      </c>
      <c r="B529" s="87" t="str">
        <f>IF(Tabla13[[#This Row],[Fecha]]="","",TEXT(Tabla13[[#This Row],[Fecha]],"aaaa"))</f>
        <v>martes</v>
      </c>
      <c r="C529" s="74" t="str">
        <f>IF(Tabla13[[#This Row],[Fecha]]="","",TEXT(Tabla13[[#This Row],[Fecha]],"mmmm"))</f>
        <v>junio</v>
      </c>
      <c r="D529" s="133">
        <v>0.37152777777777779</v>
      </c>
      <c r="E529" s="75">
        <v>0.37361111111111112</v>
      </c>
      <c r="F529" s="71">
        <f>HOUR(Tabla13[[#This Row],[Hora fin ]]-Tabla13[[#This Row],[Hora inicio]])+MINUTE(Tabla13[[#This Row],[Hora fin ]]-Tabla13[[#This Row],[Hora inicio]])/60</f>
        <v>0.05</v>
      </c>
      <c r="G529" s="60" t="s">
        <v>4</v>
      </c>
      <c r="H529" s="60" t="s">
        <v>5</v>
      </c>
      <c r="I529" s="60" t="s">
        <v>258</v>
      </c>
      <c r="J529" s="60" t="s">
        <v>359</v>
      </c>
      <c r="K529" s="58" t="s">
        <v>400</v>
      </c>
      <c r="L529" s="75"/>
    </row>
    <row r="530" spans="1:12">
      <c r="A530" s="72">
        <v>46197</v>
      </c>
      <c r="B530" s="87" t="str">
        <f>IF(Tabla13[[#This Row],[Fecha]]="","",TEXT(Tabla13[[#This Row],[Fecha]],"aaaa"))</f>
        <v>miércoles</v>
      </c>
      <c r="C530" s="74" t="str">
        <f>IF(Tabla13[[#This Row],[Fecha]]="","",TEXT(Tabla13[[#This Row],[Fecha]],"mmmm"))</f>
        <v>junio</v>
      </c>
      <c r="D530" s="133">
        <v>0.43333333333333335</v>
      </c>
      <c r="E530" s="75">
        <v>0.43472222222222223</v>
      </c>
      <c r="F530" s="71">
        <f>HOUR(Tabla13[[#This Row],[Hora fin ]]-Tabla13[[#This Row],[Hora inicio]])+MINUTE(Tabla13[[#This Row],[Hora fin ]]-Tabla13[[#This Row],[Hora inicio]])/60</f>
        <v>3.3333333333333333E-2</v>
      </c>
      <c r="G530" s="60" t="s">
        <v>4</v>
      </c>
      <c r="H530" s="60" t="s">
        <v>5</v>
      </c>
      <c r="I530" s="60" t="s">
        <v>258</v>
      </c>
      <c r="J530" s="60" t="s">
        <v>359</v>
      </c>
      <c r="K530" s="58" t="s">
        <v>400</v>
      </c>
      <c r="L530" s="75"/>
    </row>
    <row r="531" spans="1:12">
      <c r="A531" s="72">
        <v>46198</v>
      </c>
      <c r="B531" s="87" t="str">
        <f>IF(Tabla13[[#This Row],[Fecha]]="","",TEXT(Tabla13[[#This Row],[Fecha]],"aaaa"))</f>
        <v>jueves</v>
      </c>
      <c r="C531" s="74" t="str">
        <f>IF(Tabla13[[#This Row],[Fecha]]="","",TEXT(Tabla13[[#This Row],[Fecha]],"mmmm"))</f>
        <v>junio</v>
      </c>
      <c r="D531" s="133">
        <v>0.44097222222222221</v>
      </c>
      <c r="E531" s="75">
        <v>0.44236111111111109</v>
      </c>
      <c r="F531" s="71">
        <f>HOUR(Tabla13[[#This Row],[Hora fin ]]-Tabla13[[#This Row],[Hora inicio]])+MINUTE(Tabla13[[#This Row],[Hora fin ]]-Tabla13[[#This Row],[Hora inicio]])/60</f>
        <v>3.3333333333333333E-2</v>
      </c>
      <c r="G531" s="60" t="s">
        <v>4</v>
      </c>
      <c r="H531" s="60" t="s">
        <v>5</v>
      </c>
      <c r="I531" s="60" t="s">
        <v>258</v>
      </c>
      <c r="J531" s="60" t="s">
        <v>359</v>
      </c>
      <c r="K531" s="58" t="s">
        <v>400</v>
      </c>
      <c r="L531" s="75"/>
    </row>
    <row r="532" spans="1:12">
      <c r="A532" s="72">
        <v>46199</v>
      </c>
      <c r="B532" s="87" t="str">
        <f>IF(Tabla13[[#This Row],[Fecha]]="","",TEXT(Tabla13[[#This Row],[Fecha]],"aaaa"))</f>
        <v>viernes</v>
      </c>
      <c r="C532" s="74" t="str">
        <f>IF(Tabla13[[#This Row],[Fecha]]="","",TEXT(Tabla13[[#This Row],[Fecha]],"mmmm"))</f>
        <v>junio</v>
      </c>
      <c r="D532" s="133">
        <v>0.47430555555555554</v>
      </c>
      <c r="E532" s="75">
        <v>0.47569444444444442</v>
      </c>
      <c r="F532" s="71">
        <f>HOUR(Tabla13[[#This Row],[Hora fin ]]-Tabla13[[#This Row],[Hora inicio]])+MINUTE(Tabla13[[#This Row],[Hora fin ]]-Tabla13[[#This Row],[Hora inicio]])/60</f>
        <v>3.3333333333333333E-2</v>
      </c>
      <c r="G532" s="60" t="s">
        <v>4</v>
      </c>
      <c r="H532" s="60" t="s">
        <v>5</v>
      </c>
      <c r="I532" s="60" t="s">
        <v>258</v>
      </c>
      <c r="J532" s="60" t="s">
        <v>359</v>
      </c>
      <c r="K532" s="58" t="s">
        <v>400</v>
      </c>
      <c r="L532" s="75"/>
    </row>
    <row r="533" spans="1:12" ht="45">
      <c r="A533" s="72">
        <v>46199</v>
      </c>
      <c r="B533" s="87" t="str">
        <f>IF(Tabla13[[#This Row],[Fecha]]="","",TEXT(Tabla13[[#This Row],[Fecha]],"aaaa"))</f>
        <v>viernes</v>
      </c>
      <c r="C533" s="74" t="str">
        <f>IF(Tabla13[[#This Row],[Fecha]]="","",TEXT(Tabla13[[#This Row],[Fecha]],"mmmm"))</f>
        <v>junio</v>
      </c>
      <c r="D533" s="133">
        <v>0.81597222222222221</v>
      </c>
      <c r="E533" s="75">
        <v>0.91597222222222219</v>
      </c>
      <c r="F533" s="71">
        <f>HOUR(Tabla13[[#This Row],[Hora fin ]]-Tabla13[[#This Row],[Hora inicio]])+MINUTE(Tabla13[[#This Row],[Hora fin ]]-Tabla13[[#This Row],[Hora inicio]])/60</f>
        <v>2.4</v>
      </c>
      <c r="G533" s="60" t="s">
        <v>10</v>
      </c>
      <c r="H533" s="60" t="s">
        <v>26</v>
      </c>
      <c r="I533" s="60" t="s">
        <v>15</v>
      </c>
      <c r="J533" s="60" t="s">
        <v>282</v>
      </c>
      <c r="K533" s="58" t="s">
        <v>583</v>
      </c>
      <c r="L533" s="75"/>
    </row>
    <row r="534" spans="1:12">
      <c r="A534" s="72">
        <v>46199</v>
      </c>
      <c r="B534" s="87" t="str">
        <f>IF(Tabla13[[#This Row],[Fecha]]="","",TEXT(Tabla13[[#This Row],[Fecha]],"aaaa"))</f>
        <v>viernes</v>
      </c>
      <c r="C534" s="74" t="str">
        <f>IF(Tabla13[[#This Row],[Fecha]]="","",TEXT(Tabla13[[#This Row],[Fecha]],"mmmm"))</f>
        <v>junio</v>
      </c>
      <c r="D534" s="133">
        <v>0.94236111111111109</v>
      </c>
      <c r="E534" s="75">
        <v>0.94513888888888886</v>
      </c>
      <c r="F534" s="71">
        <f>HOUR(Tabla13[[#This Row],[Hora fin ]]-Tabla13[[#This Row],[Hora inicio]])+MINUTE(Tabla13[[#This Row],[Hora fin ]]-Tabla13[[#This Row],[Hora inicio]])/60</f>
        <v>6.6666666666666666E-2</v>
      </c>
      <c r="G534" s="60" t="s">
        <v>4</v>
      </c>
      <c r="H534" s="60" t="s">
        <v>5</v>
      </c>
      <c r="I534" s="60" t="s">
        <v>258</v>
      </c>
      <c r="J534" s="60" t="s">
        <v>359</v>
      </c>
      <c r="K534" s="58" t="s">
        <v>400</v>
      </c>
      <c r="L534" s="75"/>
    </row>
    <row r="535" spans="1:12">
      <c r="A535" s="72">
        <v>46200</v>
      </c>
      <c r="B535" s="87" t="str">
        <f>IF(Tabla13[[#This Row],[Fecha]]="","",TEXT(Tabla13[[#This Row],[Fecha]],"aaaa"))</f>
        <v>sábado</v>
      </c>
      <c r="C535" s="74" t="str">
        <f>IF(Tabla13[[#This Row],[Fecha]]="","",TEXT(Tabla13[[#This Row],[Fecha]],"mmmm"))</f>
        <v>junio</v>
      </c>
      <c r="D535" s="133">
        <v>0.11944444444444445</v>
      </c>
      <c r="E535" s="75">
        <v>0.12152777777777778</v>
      </c>
      <c r="F535" s="71">
        <f>HOUR(Tabla13[[#This Row],[Hora fin ]]-Tabla13[[#This Row],[Hora inicio]])+MINUTE(Tabla13[[#This Row],[Hora fin ]]-Tabla13[[#This Row],[Hora inicio]])/60</f>
        <v>0.05</v>
      </c>
      <c r="G535" s="60" t="s">
        <v>4</v>
      </c>
      <c r="H535" s="60" t="s">
        <v>5</v>
      </c>
      <c r="I535" s="60" t="s">
        <v>258</v>
      </c>
      <c r="J535" s="60" t="s">
        <v>359</v>
      </c>
      <c r="K535" s="58" t="s">
        <v>400</v>
      </c>
      <c r="L535" s="75"/>
    </row>
    <row r="536" spans="1:12">
      <c r="A536" s="72">
        <v>46200</v>
      </c>
      <c r="B536" s="87" t="str">
        <f>IF(Tabla13[[#This Row],[Fecha]]="","",TEXT(Tabla13[[#This Row],[Fecha]],"aaaa"))</f>
        <v>sábado</v>
      </c>
      <c r="C536" s="74" t="str">
        <f>IF(Tabla13[[#This Row],[Fecha]]="","",TEXT(Tabla13[[#This Row],[Fecha]],"mmmm"))</f>
        <v>junio</v>
      </c>
      <c r="D536" s="133">
        <v>0.39444444444444443</v>
      </c>
      <c r="E536" s="75">
        <v>0.3972222222222222</v>
      </c>
      <c r="F536" s="71">
        <f>HOUR(Tabla13[[#This Row],[Hora fin ]]-Tabla13[[#This Row],[Hora inicio]])+MINUTE(Tabla13[[#This Row],[Hora fin ]]-Tabla13[[#This Row],[Hora inicio]])/60</f>
        <v>6.6666666666666666E-2</v>
      </c>
      <c r="G536" s="60" t="s">
        <v>4</v>
      </c>
      <c r="H536" s="60" t="s">
        <v>5</v>
      </c>
      <c r="I536" s="60" t="s">
        <v>258</v>
      </c>
      <c r="J536" s="60" t="s">
        <v>359</v>
      </c>
      <c r="K536" s="58" t="s">
        <v>400</v>
      </c>
      <c r="L536" s="75"/>
    </row>
    <row r="537" spans="1:12">
      <c r="A537" s="72">
        <v>46201</v>
      </c>
      <c r="B537" s="87" t="str">
        <f>IF(Tabla13[[#This Row],[Fecha]]="","",TEXT(Tabla13[[#This Row],[Fecha]],"aaaa"))</f>
        <v>domingo</v>
      </c>
      <c r="C537" s="74" t="str">
        <f>IF(Tabla13[[#This Row],[Fecha]]="","",TEXT(Tabla13[[#This Row],[Fecha]],"mmmm"))</f>
        <v>junio</v>
      </c>
      <c r="D537" s="133">
        <v>0.1076388888888889</v>
      </c>
      <c r="E537" s="75">
        <v>0.11041666666666666</v>
      </c>
      <c r="F537" s="71">
        <f>HOUR(Tabla13[[#This Row],[Hora fin ]]-Tabla13[[#This Row],[Hora inicio]])+MINUTE(Tabla13[[#This Row],[Hora fin ]]-Tabla13[[#This Row],[Hora inicio]])/60</f>
        <v>6.6666666666666666E-2</v>
      </c>
      <c r="G537" s="60" t="s">
        <v>4</v>
      </c>
      <c r="H537" s="60" t="s">
        <v>5</v>
      </c>
      <c r="I537" s="60" t="s">
        <v>258</v>
      </c>
      <c r="J537" s="60" t="s">
        <v>359</v>
      </c>
      <c r="K537" s="58" t="s">
        <v>400</v>
      </c>
      <c r="L537" s="75"/>
    </row>
    <row r="538" spans="1:12">
      <c r="A538" s="72">
        <v>46203</v>
      </c>
      <c r="B538" s="87" t="str">
        <f>IF(Tabla13[[#This Row],[Fecha]]="","",TEXT(Tabla13[[#This Row],[Fecha]],"aaaa"))</f>
        <v>martes</v>
      </c>
      <c r="C538" s="74" t="str">
        <f>IF(Tabla13[[#This Row],[Fecha]]="","",TEXT(Tabla13[[#This Row],[Fecha]],"mmmm"))</f>
        <v>junio</v>
      </c>
      <c r="D538" s="133">
        <v>0.25972222222222224</v>
      </c>
      <c r="E538" s="75">
        <v>0.26250000000000001</v>
      </c>
      <c r="F538" s="71">
        <f>HOUR(Tabla13[[#This Row],[Hora fin ]]-Tabla13[[#This Row],[Hora inicio]])+MINUTE(Tabla13[[#This Row],[Hora fin ]]-Tabla13[[#This Row],[Hora inicio]])/60</f>
        <v>6.6666666666666666E-2</v>
      </c>
      <c r="G538" s="60" t="s">
        <v>4</v>
      </c>
      <c r="H538" s="60" t="s">
        <v>5</v>
      </c>
      <c r="I538" s="60" t="s">
        <v>258</v>
      </c>
      <c r="J538" s="60" t="s">
        <v>359</v>
      </c>
      <c r="K538" s="58" t="s">
        <v>400</v>
      </c>
      <c r="L538" s="75"/>
    </row>
    <row r="539" spans="1:12" ht="30">
      <c r="A539" s="72">
        <v>46203</v>
      </c>
      <c r="B539" s="87" t="str">
        <f>IF(Tabla13[[#This Row],[Fecha]]="","",TEXT(Tabla13[[#This Row],[Fecha]],"aaaa"))</f>
        <v>martes</v>
      </c>
      <c r="C539" s="74" t="str">
        <f>IF(Tabla13[[#This Row],[Fecha]]="","",TEXT(Tabla13[[#This Row],[Fecha]],"mmmm"))</f>
        <v>junio</v>
      </c>
      <c r="D539" s="133">
        <v>0.39305555555555555</v>
      </c>
      <c r="E539" s="75">
        <v>0.40555555555555556</v>
      </c>
      <c r="F539" s="71">
        <f>HOUR(Tabla13[[#This Row],[Hora fin ]]-Tabla13[[#This Row],[Hora inicio]])+MINUTE(Tabla13[[#This Row],[Hora fin ]]-Tabla13[[#This Row],[Hora inicio]])/60</f>
        <v>0.3</v>
      </c>
      <c r="G539" s="60" t="s">
        <v>10</v>
      </c>
      <c r="H539" s="60" t="s">
        <v>26</v>
      </c>
      <c r="I539" s="60" t="s">
        <v>257</v>
      </c>
      <c r="J539" s="60" t="s">
        <v>285</v>
      </c>
      <c r="K539" s="58" t="s">
        <v>584</v>
      </c>
      <c r="L539" s="75"/>
    </row>
    <row r="540" spans="1:12" ht="30">
      <c r="A540" s="72">
        <v>46203</v>
      </c>
      <c r="B540" s="87" t="str">
        <f>IF(Tabla13[[#This Row],[Fecha]]="","",TEXT(Tabla13[[#This Row],[Fecha]],"aaaa"))</f>
        <v>martes</v>
      </c>
      <c r="C540" s="74" t="str">
        <f>IF(Tabla13[[#This Row],[Fecha]]="","",TEXT(Tabla13[[#This Row],[Fecha]],"mmmm"))</f>
        <v>junio</v>
      </c>
      <c r="D540" s="133">
        <v>0.45347222222222222</v>
      </c>
      <c r="E540" s="75">
        <v>0.57638888888888884</v>
      </c>
      <c r="F540" s="71">
        <f>HOUR(Tabla13[[#This Row],[Hora fin ]]-Tabla13[[#This Row],[Hora inicio]])+MINUTE(Tabla13[[#This Row],[Hora fin ]]-Tabla13[[#This Row],[Hora inicio]])/60</f>
        <v>2.95</v>
      </c>
      <c r="G540" s="60" t="s">
        <v>7</v>
      </c>
      <c r="H540" s="60" t="s">
        <v>23</v>
      </c>
      <c r="I540" s="60" t="s">
        <v>15</v>
      </c>
      <c r="J540" s="60" t="s">
        <v>282</v>
      </c>
      <c r="K540" s="58" t="s">
        <v>585</v>
      </c>
      <c r="L540" s="75"/>
    </row>
    <row r="541" spans="1:12" hidden="1">
      <c r="A541" s="72"/>
      <c r="B541" s="87" t="str">
        <f>IF(Tabla13[[#This Row],[Fecha]]="","",TEXT(Tabla13[[#This Row],[Fecha]],"aaaa"))</f>
        <v/>
      </c>
      <c r="C541" s="74" t="str">
        <f>IF(Tabla13[[#This Row],[Fecha]]="","",TEXT(Tabla13[[#This Row],[Fecha]],"mmmm"))</f>
        <v/>
      </c>
      <c r="D541" s="133"/>
      <c r="E541" s="75"/>
      <c r="F541" s="71">
        <f>HOUR(Tabla13[[#This Row],[Hora fin ]]-Tabla13[[#This Row],[Hora inicio]])+MINUTE(Tabla13[[#This Row],[Hora fin ]]-Tabla13[[#This Row],[Hora inicio]])/60</f>
        <v>0</v>
      </c>
      <c r="G541" s="60"/>
      <c r="H541" s="60"/>
      <c r="I541" s="60"/>
      <c r="J541" s="60"/>
      <c r="K541" s="58"/>
      <c r="L541" s="75"/>
    </row>
    <row r="542" spans="1:12" hidden="1">
      <c r="A542" s="72"/>
      <c r="B542" s="87" t="str">
        <f>IF(Tabla13[[#This Row],[Fecha]]="","",TEXT(Tabla13[[#This Row],[Fecha]],"aaaa"))</f>
        <v/>
      </c>
      <c r="C542" s="74" t="str">
        <f>IF(Tabla13[[#This Row],[Fecha]]="","",TEXT(Tabla13[[#This Row],[Fecha]],"mmmm"))</f>
        <v/>
      </c>
      <c r="D542" s="133"/>
      <c r="E542" s="75"/>
      <c r="F542" s="71">
        <f>HOUR(Tabla13[[#This Row],[Hora fin ]]-Tabla13[[#This Row],[Hora inicio]])+MINUTE(Tabla13[[#This Row],[Hora fin ]]-Tabla13[[#This Row],[Hora inicio]])/60</f>
        <v>0</v>
      </c>
      <c r="G542" s="60"/>
      <c r="H542" s="60"/>
      <c r="I542" s="60"/>
      <c r="J542" s="60"/>
      <c r="K542" s="58"/>
      <c r="L542" s="75"/>
    </row>
    <row r="543" spans="1:12" hidden="1">
      <c r="A543" s="72"/>
      <c r="B543" s="87" t="str">
        <f>IF(Tabla13[[#This Row],[Fecha]]="","",TEXT(Tabla13[[#This Row],[Fecha]],"aaaa"))</f>
        <v/>
      </c>
      <c r="C543" s="74" t="str">
        <f>IF(Tabla13[[#This Row],[Fecha]]="","",TEXT(Tabla13[[#This Row],[Fecha]],"mmmm"))</f>
        <v/>
      </c>
      <c r="D543" s="133"/>
      <c r="E543" s="75"/>
      <c r="F543" s="71">
        <f>HOUR(Tabla13[[#This Row],[Hora fin ]]-Tabla13[[#This Row],[Hora inicio]])+MINUTE(Tabla13[[#This Row],[Hora fin ]]-Tabla13[[#This Row],[Hora inicio]])/60</f>
        <v>0</v>
      </c>
      <c r="G543" s="60"/>
      <c r="H543" s="60"/>
      <c r="I543" s="60"/>
      <c r="J543" s="60"/>
      <c r="K543" s="58"/>
      <c r="L543" s="75"/>
    </row>
    <row r="544" spans="1:12" hidden="1">
      <c r="A544" s="72"/>
      <c r="B544" s="87" t="str">
        <f>IF(Tabla13[[#This Row],[Fecha]]="","",TEXT(Tabla13[[#This Row],[Fecha]],"aaaa"))</f>
        <v/>
      </c>
      <c r="C544" s="74" t="str">
        <f>IF(Tabla13[[#This Row],[Fecha]]="","",TEXT(Tabla13[[#This Row],[Fecha]],"mmmm"))</f>
        <v/>
      </c>
      <c r="D544" s="133"/>
      <c r="E544" s="75"/>
      <c r="F544" s="71">
        <f>HOUR(Tabla13[[#This Row],[Hora fin ]]-Tabla13[[#This Row],[Hora inicio]])+MINUTE(Tabla13[[#This Row],[Hora fin ]]-Tabla13[[#This Row],[Hora inicio]])/60</f>
        <v>0</v>
      </c>
      <c r="G544" s="60"/>
      <c r="H544" s="60"/>
      <c r="I544" s="60"/>
      <c r="J544" s="60"/>
      <c r="K544" s="58"/>
      <c r="L544" s="75"/>
    </row>
    <row r="545" spans="1:12" hidden="1">
      <c r="A545" s="72"/>
      <c r="B545" s="87" t="str">
        <f>IF(Tabla13[[#This Row],[Fecha]]="","",TEXT(Tabla13[[#This Row],[Fecha]],"aaaa"))</f>
        <v/>
      </c>
      <c r="C545" s="74" t="str">
        <f>IF(Tabla13[[#This Row],[Fecha]]="","",TEXT(Tabla13[[#This Row],[Fecha]],"mmmm"))</f>
        <v/>
      </c>
      <c r="D545" s="133"/>
      <c r="E545" s="75"/>
      <c r="F545" s="71">
        <f>HOUR(Tabla13[[#This Row],[Hora fin ]]-Tabla13[[#This Row],[Hora inicio]])+MINUTE(Tabla13[[#This Row],[Hora fin ]]-Tabla13[[#This Row],[Hora inicio]])/60</f>
        <v>0</v>
      </c>
      <c r="G545" s="60"/>
      <c r="H545" s="60"/>
      <c r="I545" s="60"/>
      <c r="J545" s="60"/>
      <c r="K545" s="58"/>
      <c r="L545" s="75"/>
    </row>
    <row r="546" spans="1:12" hidden="1">
      <c r="A546" s="72"/>
      <c r="B546" s="87" t="str">
        <f>IF(Tabla13[[#This Row],[Fecha]]="","",TEXT(Tabla13[[#This Row],[Fecha]],"aaaa"))</f>
        <v/>
      </c>
      <c r="C546" s="74" t="str">
        <f>IF(Tabla13[[#This Row],[Fecha]]="","",TEXT(Tabla13[[#This Row],[Fecha]],"mmmm"))</f>
        <v/>
      </c>
      <c r="D546" s="133"/>
      <c r="E546" s="75"/>
      <c r="F546" s="71">
        <f>HOUR(Tabla13[[#This Row],[Hora fin ]]-Tabla13[[#This Row],[Hora inicio]])+MINUTE(Tabla13[[#This Row],[Hora fin ]]-Tabla13[[#This Row],[Hora inicio]])/60</f>
        <v>0</v>
      </c>
      <c r="G546" s="60"/>
      <c r="H546" s="60"/>
      <c r="I546" s="60"/>
      <c r="J546" s="60"/>
      <c r="K546" s="58"/>
      <c r="L546" s="75"/>
    </row>
    <row r="547" spans="1:12">
      <c r="A547" s="72"/>
      <c r="B547" s="74"/>
      <c r="C547" s="72"/>
      <c r="D547" s="74"/>
    </row>
    <row r="548" spans="1:12">
      <c r="A548" s="72"/>
      <c r="B548" s="74"/>
      <c r="C548" s="72"/>
      <c r="D548" s="74"/>
    </row>
  </sheetData>
  <sheetProtection deleteRows="0"/>
  <mergeCells count="2">
    <mergeCell ref="A2:C4"/>
    <mergeCell ref="D2:K4"/>
  </mergeCells>
  <phoneticPr fontId="35" type="noConversion"/>
  <pageMargins left="0.7" right="0.7" top="0.75" bottom="0.75" header="0.3" footer="0.3"/>
  <pageSetup paperSize="11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9">
        <x14:dataValidation type="list" allowBlank="1" showInputMessage="1" showErrorMessage="1" xr:uid="{5A2DF510-9BC4-4340-84A8-4A6E1DBC44FA}">
          <x14:formula1>
            <xm:f>Listas!$D$2:$D$99</xm:f>
          </x14:formula1>
          <xm:sqref>J8:J13 J15:J30 J32 J49 J52:J53 J59 J61:J65 J67:J69 J71 J73 J75 J78 J85:J88 J96 J111 J119:J120 J123 J125 J129:J132 J140 J148 J150 J155:J158 J166 J168:J172 J182:J191 J179 J199:J200 J208:J209 J222 J231:J234 J244 J246:J249 J254:J255 J259:J260 J266 J288:J289 J296 J306 J357 J372 J421 J388 J434</xm:sqref>
        </x14:dataValidation>
        <x14:dataValidation type="list" allowBlank="1" showInputMessage="1" showErrorMessage="1" xr:uid="{E59934CA-39CE-4BD6-8850-C8139FBAD3DE}">
          <x14:formula1>
            <xm:f>Listas!$D$2:$D$100</xm:f>
          </x14:formula1>
          <xm:sqref>J14</xm:sqref>
        </x14:dataValidation>
        <x14:dataValidation type="list" allowBlank="1" showInputMessage="1" showErrorMessage="1" xr:uid="{EB351918-6C66-4DE1-875F-B9E39B6A5BFC}">
          <x14:formula1>
            <xm:f>Listas!$B$2:$B$17</xm:f>
          </x14:formula1>
          <xm:sqref>H277 H281 H299 H301 H303 H307 H311 H319 H325 H329 H333 H335 H338:H339 H341:H342 H346:H349 H364 H366 H368:H369 H371 H373 H375:H378 H394:H395 H397:H398 H403 H405:H408 H410:H411 H413 H415:H416 H385:H386 H389:H390 H422:H424 H427 H438:H439 H443:H447 H450 H461 H463 H478</xm:sqref>
        </x14:dataValidation>
        <x14:dataValidation type="list" allowBlank="1" showInputMessage="1" showErrorMessage="1" xr:uid="{9A7C40CD-752B-48C1-9719-96ABD8200D65}">
          <x14:formula1>
            <xm:f>Listas!$A$2:$A$6</xm:f>
          </x14:formula1>
          <xm:sqref>G477 G481 G483 G485:G486 G488:G493 G7:G475 G495:G501 G508 G506 G510:G532 G534:G538</xm:sqref>
        </x14:dataValidation>
        <x14:dataValidation type="list" allowBlank="1" showInputMessage="1" showErrorMessage="1" xr:uid="{4A0693FB-9F6C-4216-B924-DA3DF9AB4543}">
          <x14:formula1>
            <xm:f>Listas!$D$2:$D$142</xm:f>
          </x14:formula1>
          <xm:sqref>J7</xm:sqref>
        </x14:dataValidation>
        <x14:dataValidation type="list" allowBlank="1" showInputMessage="1" showErrorMessage="1" xr:uid="{AA7B9CB6-CFE0-4FDB-9066-C6415AE59647}">
          <x14:formula1>
            <xm:f>Listas!$D$2:$D$141</xm:f>
          </x14:formula1>
          <xm:sqref>J31 J33:J48 J50:J51 J54:J58 J60 J66 J70 J72 J74 J76:J77 J79:J84 J89:J91 J93:J95 J112:J117 J97:J110 J121:J122 J124 J126:J128 J133:J134 J136:J137 J139 J141:J147 J149 J151:J154 J159:J165 J167 J180:J181 J173:J178 J192:J198 J201:J207 J223:J230 J245 J261:J265 J290:J295 J297:J305 J210:J221 J235:J243 J250:J253 J256:J258 J267:J287 J307:J356 J389:J420 J373:J387 J358:J371 J422:J433 J475 J477 J481 J483:J486 J488:J491 J479 J435:J471 J495:J496 J498:J501 J510 J515 J517 J519:J520 J523:J538</xm:sqref>
        </x14:dataValidation>
        <x14:dataValidation type="list" allowBlank="1" showInputMessage="1" showErrorMessage="1" xr:uid="{57F8B283-DCB2-492D-B62C-BA113E0FCE32}">
          <x14:formula1>
            <xm:f>Listas!$D$2:$D$140</xm:f>
          </x14:formula1>
          <xm:sqref>J118 J135 J138</xm:sqref>
        </x14:dataValidation>
        <x14:dataValidation type="list" allowBlank="1" showInputMessage="1" showErrorMessage="1" xr:uid="{97982438-2123-490B-887C-63875F476285}">
          <x14:formula1>
            <xm:f>Listas!$B$2:$B$18</xm:f>
          </x14:formula1>
          <xm:sqref>H7:H276 H278:H280 H282:H298 H300 H302 H304:H306 H308:H310 H312:H318 H320:H324 H326:H328 H330:H332 H334 H336:H337 H340 H343:H345 H428:H437 H365 H367 H370 H372 H374 H379:H384 H396 H399:H402 H404 H409 H412 H414 H417:H421 H387:H388 H391:H393 H425:H426 H350:H363 H440:H442 H448:H449 H451:H460 H462 H464:H477 H481 H483 H485:H486 H488:H491 H495:H496 H498:H501 H510 H517 H519:H520 H523:H532 H534:H538</xm:sqref>
        </x14:dataValidation>
        <x14:dataValidation type="list" allowBlank="1" showInputMessage="1" showErrorMessage="1" xr:uid="{C2F53AD7-2787-4272-B0CE-A88DAF8EA52C}">
          <x14:formula1>
            <xm:f>Listas!$C$2:$C$101</xm:f>
          </x14:formula1>
          <xm:sqref>I7:I546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3F38-34AE-48E9-9A6E-93D5396DAF56}">
  <dimension ref="A1:L55"/>
  <sheetViews>
    <sheetView workbookViewId="0">
      <selection activeCell="A3" sqref="A3:L55"/>
    </sheetView>
  </sheetViews>
  <sheetFormatPr baseColWidth="10" defaultRowHeight="14.4"/>
  <cols>
    <col min="1" max="3" width="11.6640625" bestFit="1" customWidth="1"/>
    <col min="4" max="5" width="12.6640625" bestFit="1" customWidth="1"/>
    <col min="6" max="6" width="20.44140625" bestFit="1" customWidth="1"/>
    <col min="7" max="7" width="13.5546875" bestFit="1" customWidth="1"/>
    <col min="8" max="8" width="24.21875" bestFit="1" customWidth="1"/>
    <col min="9" max="9" width="18.33203125" bestFit="1" customWidth="1"/>
    <col min="10" max="10" width="28" bestFit="1" customWidth="1"/>
    <col min="11" max="11" width="85.5546875" bestFit="1" customWidth="1"/>
    <col min="12" max="12" width="28.33203125" bestFit="1" customWidth="1"/>
  </cols>
  <sheetData>
    <row r="1" spans="1:12">
      <c r="A1" s="101" t="s">
        <v>593</v>
      </c>
    </row>
    <row r="3" spans="1:12">
      <c r="A3" t="s">
        <v>112</v>
      </c>
      <c r="B3" t="s">
        <v>398</v>
      </c>
      <c r="C3" t="s">
        <v>114</v>
      </c>
      <c r="D3" t="s">
        <v>115</v>
      </c>
      <c r="E3" t="s">
        <v>116</v>
      </c>
      <c r="F3" t="s">
        <v>117</v>
      </c>
      <c r="G3" t="s">
        <v>46</v>
      </c>
      <c r="H3" t="s">
        <v>47</v>
      </c>
      <c r="I3" t="s">
        <v>48</v>
      </c>
      <c r="J3" t="s">
        <v>49</v>
      </c>
      <c r="K3" t="s">
        <v>50</v>
      </c>
      <c r="L3" t="s">
        <v>118</v>
      </c>
    </row>
    <row r="4" spans="1:12">
      <c r="A4" s="178">
        <v>46188</v>
      </c>
      <c r="B4" t="s">
        <v>586</v>
      </c>
      <c r="C4" t="s">
        <v>83</v>
      </c>
      <c r="D4" s="179">
        <v>0.25</v>
      </c>
      <c r="E4" s="179">
        <v>0.66666666666666663</v>
      </c>
      <c r="F4">
        <v>10</v>
      </c>
      <c r="G4" t="s">
        <v>7</v>
      </c>
      <c r="H4" t="s">
        <v>16</v>
      </c>
      <c r="I4" t="s">
        <v>6</v>
      </c>
      <c r="J4" t="s">
        <v>16</v>
      </c>
      <c r="K4" t="s">
        <v>440</v>
      </c>
    </row>
    <row r="5" spans="1:12">
      <c r="A5" s="178">
        <v>46187</v>
      </c>
      <c r="B5" t="s">
        <v>587</v>
      </c>
      <c r="C5" t="s">
        <v>83</v>
      </c>
      <c r="D5" s="179">
        <v>0.25</v>
      </c>
      <c r="E5" s="179">
        <v>0.66666666666666663</v>
      </c>
      <c r="F5">
        <v>10</v>
      </c>
      <c r="G5" t="s">
        <v>7</v>
      </c>
      <c r="H5" t="s">
        <v>16</v>
      </c>
      <c r="I5" t="s">
        <v>6</v>
      </c>
      <c r="J5" t="s">
        <v>16</v>
      </c>
      <c r="K5" t="s">
        <v>440</v>
      </c>
    </row>
    <row r="6" spans="1:12">
      <c r="A6" s="178">
        <v>46182</v>
      </c>
      <c r="B6" t="s">
        <v>588</v>
      </c>
      <c r="C6" t="s">
        <v>83</v>
      </c>
      <c r="D6" s="179">
        <v>0.25</v>
      </c>
      <c r="E6" s="179">
        <v>0.75</v>
      </c>
      <c r="F6">
        <v>12</v>
      </c>
      <c r="G6" t="s">
        <v>7</v>
      </c>
      <c r="H6" t="s">
        <v>16</v>
      </c>
      <c r="I6" t="s">
        <v>6</v>
      </c>
      <c r="J6" t="s">
        <v>16</v>
      </c>
      <c r="K6" t="s">
        <v>440</v>
      </c>
    </row>
    <row r="7" spans="1:12">
      <c r="A7" s="178">
        <v>46181</v>
      </c>
      <c r="B7" t="s">
        <v>586</v>
      </c>
      <c r="C7" t="s">
        <v>83</v>
      </c>
      <c r="D7" s="179">
        <v>0.25</v>
      </c>
      <c r="E7" s="179">
        <v>0.75</v>
      </c>
      <c r="F7">
        <v>12</v>
      </c>
      <c r="G7" t="s">
        <v>7</v>
      </c>
      <c r="H7" t="s">
        <v>16</v>
      </c>
      <c r="I7" t="s">
        <v>6</v>
      </c>
      <c r="J7" t="s">
        <v>16</v>
      </c>
      <c r="K7" t="s">
        <v>440</v>
      </c>
    </row>
    <row r="8" spans="1:12">
      <c r="A8" s="178">
        <v>46180</v>
      </c>
      <c r="B8" t="s">
        <v>587</v>
      </c>
      <c r="C8" t="s">
        <v>83</v>
      </c>
      <c r="D8" s="179">
        <v>0.25</v>
      </c>
      <c r="E8" s="179">
        <v>0.75</v>
      </c>
      <c r="F8">
        <v>12</v>
      </c>
      <c r="G8" t="s">
        <v>7</v>
      </c>
      <c r="H8" t="s">
        <v>16</v>
      </c>
      <c r="I8" t="s">
        <v>6</v>
      </c>
      <c r="J8" t="s">
        <v>16</v>
      </c>
      <c r="K8" t="s">
        <v>440</v>
      </c>
    </row>
    <row r="9" spans="1:12">
      <c r="A9" s="178">
        <v>46179</v>
      </c>
      <c r="B9" t="s">
        <v>589</v>
      </c>
      <c r="C9" t="s">
        <v>83</v>
      </c>
      <c r="D9" s="179">
        <v>0.5</v>
      </c>
      <c r="E9" s="179">
        <v>0.75</v>
      </c>
      <c r="F9">
        <v>6</v>
      </c>
      <c r="G9" t="s">
        <v>7</v>
      </c>
      <c r="H9" t="s">
        <v>16</v>
      </c>
      <c r="I9" t="s">
        <v>6</v>
      </c>
      <c r="J9" t="s">
        <v>16</v>
      </c>
      <c r="K9" t="s">
        <v>440</v>
      </c>
    </row>
    <row r="10" spans="1:12">
      <c r="A10" s="178">
        <v>46192</v>
      </c>
      <c r="B10" t="s">
        <v>590</v>
      </c>
      <c r="C10" t="s">
        <v>83</v>
      </c>
      <c r="D10" s="179">
        <v>0.65</v>
      </c>
      <c r="E10" s="178">
        <v>1</v>
      </c>
      <c r="F10">
        <v>8.4</v>
      </c>
      <c r="G10" t="s">
        <v>10</v>
      </c>
      <c r="H10" t="s">
        <v>23</v>
      </c>
      <c r="I10" t="s">
        <v>17</v>
      </c>
      <c r="J10" t="s">
        <v>292</v>
      </c>
      <c r="K10" t="s">
        <v>582</v>
      </c>
    </row>
    <row r="11" spans="1:12">
      <c r="A11" s="178">
        <v>46190</v>
      </c>
      <c r="B11" t="s">
        <v>591</v>
      </c>
      <c r="C11" t="s">
        <v>83</v>
      </c>
      <c r="D11" s="179">
        <v>0.34791666666666665</v>
      </c>
      <c r="E11" s="179">
        <v>0.34930555555555554</v>
      </c>
      <c r="F11">
        <v>3.3333333333333333E-2</v>
      </c>
      <c r="G11" t="s">
        <v>4</v>
      </c>
      <c r="H11" t="s">
        <v>16</v>
      </c>
      <c r="I11" t="s">
        <v>17</v>
      </c>
      <c r="J11" t="s">
        <v>292</v>
      </c>
      <c r="K11" t="s">
        <v>580</v>
      </c>
    </row>
    <row r="12" spans="1:12">
      <c r="A12" s="178">
        <v>46178</v>
      </c>
      <c r="B12" t="s">
        <v>590</v>
      </c>
      <c r="C12" t="s">
        <v>83</v>
      </c>
      <c r="D12" s="179">
        <v>0.38263888888888886</v>
      </c>
      <c r="E12" s="179">
        <v>0.3923611111111111</v>
      </c>
      <c r="F12">
        <v>0.23333333333333334</v>
      </c>
      <c r="G12" t="s">
        <v>7</v>
      </c>
      <c r="H12" t="s">
        <v>16</v>
      </c>
      <c r="I12" t="s">
        <v>17</v>
      </c>
      <c r="J12" t="s">
        <v>292</v>
      </c>
      <c r="K12" t="s">
        <v>575</v>
      </c>
    </row>
    <row r="13" spans="1:12">
      <c r="A13" s="178">
        <v>46183</v>
      </c>
      <c r="B13" t="s">
        <v>591</v>
      </c>
      <c r="C13" t="s">
        <v>83</v>
      </c>
      <c r="D13" s="179">
        <v>0.53333333333333333</v>
      </c>
      <c r="E13" s="179">
        <v>0.57638888888888884</v>
      </c>
      <c r="F13">
        <v>1.0333333333333334</v>
      </c>
      <c r="G13" t="s">
        <v>10</v>
      </c>
      <c r="H13" t="s">
        <v>20</v>
      </c>
      <c r="I13" t="s">
        <v>258</v>
      </c>
      <c r="J13" t="s">
        <v>356</v>
      </c>
      <c r="K13" t="s">
        <v>579</v>
      </c>
    </row>
    <row r="14" spans="1:12">
      <c r="A14" s="178">
        <v>46178</v>
      </c>
      <c r="B14" t="s">
        <v>590</v>
      </c>
      <c r="C14" t="s">
        <v>83</v>
      </c>
      <c r="D14" s="179">
        <v>0.60902777777777772</v>
      </c>
      <c r="E14" s="179">
        <v>0.66388888888888886</v>
      </c>
      <c r="F14">
        <v>1.3166666666666667</v>
      </c>
      <c r="G14" t="s">
        <v>4</v>
      </c>
      <c r="H14" t="s">
        <v>20</v>
      </c>
      <c r="I14" t="s">
        <v>12</v>
      </c>
      <c r="J14" t="s">
        <v>270</v>
      </c>
      <c r="K14" t="s">
        <v>576</v>
      </c>
    </row>
    <row r="15" spans="1:12">
      <c r="A15" s="178">
        <v>46178</v>
      </c>
      <c r="B15" t="s">
        <v>590</v>
      </c>
      <c r="C15" t="s">
        <v>83</v>
      </c>
      <c r="D15" s="179">
        <v>0.42430555555555555</v>
      </c>
      <c r="E15" s="179">
        <v>0.45277777777777778</v>
      </c>
      <c r="F15">
        <v>0.68333333333333335</v>
      </c>
      <c r="G15" t="s">
        <v>10</v>
      </c>
      <c r="H15" t="s">
        <v>30</v>
      </c>
      <c r="I15" t="s">
        <v>12</v>
      </c>
      <c r="J15" t="s">
        <v>270</v>
      </c>
      <c r="K15" t="s">
        <v>401</v>
      </c>
    </row>
    <row r="16" spans="1:12">
      <c r="A16" s="178">
        <v>46178</v>
      </c>
      <c r="B16" t="s">
        <v>590</v>
      </c>
      <c r="C16" t="s">
        <v>83</v>
      </c>
      <c r="D16" s="179">
        <v>0.19027777777777777</v>
      </c>
      <c r="E16" s="179">
        <v>0.21875</v>
      </c>
      <c r="F16">
        <v>0.68333333333333335</v>
      </c>
      <c r="G16" t="s">
        <v>10</v>
      </c>
      <c r="H16" t="s">
        <v>30</v>
      </c>
      <c r="I16" t="s">
        <v>12</v>
      </c>
      <c r="J16" t="s">
        <v>270</v>
      </c>
      <c r="K16" t="s">
        <v>401</v>
      </c>
    </row>
    <row r="17" spans="1:11">
      <c r="A17" s="178">
        <v>46178</v>
      </c>
      <c r="B17" t="s">
        <v>590</v>
      </c>
      <c r="C17" t="s">
        <v>83</v>
      </c>
      <c r="D17" s="179">
        <v>0.11319444444444444</v>
      </c>
      <c r="E17" s="179">
        <v>0.1451388888888889</v>
      </c>
      <c r="F17">
        <v>0.76666666666666672</v>
      </c>
      <c r="G17" t="s">
        <v>10</v>
      </c>
      <c r="H17" t="s">
        <v>30</v>
      </c>
      <c r="I17" t="s">
        <v>12</v>
      </c>
      <c r="J17" t="s">
        <v>270</v>
      </c>
      <c r="K17" t="s">
        <v>401</v>
      </c>
    </row>
    <row r="18" spans="1:11">
      <c r="A18" s="178">
        <v>46177</v>
      </c>
      <c r="B18" t="s">
        <v>592</v>
      </c>
      <c r="C18" t="s">
        <v>83</v>
      </c>
      <c r="D18" s="179">
        <v>0.97013888888888888</v>
      </c>
      <c r="E18" s="179">
        <v>0.9916666666666667</v>
      </c>
      <c r="F18">
        <v>0.51666666666666672</v>
      </c>
      <c r="G18" t="s">
        <v>10</v>
      </c>
      <c r="H18" t="s">
        <v>30</v>
      </c>
      <c r="I18" t="s">
        <v>12</v>
      </c>
      <c r="J18" t="s">
        <v>270</v>
      </c>
      <c r="K18" t="s">
        <v>401</v>
      </c>
    </row>
    <row r="19" spans="1:11">
      <c r="A19" s="178">
        <v>46177</v>
      </c>
      <c r="B19" t="s">
        <v>592</v>
      </c>
      <c r="C19" t="s">
        <v>83</v>
      </c>
      <c r="D19" s="179">
        <v>0.62986111111111109</v>
      </c>
      <c r="E19" s="179">
        <v>0.65486111111111112</v>
      </c>
      <c r="F19">
        <v>0.6</v>
      </c>
      <c r="G19" t="s">
        <v>10</v>
      </c>
      <c r="H19" t="s">
        <v>30</v>
      </c>
      <c r="I19" t="s">
        <v>12</v>
      </c>
      <c r="J19" t="s">
        <v>270</v>
      </c>
      <c r="K19" t="s">
        <v>401</v>
      </c>
    </row>
    <row r="20" spans="1:11">
      <c r="A20" s="178">
        <v>46175</v>
      </c>
      <c r="B20" t="s">
        <v>588</v>
      </c>
      <c r="C20" t="s">
        <v>83</v>
      </c>
      <c r="D20" s="179">
        <v>0.91736111111111107</v>
      </c>
      <c r="E20" s="179">
        <v>0.93680555555555556</v>
      </c>
      <c r="F20">
        <v>0.46666666666666667</v>
      </c>
      <c r="G20" t="s">
        <v>10</v>
      </c>
      <c r="H20" t="s">
        <v>30</v>
      </c>
      <c r="I20" t="s">
        <v>12</v>
      </c>
      <c r="J20" t="s">
        <v>270</v>
      </c>
      <c r="K20" t="s">
        <v>401</v>
      </c>
    </row>
    <row r="21" spans="1:11">
      <c r="A21" s="178">
        <v>46203</v>
      </c>
      <c r="B21" t="s">
        <v>588</v>
      </c>
      <c r="C21" t="s">
        <v>83</v>
      </c>
      <c r="D21" s="179">
        <v>0.39305555555555555</v>
      </c>
      <c r="E21" s="179">
        <v>0.40555555555555556</v>
      </c>
      <c r="F21">
        <v>0.3</v>
      </c>
      <c r="G21" t="s">
        <v>10</v>
      </c>
      <c r="H21" t="s">
        <v>26</v>
      </c>
      <c r="I21" t="s">
        <v>257</v>
      </c>
      <c r="J21" t="s">
        <v>285</v>
      </c>
      <c r="K21" t="s">
        <v>584</v>
      </c>
    </row>
    <row r="22" spans="1:11">
      <c r="A22" s="178">
        <v>46178</v>
      </c>
      <c r="B22" t="s">
        <v>590</v>
      </c>
      <c r="C22" t="s">
        <v>83</v>
      </c>
      <c r="D22" s="179">
        <v>0.7006944444444444</v>
      </c>
      <c r="E22" s="179">
        <v>0.74652777777777779</v>
      </c>
      <c r="F22">
        <v>1.1000000000000001</v>
      </c>
      <c r="G22" t="s">
        <v>10</v>
      </c>
      <c r="H22" t="s">
        <v>26</v>
      </c>
      <c r="I22" t="s">
        <v>17</v>
      </c>
      <c r="J22" t="s">
        <v>290</v>
      </c>
      <c r="K22" t="s">
        <v>434</v>
      </c>
    </row>
    <row r="23" spans="1:11">
      <c r="A23" s="178">
        <v>46176</v>
      </c>
      <c r="B23" t="s">
        <v>591</v>
      </c>
      <c r="C23" t="s">
        <v>83</v>
      </c>
      <c r="D23" s="179">
        <v>0.44374999999999998</v>
      </c>
      <c r="E23" s="179">
        <v>0.49236111111111114</v>
      </c>
      <c r="F23">
        <v>1.1666666666666667</v>
      </c>
      <c r="G23" t="s">
        <v>10</v>
      </c>
      <c r="H23" t="s">
        <v>23</v>
      </c>
      <c r="I23" t="s">
        <v>17</v>
      </c>
      <c r="J23" t="s">
        <v>290</v>
      </c>
      <c r="K23" t="s">
        <v>517</v>
      </c>
    </row>
    <row r="24" spans="1:11">
      <c r="A24" s="178">
        <v>46175</v>
      </c>
      <c r="B24" t="s">
        <v>588</v>
      </c>
      <c r="C24" t="s">
        <v>83</v>
      </c>
      <c r="D24" s="179">
        <v>0.49375000000000002</v>
      </c>
      <c r="E24" s="179">
        <v>0.50347222222222221</v>
      </c>
      <c r="F24">
        <v>0.23333333333333334</v>
      </c>
      <c r="G24" t="s">
        <v>10</v>
      </c>
      <c r="H24" t="s">
        <v>23</v>
      </c>
      <c r="I24" t="s">
        <v>17</v>
      </c>
      <c r="J24" t="s">
        <v>290</v>
      </c>
      <c r="K24" t="s">
        <v>517</v>
      </c>
    </row>
    <row r="25" spans="1:11">
      <c r="A25" s="178">
        <v>46192</v>
      </c>
      <c r="B25" t="s">
        <v>590</v>
      </c>
      <c r="C25" t="s">
        <v>83</v>
      </c>
      <c r="D25" s="179">
        <v>0.41666666666666669</v>
      </c>
      <c r="E25" s="179">
        <v>0.65</v>
      </c>
      <c r="F25">
        <v>5.6</v>
      </c>
      <c r="G25" t="s">
        <v>10</v>
      </c>
      <c r="H25" t="s">
        <v>23</v>
      </c>
      <c r="I25" t="s">
        <v>257</v>
      </c>
      <c r="J25" t="s">
        <v>287</v>
      </c>
      <c r="K25" t="s">
        <v>581</v>
      </c>
    </row>
    <row r="26" spans="1:11">
      <c r="A26" s="178">
        <v>46203</v>
      </c>
      <c r="B26" t="s">
        <v>588</v>
      </c>
      <c r="C26" t="s">
        <v>83</v>
      </c>
      <c r="D26" s="179">
        <v>0.25972222222222224</v>
      </c>
      <c r="E26" s="179">
        <v>0.26250000000000001</v>
      </c>
      <c r="F26">
        <v>6.6666666666666666E-2</v>
      </c>
      <c r="G26" t="s">
        <v>4</v>
      </c>
      <c r="H26" t="s">
        <v>5</v>
      </c>
      <c r="I26" t="s">
        <v>258</v>
      </c>
      <c r="J26" t="s">
        <v>359</v>
      </c>
      <c r="K26" t="s">
        <v>400</v>
      </c>
    </row>
    <row r="27" spans="1:11">
      <c r="A27" s="178">
        <v>46201</v>
      </c>
      <c r="B27" t="s">
        <v>587</v>
      </c>
      <c r="C27" t="s">
        <v>83</v>
      </c>
      <c r="D27" s="179">
        <v>0.1076388888888889</v>
      </c>
      <c r="E27" s="179">
        <v>0.11041666666666666</v>
      </c>
      <c r="F27">
        <v>6.6666666666666666E-2</v>
      </c>
      <c r="G27" t="s">
        <v>4</v>
      </c>
      <c r="H27" t="s">
        <v>5</v>
      </c>
      <c r="I27" t="s">
        <v>258</v>
      </c>
      <c r="J27" t="s">
        <v>359</v>
      </c>
      <c r="K27" t="s">
        <v>400</v>
      </c>
    </row>
    <row r="28" spans="1:11">
      <c r="A28" s="178">
        <v>46200</v>
      </c>
      <c r="B28" t="s">
        <v>589</v>
      </c>
      <c r="C28" t="s">
        <v>83</v>
      </c>
      <c r="D28" s="179">
        <v>0.39444444444444443</v>
      </c>
      <c r="E28" s="179">
        <v>0.3972222222222222</v>
      </c>
      <c r="F28">
        <v>6.6666666666666666E-2</v>
      </c>
      <c r="G28" t="s">
        <v>4</v>
      </c>
      <c r="H28" t="s">
        <v>5</v>
      </c>
      <c r="I28" t="s">
        <v>258</v>
      </c>
      <c r="J28" t="s">
        <v>359</v>
      </c>
      <c r="K28" t="s">
        <v>400</v>
      </c>
    </row>
    <row r="29" spans="1:11">
      <c r="A29" s="178">
        <v>46200</v>
      </c>
      <c r="B29" t="s">
        <v>589</v>
      </c>
      <c r="C29" t="s">
        <v>83</v>
      </c>
      <c r="D29" s="179">
        <v>0.11944444444444445</v>
      </c>
      <c r="E29" s="179">
        <v>0.12152777777777778</v>
      </c>
      <c r="F29">
        <v>0.05</v>
      </c>
      <c r="G29" t="s">
        <v>4</v>
      </c>
      <c r="H29" t="s">
        <v>5</v>
      </c>
      <c r="I29" t="s">
        <v>258</v>
      </c>
      <c r="J29" t="s">
        <v>359</v>
      </c>
      <c r="K29" t="s">
        <v>400</v>
      </c>
    </row>
    <row r="30" spans="1:11">
      <c r="A30" s="178">
        <v>46199</v>
      </c>
      <c r="B30" t="s">
        <v>590</v>
      </c>
      <c r="C30" t="s">
        <v>83</v>
      </c>
      <c r="D30" s="179">
        <v>0.94236111111111109</v>
      </c>
      <c r="E30" s="179">
        <v>0.94513888888888886</v>
      </c>
      <c r="F30">
        <v>6.6666666666666666E-2</v>
      </c>
      <c r="G30" t="s">
        <v>4</v>
      </c>
      <c r="H30" t="s">
        <v>5</v>
      </c>
      <c r="I30" t="s">
        <v>258</v>
      </c>
      <c r="J30" t="s">
        <v>359</v>
      </c>
      <c r="K30" t="s">
        <v>400</v>
      </c>
    </row>
    <row r="31" spans="1:11">
      <c r="A31" s="178">
        <v>46199</v>
      </c>
      <c r="B31" t="s">
        <v>590</v>
      </c>
      <c r="C31" t="s">
        <v>83</v>
      </c>
      <c r="D31" s="179">
        <v>0.47430555555555554</v>
      </c>
      <c r="E31" s="179">
        <v>0.47569444444444442</v>
      </c>
      <c r="F31">
        <v>3.3333333333333333E-2</v>
      </c>
      <c r="G31" t="s">
        <v>4</v>
      </c>
      <c r="H31" t="s">
        <v>5</v>
      </c>
      <c r="I31" t="s">
        <v>258</v>
      </c>
      <c r="J31" t="s">
        <v>359</v>
      </c>
      <c r="K31" t="s">
        <v>400</v>
      </c>
    </row>
    <row r="32" spans="1:11">
      <c r="A32" s="178">
        <v>46198</v>
      </c>
      <c r="B32" t="s">
        <v>592</v>
      </c>
      <c r="C32" t="s">
        <v>83</v>
      </c>
      <c r="D32" s="179">
        <v>0.44097222222222221</v>
      </c>
      <c r="E32" s="179">
        <v>0.44236111111111109</v>
      </c>
      <c r="F32">
        <v>3.3333333333333333E-2</v>
      </c>
      <c r="G32" t="s">
        <v>4</v>
      </c>
      <c r="H32" t="s">
        <v>5</v>
      </c>
      <c r="I32" t="s">
        <v>258</v>
      </c>
      <c r="J32" t="s">
        <v>359</v>
      </c>
      <c r="K32" t="s">
        <v>400</v>
      </c>
    </row>
    <row r="33" spans="1:11">
      <c r="A33" s="178">
        <v>46197</v>
      </c>
      <c r="B33" t="s">
        <v>591</v>
      </c>
      <c r="C33" t="s">
        <v>83</v>
      </c>
      <c r="D33" s="179">
        <v>0.43333333333333335</v>
      </c>
      <c r="E33" s="179">
        <v>0.43472222222222223</v>
      </c>
      <c r="F33">
        <v>3.3333333333333333E-2</v>
      </c>
      <c r="G33" t="s">
        <v>4</v>
      </c>
      <c r="H33" t="s">
        <v>5</v>
      </c>
      <c r="I33" t="s">
        <v>258</v>
      </c>
      <c r="J33" t="s">
        <v>359</v>
      </c>
      <c r="K33" t="s">
        <v>400</v>
      </c>
    </row>
    <row r="34" spans="1:11">
      <c r="A34" s="178">
        <v>46196</v>
      </c>
      <c r="B34" t="s">
        <v>588</v>
      </c>
      <c r="C34" t="s">
        <v>83</v>
      </c>
      <c r="D34" s="179">
        <v>0.37152777777777779</v>
      </c>
      <c r="E34" s="179">
        <v>0.37361111111111112</v>
      </c>
      <c r="F34">
        <v>0.05</v>
      </c>
      <c r="G34" t="s">
        <v>4</v>
      </c>
      <c r="H34" t="s">
        <v>5</v>
      </c>
      <c r="I34" t="s">
        <v>258</v>
      </c>
      <c r="J34" t="s">
        <v>359</v>
      </c>
      <c r="K34" t="s">
        <v>400</v>
      </c>
    </row>
    <row r="35" spans="1:11">
      <c r="A35" s="178">
        <v>46196</v>
      </c>
      <c r="B35" t="s">
        <v>588</v>
      </c>
      <c r="C35" t="s">
        <v>83</v>
      </c>
      <c r="D35" s="179">
        <v>5.486111111111111E-2</v>
      </c>
      <c r="E35" s="179">
        <v>5.6944444444444443E-2</v>
      </c>
      <c r="F35">
        <v>0.05</v>
      </c>
      <c r="G35" t="s">
        <v>4</v>
      </c>
      <c r="H35" t="s">
        <v>5</v>
      </c>
      <c r="I35" t="s">
        <v>258</v>
      </c>
      <c r="J35" t="s">
        <v>359</v>
      </c>
      <c r="K35" t="s">
        <v>400</v>
      </c>
    </row>
    <row r="36" spans="1:11">
      <c r="A36" s="178">
        <v>46195</v>
      </c>
      <c r="B36" t="s">
        <v>586</v>
      </c>
      <c r="C36" t="s">
        <v>83</v>
      </c>
      <c r="D36" s="179">
        <v>0.53263888888888888</v>
      </c>
      <c r="E36" s="179">
        <v>0.53402777777777777</v>
      </c>
      <c r="F36">
        <v>3.3333333333333333E-2</v>
      </c>
      <c r="G36" t="s">
        <v>4</v>
      </c>
      <c r="H36" t="s">
        <v>5</v>
      </c>
      <c r="I36" t="s">
        <v>258</v>
      </c>
      <c r="J36" t="s">
        <v>359</v>
      </c>
      <c r="K36" t="s">
        <v>400</v>
      </c>
    </row>
    <row r="37" spans="1:11">
      <c r="A37" s="178">
        <v>46191</v>
      </c>
      <c r="B37" t="s">
        <v>592</v>
      </c>
      <c r="C37" t="s">
        <v>83</v>
      </c>
      <c r="D37" s="179">
        <v>0.34375</v>
      </c>
      <c r="E37" s="179">
        <v>0.34583333333333333</v>
      </c>
      <c r="F37">
        <v>0.05</v>
      </c>
      <c r="G37" t="s">
        <v>4</v>
      </c>
      <c r="H37" t="s">
        <v>5</v>
      </c>
      <c r="I37" t="s">
        <v>258</v>
      </c>
      <c r="J37" t="s">
        <v>359</v>
      </c>
      <c r="K37" t="s">
        <v>400</v>
      </c>
    </row>
    <row r="38" spans="1:11">
      <c r="A38" s="178">
        <v>46186</v>
      </c>
      <c r="B38" t="s">
        <v>589</v>
      </c>
      <c r="C38" t="s">
        <v>83</v>
      </c>
      <c r="D38" s="179">
        <v>0.1701388888888889</v>
      </c>
      <c r="E38" s="179">
        <v>0.17291666666666666</v>
      </c>
      <c r="F38">
        <v>6.6666666666666666E-2</v>
      </c>
      <c r="G38" t="s">
        <v>4</v>
      </c>
      <c r="H38" t="s">
        <v>5</v>
      </c>
      <c r="I38" t="s">
        <v>258</v>
      </c>
      <c r="J38" t="s">
        <v>359</v>
      </c>
      <c r="K38" t="s">
        <v>400</v>
      </c>
    </row>
    <row r="39" spans="1:11">
      <c r="A39" s="178">
        <v>46184</v>
      </c>
      <c r="B39" t="s">
        <v>592</v>
      </c>
      <c r="C39" t="s">
        <v>83</v>
      </c>
      <c r="D39" s="179">
        <v>6.5277777777777782E-2</v>
      </c>
      <c r="E39" s="179">
        <v>6.8750000000000006E-2</v>
      </c>
      <c r="F39">
        <v>8.3333333333333329E-2</v>
      </c>
      <c r="G39" t="s">
        <v>4</v>
      </c>
      <c r="H39" t="s">
        <v>5</v>
      </c>
      <c r="I39" t="s">
        <v>258</v>
      </c>
      <c r="J39" t="s">
        <v>359</v>
      </c>
      <c r="K39" t="s">
        <v>400</v>
      </c>
    </row>
    <row r="40" spans="1:11">
      <c r="A40" s="178">
        <v>46183</v>
      </c>
      <c r="B40" t="s">
        <v>591</v>
      </c>
      <c r="C40" t="s">
        <v>83</v>
      </c>
      <c r="D40" s="179">
        <v>0.34027777777777779</v>
      </c>
      <c r="E40" s="179">
        <v>0.34513888888888888</v>
      </c>
      <c r="F40">
        <v>0.11666666666666667</v>
      </c>
      <c r="G40" t="s">
        <v>4</v>
      </c>
      <c r="H40" t="s">
        <v>5</v>
      </c>
      <c r="I40" t="s">
        <v>258</v>
      </c>
      <c r="J40" t="s">
        <v>359</v>
      </c>
      <c r="K40" t="s">
        <v>400</v>
      </c>
    </row>
    <row r="41" spans="1:11">
      <c r="A41" s="178">
        <v>46183</v>
      </c>
      <c r="B41" t="s">
        <v>591</v>
      </c>
      <c r="C41" t="s">
        <v>83</v>
      </c>
      <c r="D41" s="179">
        <v>0.33263888888888887</v>
      </c>
      <c r="E41" s="179">
        <v>0.33541666666666664</v>
      </c>
      <c r="F41">
        <v>6.6666666666666666E-2</v>
      </c>
      <c r="G41" t="s">
        <v>10</v>
      </c>
      <c r="H41" t="s">
        <v>20</v>
      </c>
      <c r="I41" t="s">
        <v>6</v>
      </c>
      <c r="J41" t="s">
        <v>359</v>
      </c>
      <c r="K41" t="s">
        <v>578</v>
      </c>
    </row>
    <row r="42" spans="1:11">
      <c r="A42" s="178">
        <v>46179</v>
      </c>
      <c r="B42" t="s">
        <v>589</v>
      </c>
      <c r="C42" t="s">
        <v>83</v>
      </c>
      <c r="D42" s="179">
        <v>0.41944444444444445</v>
      </c>
      <c r="E42" s="179">
        <v>0.4236111111111111</v>
      </c>
      <c r="F42">
        <v>0.1</v>
      </c>
      <c r="G42" t="s">
        <v>4</v>
      </c>
      <c r="H42" t="s">
        <v>5</v>
      </c>
      <c r="I42" t="s">
        <v>258</v>
      </c>
      <c r="J42" t="s">
        <v>359</v>
      </c>
      <c r="K42" t="s">
        <v>400</v>
      </c>
    </row>
    <row r="43" spans="1:11">
      <c r="A43" s="178">
        <v>46177</v>
      </c>
      <c r="B43" t="s">
        <v>592</v>
      </c>
      <c r="C43" t="s">
        <v>83</v>
      </c>
      <c r="D43" s="179">
        <v>0.42499999999999999</v>
      </c>
      <c r="E43" s="179">
        <v>0.42777777777777776</v>
      </c>
      <c r="F43">
        <v>6.6666666666666666E-2</v>
      </c>
      <c r="G43" t="s">
        <v>4</v>
      </c>
      <c r="H43" t="s">
        <v>5</v>
      </c>
      <c r="I43" t="s">
        <v>258</v>
      </c>
      <c r="J43" t="s">
        <v>359</v>
      </c>
      <c r="K43" t="s">
        <v>400</v>
      </c>
    </row>
    <row r="44" spans="1:11">
      <c r="A44" s="178">
        <v>46177</v>
      </c>
      <c r="B44" t="s">
        <v>592</v>
      </c>
      <c r="C44" t="s">
        <v>83</v>
      </c>
      <c r="D44" s="179">
        <v>0.41111111111111109</v>
      </c>
      <c r="E44" s="179">
        <v>0.41388888888888886</v>
      </c>
      <c r="F44">
        <v>6.6666666666666666E-2</v>
      </c>
      <c r="G44" t="s">
        <v>4</v>
      </c>
      <c r="H44" t="s">
        <v>5</v>
      </c>
      <c r="I44" t="s">
        <v>258</v>
      </c>
      <c r="J44" t="s">
        <v>359</v>
      </c>
      <c r="K44" t="s">
        <v>400</v>
      </c>
    </row>
    <row r="45" spans="1:11">
      <c r="A45" s="178">
        <v>46177</v>
      </c>
      <c r="B45" t="s">
        <v>592</v>
      </c>
      <c r="C45" t="s">
        <v>83</v>
      </c>
      <c r="D45" s="179">
        <v>0.39791666666666664</v>
      </c>
      <c r="E45" s="179">
        <v>0.40069444444444446</v>
      </c>
      <c r="F45">
        <v>6.6666666666666666E-2</v>
      </c>
      <c r="G45" t="s">
        <v>4</v>
      </c>
      <c r="H45" t="s">
        <v>5</v>
      </c>
      <c r="I45" t="s">
        <v>258</v>
      </c>
      <c r="J45" t="s">
        <v>359</v>
      </c>
      <c r="K45" t="s">
        <v>400</v>
      </c>
    </row>
    <row r="46" spans="1:11">
      <c r="A46" s="178">
        <v>46176</v>
      </c>
      <c r="B46" t="s">
        <v>591</v>
      </c>
      <c r="C46" t="s">
        <v>83</v>
      </c>
      <c r="D46" s="179">
        <v>0.57013888888888886</v>
      </c>
      <c r="E46" s="179">
        <v>0.57152777777777775</v>
      </c>
      <c r="F46">
        <v>3.3333333333333333E-2</v>
      </c>
      <c r="G46" t="s">
        <v>4</v>
      </c>
      <c r="H46" t="s">
        <v>5</v>
      </c>
      <c r="I46" t="s">
        <v>258</v>
      </c>
      <c r="J46" t="s">
        <v>359</v>
      </c>
      <c r="K46" t="s">
        <v>400</v>
      </c>
    </row>
    <row r="47" spans="1:11">
      <c r="A47" s="178">
        <v>46176</v>
      </c>
      <c r="B47" t="s">
        <v>591</v>
      </c>
      <c r="C47" t="s">
        <v>83</v>
      </c>
      <c r="D47" s="179">
        <v>0.4</v>
      </c>
      <c r="E47" s="179">
        <v>0.40277777777777779</v>
      </c>
      <c r="F47">
        <v>6.6666666666666666E-2</v>
      </c>
      <c r="G47" t="s">
        <v>4</v>
      </c>
      <c r="H47" t="s">
        <v>5</v>
      </c>
      <c r="I47" t="s">
        <v>258</v>
      </c>
      <c r="J47" t="s">
        <v>359</v>
      </c>
      <c r="K47" t="s">
        <v>400</v>
      </c>
    </row>
    <row r="48" spans="1:11">
      <c r="A48" s="178">
        <v>46176</v>
      </c>
      <c r="B48" t="s">
        <v>591</v>
      </c>
      <c r="C48" t="s">
        <v>83</v>
      </c>
      <c r="D48" s="179">
        <v>3.1944444444444442E-2</v>
      </c>
      <c r="E48" s="179">
        <v>3.3333333333333333E-2</v>
      </c>
      <c r="F48">
        <v>3.3333333333333333E-2</v>
      </c>
      <c r="G48" t="s">
        <v>4</v>
      </c>
      <c r="H48" t="s">
        <v>5</v>
      </c>
      <c r="I48" t="s">
        <v>258</v>
      </c>
      <c r="J48" t="s">
        <v>359</v>
      </c>
      <c r="K48" t="s">
        <v>400</v>
      </c>
    </row>
    <row r="49" spans="1:11">
      <c r="A49" s="178">
        <v>46175</v>
      </c>
      <c r="B49" t="s">
        <v>588</v>
      </c>
      <c r="C49" t="s">
        <v>83</v>
      </c>
      <c r="D49" s="179">
        <v>0.47222222222222221</v>
      </c>
      <c r="E49" s="179">
        <v>0.47708333333333336</v>
      </c>
      <c r="F49">
        <v>0.11666666666666667</v>
      </c>
      <c r="G49" t="s">
        <v>4</v>
      </c>
      <c r="H49" t="s">
        <v>5</v>
      </c>
      <c r="I49" t="s">
        <v>258</v>
      </c>
      <c r="J49" t="s">
        <v>359</v>
      </c>
      <c r="K49" t="s">
        <v>400</v>
      </c>
    </row>
    <row r="50" spans="1:11">
      <c r="A50" s="178">
        <v>46175</v>
      </c>
      <c r="B50" t="s">
        <v>588</v>
      </c>
      <c r="C50" t="s">
        <v>83</v>
      </c>
      <c r="D50" s="179">
        <v>5.2777777777777778E-2</v>
      </c>
      <c r="E50" s="179">
        <v>5.486111111111111E-2</v>
      </c>
      <c r="F50">
        <v>0.05</v>
      </c>
      <c r="G50" t="s">
        <v>4</v>
      </c>
      <c r="H50" t="s">
        <v>5</v>
      </c>
      <c r="I50" t="s">
        <v>258</v>
      </c>
      <c r="J50" t="s">
        <v>359</v>
      </c>
      <c r="K50" t="s">
        <v>400</v>
      </c>
    </row>
    <row r="51" spans="1:11">
      <c r="A51" s="178">
        <v>46174</v>
      </c>
      <c r="B51" t="s">
        <v>586</v>
      </c>
      <c r="C51" t="s">
        <v>83</v>
      </c>
      <c r="D51" s="179">
        <v>0.76736111111111116</v>
      </c>
      <c r="E51" s="179">
        <v>0.76944444444444449</v>
      </c>
      <c r="F51">
        <v>0.05</v>
      </c>
      <c r="G51" t="s">
        <v>4</v>
      </c>
      <c r="H51" t="s">
        <v>5</v>
      </c>
      <c r="I51" t="s">
        <v>258</v>
      </c>
      <c r="J51" t="s">
        <v>359</v>
      </c>
      <c r="K51" t="s">
        <v>400</v>
      </c>
    </row>
    <row r="52" spans="1:11">
      <c r="A52" s="178">
        <v>46203</v>
      </c>
      <c r="B52" t="s">
        <v>588</v>
      </c>
      <c r="C52" t="s">
        <v>83</v>
      </c>
      <c r="D52" s="179">
        <v>0.45347222222222222</v>
      </c>
      <c r="E52" s="179">
        <v>0.57638888888888884</v>
      </c>
      <c r="F52">
        <v>2.95</v>
      </c>
      <c r="G52" t="s">
        <v>10</v>
      </c>
      <c r="H52" t="s">
        <v>23</v>
      </c>
      <c r="I52" t="s">
        <v>15</v>
      </c>
      <c r="J52" t="s">
        <v>282</v>
      </c>
      <c r="K52" t="s">
        <v>585</v>
      </c>
    </row>
    <row r="53" spans="1:11">
      <c r="A53" s="178">
        <v>46199</v>
      </c>
      <c r="B53" t="s">
        <v>590</v>
      </c>
      <c r="C53" t="s">
        <v>83</v>
      </c>
      <c r="D53" s="179">
        <v>0.81597222222222221</v>
      </c>
      <c r="E53" s="179">
        <v>0.91597222222222219</v>
      </c>
      <c r="F53">
        <v>2.4</v>
      </c>
      <c r="G53" t="s">
        <v>10</v>
      </c>
      <c r="H53" t="s">
        <v>26</v>
      </c>
      <c r="I53" t="s">
        <v>15</v>
      </c>
      <c r="J53" t="s">
        <v>282</v>
      </c>
      <c r="K53" t="s">
        <v>583</v>
      </c>
    </row>
    <row r="54" spans="1:11">
      <c r="A54" s="178">
        <v>46175</v>
      </c>
      <c r="B54" t="s">
        <v>588</v>
      </c>
      <c r="C54" t="s">
        <v>83</v>
      </c>
      <c r="D54" s="179">
        <v>0.90763888888888888</v>
      </c>
      <c r="E54" s="179">
        <v>0.91597222222222219</v>
      </c>
      <c r="F54">
        <v>0.2</v>
      </c>
      <c r="G54" t="s">
        <v>10</v>
      </c>
      <c r="H54" t="s">
        <v>26</v>
      </c>
      <c r="I54" t="s">
        <v>24</v>
      </c>
      <c r="J54" t="s">
        <v>329</v>
      </c>
      <c r="K54" t="s">
        <v>574</v>
      </c>
    </row>
    <row r="55" spans="1:11">
      <c r="A55" s="178">
        <v>46183</v>
      </c>
      <c r="B55" t="s">
        <v>591</v>
      </c>
      <c r="C55" t="s">
        <v>83</v>
      </c>
      <c r="D55" s="179">
        <v>0.26874999999999999</v>
      </c>
      <c r="E55" s="179">
        <v>0.29375000000000001</v>
      </c>
      <c r="F55">
        <v>0.6</v>
      </c>
      <c r="G55" t="s">
        <v>10</v>
      </c>
      <c r="H55" t="s">
        <v>23</v>
      </c>
      <c r="I55" t="s">
        <v>19</v>
      </c>
      <c r="J55" t="s">
        <v>316</v>
      </c>
      <c r="K55" t="s">
        <v>577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19E00-5EB0-4961-984A-73CA73BAED18}">
  <sheetPr>
    <tabColor rgb="FF00B0F0"/>
  </sheetPr>
  <dimension ref="A2:G58"/>
  <sheetViews>
    <sheetView topLeftCell="A3" zoomScale="60" zoomScaleNormal="60" workbookViewId="0">
      <selection activeCell="B58" sqref="B58"/>
    </sheetView>
  </sheetViews>
  <sheetFormatPr baseColWidth="10" defaultColWidth="11.44140625" defaultRowHeight="14.4"/>
  <cols>
    <col min="1" max="1" width="40.5546875" customWidth="1"/>
    <col min="2" max="2" width="32.6640625" customWidth="1"/>
    <col min="3" max="3" width="4.44140625" customWidth="1"/>
    <col min="4" max="4" width="25.5546875" bestFit="1" customWidth="1"/>
    <col min="5" max="5" width="16.44140625" customWidth="1"/>
    <col min="6" max="6" width="26.33203125" bestFit="1" customWidth="1"/>
    <col min="7" max="7" width="14" customWidth="1"/>
    <col min="8" max="8" width="17.109375" customWidth="1"/>
  </cols>
  <sheetData>
    <row r="2" spans="1:7" ht="15.6" customHeight="1">
      <c r="A2" s="142" t="e" vm="2">
        <v>#VALUE!</v>
      </c>
      <c r="B2" s="145" t="s">
        <v>397</v>
      </c>
      <c r="C2" s="146"/>
      <c r="D2" s="146"/>
      <c r="E2" s="147"/>
      <c r="F2" s="61" t="s">
        <v>41</v>
      </c>
    </row>
    <row r="3" spans="1:7" ht="15.6" customHeight="1">
      <c r="A3" s="143"/>
      <c r="B3" s="148"/>
      <c r="C3" s="149"/>
      <c r="D3" s="149"/>
      <c r="E3" s="150"/>
      <c r="F3" s="61" t="s">
        <v>42</v>
      </c>
    </row>
    <row r="4" spans="1:7" ht="48.6" customHeight="1">
      <c r="A4" s="144"/>
      <c r="B4" s="151"/>
      <c r="C4" s="152"/>
      <c r="D4" s="152"/>
      <c r="E4" s="153"/>
      <c r="F4" s="61" t="s">
        <v>43</v>
      </c>
    </row>
    <row r="6" spans="1:7" ht="15.6">
      <c r="A6" s="158" t="s">
        <v>123</v>
      </c>
      <c r="B6" s="160"/>
      <c r="D6" s="158" t="s">
        <v>124</v>
      </c>
      <c r="E6" s="159"/>
      <c r="F6" s="160"/>
    </row>
    <row r="7" spans="1:7" ht="15.6">
      <c r="A7" s="157"/>
      <c r="B7" s="157"/>
      <c r="D7" s="154" t="s">
        <v>125</v>
      </c>
      <c r="E7" s="155"/>
      <c r="F7" s="156"/>
    </row>
    <row r="8" spans="1:7" ht="15.6">
      <c r="D8" s="64" t="s">
        <v>113</v>
      </c>
      <c r="E8" s="64" t="s">
        <v>114</v>
      </c>
      <c r="F8" s="64" t="s">
        <v>127</v>
      </c>
    </row>
    <row r="9" spans="1:7" ht="15.6">
      <c r="A9" s="171" t="s">
        <v>114</v>
      </c>
      <c r="B9" s="172" t="s">
        <v>83</v>
      </c>
      <c r="D9" s="65">
        <v>2026</v>
      </c>
      <c r="E9" s="65">
        <v>6</v>
      </c>
      <c r="F9" s="65">
        <v>1</v>
      </c>
    </row>
    <row r="10" spans="1:7" ht="15.6">
      <c r="A10" s="171" t="s">
        <v>112</v>
      </c>
      <c r="B10" s="171" t="s">
        <v>126</v>
      </c>
      <c r="D10" s="154"/>
      <c r="E10" s="155"/>
      <c r="F10" s="156"/>
    </row>
    <row r="11" spans="1:7" ht="15.6">
      <c r="A11" s="62"/>
      <c r="B11" s="62"/>
      <c r="D11" s="64" t="s">
        <v>113</v>
      </c>
      <c r="E11" s="64" t="s">
        <v>114</v>
      </c>
      <c r="F11" s="64" t="s">
        <v>127</v>
      </c>
    </row>
    <row r="12" spans="1:7" ht="15.6">
      <c r="A12" s="173"/>
      <c r="B12" s="177" t="s">
        <v>128</v>
      </c>
      <c r="D12" s="65">
        <v>2026</v>
      </c>
      <c r="E12" s="65">
        <v>6</v>
      </c>
      <c r="F12" s="65">
        <v>30</v>
      </c>
    </row>
    <row r="13" spans="1:7" ht="15.6">
      <c r="A13" s="174" t="s">
        <v>16</v>
      </c>
      <c r="B13" s="175">
        <v>62</v>
      </c>
      <c r="D13" s="63"/>
      <c r="E13" s="63"/>
      <c r="F13" s="63"/>
    </row>
    <row r="14" spans="1:7" ht="15.6">
      <c r="A14" s="174" t="s">
        <v>292</v>
      </c>
      <c r="B14" s="175">
        <v>8.6666666666666661</v>
      </c>
      <c r="D14" s="70" t="s">
        <v>129</v>
      </c>
      <c r="E14" s="70" t="s">
        <v>130</v>
      </c>
      <c r="F14" s="70" t="s">
        <v>131</v>
      </c>
    </row>
    <row r="15" spans="1:7" ht="15.6">
      <c r="A15" s="174" t="s">
        <v>356</v>
      </c>
      <c r="B15" s="175">
        <v>1.0333333333333334</v>
      </c>
      <c r="D15" s="66" t="s">
        <v>4</v>
      </c>
      <c r="E15" s="85">
        <f>(SUMIFS('Registrio Paros'!F:F,'Registrio Paros'!A:A,"&gt;="&amp;DATE($D$9,$E$9,$F$9),'Registrio Paros'!G:G,'Resumen general'!D15)-SUMIFS('Registrio Paros'!F:F,'Registrio Paros'!A:A,"&gt;"&amp;DATE($D$12,$E$12,$F$12),'Registrio Paros'!G:G,'Resumen general'!D15))</f>
        <v>63.783333333333331</v>
      </c>
      <c r="F15" s="99">
        <f>E15/$E$23</f>
        <v>0.68682699210337395</v>
      </c>
      <c r="G15" t="s">
        <v>535</v>
      </c>
    </row>
    <row r="16" spans="1:7" ht="15.6">
      <c r="A16" s="174" t="s">
        <v>270</v>
      </c>
      <c r="B16" s="175">
        <v>5.0333333333333332</v>
      </c>
      <c r="D16" s="66" t="s">
        <v>7</v>
      </c>
      <c r="E16" s="85">
        <f>+E17+E18</f>
        <v>21.366666666666667</v>
      </c>
      <c r="F16" s="99">
        <f>E16/E23</f>
        <v>0.23007896625987076</v>
      </c>
      <c r="G16" t="s">
        <v>536</v>
      </c>
    </row>
    <row r="17" spans="1:7" ht="15.6">
      <c r="A17" s="174" t="s">
        <v>285</v>
      </c>
      <c r="B17" s="175">
        <v>0.3</v>
      </c>
      <c r="D17" s="96" t="s">
        <v>23</v>
      </c>
      <c r="E17" s="97">
        <f>(SUMIFS('Registrio Paros'!F:F,'Registrio Paros'!A:A,"&gt;="&amp;DATE($D$9,$E$9,$F$9),'Registrio Paros'!H:H,'Resumen general'!D17)-SUMIFS('Registrio Paros'!F:F,'Registrio Paros'!A:A,"&gt;"&amp;DATE($D$12,$E$12,$F$12),'Registrio Paros'!H:H,'Resumen general'!D17))</f>
        <v>18.95</v>
      </c>
      <c r="F17" s="99">
        <f>E17/$E$23</f>
        <v>0.20405599425699925</v>
      </c>
      <c r="G17" t="s">
        <v>252</v>
      </c>
    </row>
    <row r="18" spans="1:7" ht="15.6">
      <c r="A18" s="174" t="s">
        <v>290</v>
      </c>
      <c r="B18" s="175">
        <v>2.5</v>
      </c>
      <c r="D18" s="96" t="s">
        <v>20</v>
      </c>
      <c r="E18" s="97">
        <f>(SUMIFS('Registrio Paros'!F:F,'Registrio Paros'!A:A,"&gt;="&amp;DATE($D$9,$E$9,$F$9),'Registrio Paros'!H:H,'Resumen general'!D18)-SUMIFS('Registrio Paros'!F:F,'Registrio Paros'!A:A,"&gt;"&amp;DATE($D$12,$E$12,$F$12),'Registrio Paros'!H:H,'Resumen general'!D18))</f>
        <v>2.416666666666667</v>
      </c>
      <c r="F18" s="99">
        <f>E18/$E$23</f>
        <v>2.60229720028715E-2</v>
      </c>
      <c r="G18" t="s">
        <v>253</v>
      </c>
    </row>
    <row r="19" spans="1:7" ht="15.6">
      <c r="A19" s="174" t="s">
        <v>287</v>
      </c>
      <c r="B19" s="175">
        <v>5.6</v>
      </c>
      <c r="D19" s="66" t="s">
        <v>10</v>
      </c>
      <c r="E19" s="85">
        <f>(SUMIFS('Registrio Paros'!F:F,'Registrio Paros'!A:A,"&gt;="&amp;DATE($D$9,$E$9,$F$9),'Registrio Paros'!G:G,'Resumen general'!D19)-SUMIFS('Registrio Paros'!F:F,'Registrio Paros'!A:A,"&gt;"&amp;DATE($D$12,$E$12,$F$12),'Registrio Paros'!G:G,'Resumen general'!D19))</f>
        <v>7.7166666666666677</v>
      </c>
      <c r="F19" s="99">
        <f>E19/$E$23</f>
        <v>8.3094041636755211E-2</v>
      </c>
      <c r="G19" t="s">
        <v>10</v>
      </c>
    </row>
    <row r="20" spans="1:7" ht="15.6">
      <c r="A20" s="174" t="s">
        <v>359</v>
      </c>
      <c r="B20" s="175">
        <v>1.5833333333333337</v>
      </c>
      <c r="D20" s="66" t="s">
        <v>13</v>
      </c>
      <c r="E20" s="85">
        <f>(SUMIFS('Registrio Paros'!F:F,'Registrio Paros'!A:A,"&gt;="&amp;DATE($D$9,$E$9,$F$9),'Registrio Paros'!G:G,'Resumen general'!D20)-SUMIFS('Registrio Paros'!F:F,'Registrio Paros'!A:A,"&gt;"&amp;DATE($D$12,$E$12,$F$12),'Registrio Paros'!G:G,'Resumen general'!D20))</f>
        <v>0</v>
      </c>
      <c r="F20" s="99">
        <f>E20/E23</f>
        <v>0</v>
      </c>
      <c r="G20" t="s">
        <v>254</v>
      </c>
    </row>
    <row r="21" spans="1:7" ht="15.6">
      <c r="A21" s="174" t="s">
        <v>282</v>
      </c>
      <c r="B21" s="175">
        <v>5.35</v>
      </c>
      <c r="D21" s="96" t="s">
        <v>32</v>
      </c>
      <c r="E21" s="97">
        <f>(SUMIFS('Registrio Paros'!F:F,'Registrio Paros'!A:A,"&gt;="&amp;DATE($D$9,$E$9,$F$9),'Registrio Paros'!H:H,'Resumen general'!D21)-SUMIFS('Registrio Paros'!F:F,'Registrio Paros'!A:A,"&gt;"&amp;DATE($D$12,$E$12,$F$12),'Registrio Paros'!H:H,'Resumen general'!D21))</f>
        <v>0</v>
      </c>
      <c r="F21" s="99">
        <f>E21/E23</f>
        <v>0</v>
      </c>
      <c r="G21" t="s">
        <v>255</v>
      </c>
    </row>
    <row r="22" spans="1:7" ht="15.6">
      <c r="A22" s="174" t="s">
        <v>329</v>
      </c>
      <c r="B22" s="175">
        <v>0.2</v>
      </c>
      <c r="D22" s="96" t="s">
        <v>33</v>
      </c>
      <c r="E22" s="97">
        <f>(SUMIFS('Registrio Paros'!F:F,'Registrio Paros'!A:A,"&gt;="&amp;DATE($D$9,$E$9,$F$9),'Registrio Paros'!H:H,'Resumen general'!D22)-SUMIFS('Registrio Paros'!F:F,'Registrio Paros'!A:A,"&gt;"&amp;DATE($D$12,$E$12,$F$12),'Registrio Paros'!H:H,'Resumen general'!D22))</f>
        <v>0</v>
      </c>
      <c r="F22" s="99">
        <f>E22/E23</f>
        <v>0</v>
      </c>
      <c r="G22" t="s">
        <v>256</v>
      </c>
    </row>
    <row r="23" spans="1:7" ht="15.6">
      <c r="A23" s="174" t="s">
        <v>316</v>
      </c>
      <c r="B23" s="175">
        <v>0.6</v>
      </c>
      <c r="D23" s="68" t="s">
        <v>132</v>
      </c>
      <c r="E23" s="82">
        <f>E15+E16+E19+E20</f>
        <v>92.866666666666674</v>
      </c>
      <c r="F23" s="69">
        <f>SUM(F15+F16+F19+F20)</f>
        <v>1</v>
      </c>
    </row>
    <row r="24" spans="1:7" ht="15">
      <c r="A24" s="176" t="s">
        <v>99</v>
      </c>
      <c r="B24" s="180">
        <v>92.866666666666646</v>
      </c>
      <c r="D24" s="101"/>
      <c r="F24" s="100"/>
    </row>
    <row r="25" spans="1:7" ht="15.6">
      <c r="E25" s="98"/>
    </row>
    <row r="26" spans="1:7" ht="15.6">
      <c r="D26" s="41"/>
    </row>
    <row r="27" spans="1:7" ht="15.6">
      <c r="D27" s="41"/>
    </row>
    <row r="28" spans="1:7" ht="15"/>
    <row r="32" spans="1:7">
      <c r="E32" t="s">
        <v>120</v>
      </c>
    </row>
    <row r="36" spans="1:2" ht="15.6">
      <c r="A36" s="107" t="s">
        <v>429</v>
      </c>
      <c r="B36" s="108" t="s">
        <v>430</v>
      </c>
    </row>
    <row r="37" spans="1:2" ht="15.6">
      <c r="A37" s="174" t="s">
        <v>292</v>
      </c>
      <c r="B37" s="175">
        <v>8.6666666666666661</v>
      </c>
    </row>
    <row r="38" spans="1:2" ht="15.6">
      <c r="A38" s="174" t="s">
        <v>287</v>
      </c>
      <c r="B38" s="175">
        <v>5.6</v>
      </c>
    </row>
    <row r="39" spans="1:2" ht="15.6">
      <c r="A39" s="174" t="s">
        <v>282</v>
      </c>
      <c r="B39" s="175">
        <v>5.35</v>
      </c>
    </row>
    <row r="40" spans="1:2" ht="15.6">
      <c r="A40" s="174" t="s">
        <v>270</v>
      </c>
      <c r="B40" s="175">
        <v>5.0333333333333332</v>
      </c>
    </row>
    <row r="41" spans="1:2" ht="15.6">
      <c r="A41" s="174" t="s">
        <v>290</v>
      </c>
      <c r="B41" s="175">
        <v>2.5</v>
      </c>
    </row>
    <row r="42" spans="1:2" ht="15.6">
      <c r="A42" s="174" t="s">
        <v>359</v>
      </c>
      <c r="B42" s="175">
        <v>1.5833333333333337</v>
      </c>
    </row>
    <row r="43" spans="1:2" ht="15.6">
      <c r="A43" s="174" t="s">
        <v>356</v>
      </c>
      <c r="B43" s="175">
        <v>1.0333333333333334</v>
      </c>
    </row>
    <row r="44" spans="1:2" ht="15.6">
      <c r="A44" s="174" t="s">
        <v>316</v>
      </c>
      <c r="B44" s="175">
        <v>0.6</v>
      </c>
    </row>
    <row r="45" spans="1:2" ht="15.6">
      <c r="A45" s="174" t="s">
        <v>285</v>
      </c>
      <c r="B45" s="175">
        <v>0.3</v>
      </c>
    </row>
    <row r="46" spans="1:2" ht="15.6">
      <c r="A46" s="174" t="s">
        <v>329</v>
      </c>
      <c r="B46" s="175">
        <v>0.2</v>
      </c>
    </row>
    <row r="47" spans="1:2" ht="15.6">
      <c r="A47" s="109"/>
      <c r="B47" s="113"/>
    </row>
    <row r="48" spans="1:2" ht="15.6">
      <c r="A48" s="109"/>
      <c r="B48" s="113"/>
    </row>
    <row r="49" spans="1:2" ht="15.6">
      <c r="A49" s="109"/>
      <c r="B49" s="113"/>
    </row>
    <row r="50" spans="1:2" ht="15.6">
      <c r="A50" s="109"/>
      <c r="B50" s="113"/>
    </row>
    <row r="51" spans="1:2" ht="15.6">
      <c r="A51" s="109"/>
      <c r="B51" s="113"/>
    </row>
    <row r="52" spans="1:2" ht="15.6">
      <c r="A52" s="109"/>
      <c r="B52" s="113"/>
    </row>
    <row r="53" spans="1:2" ht="15.6">
      <c r="A53" s="109"/>
      <c r="B53" s="113"/>
    </row>
    <row r="54" spans="1:2" ht="15.6">
      <c r="A54" s="109"/>
      <c r="B54" s="113"/>
    </row>
    <row r="55" spans="1:2" ht="15.6">
      <c r="A55" s="109"/>
      <c r="B55" s="113"/>
    </row>
    <row r="56" spans="1:2" ht="15.6">
      <c r="A56" s="109"/>
      <c r="B56" s="110"/>
    </row>
    <row r="57" spans="1:2" ht="15.6">
      <c r="A57" s="111"/>
      <c r="B57" s="112"/>
    </row>
    <row r="58" spans="1:2" ht="15.6">
      <c r="A58" s="111" t="s">
        <v>514</v>
      </c>
      <c r="B58" s="112">
        <f>SUBTOTAL(109,Tabla1[HORAS])</f>
        <v>30.866666666666667</v>
      </c>
    </row>
  </sheetData>
  <sortState xmlns:xlrd2="http://schemas.microsoft.com/office/spreadsheetml/2017/richdata2" ref="A37:B48">
    <sortCondition descending="1" ref="B37:B48"/>
  </sortState>
  <mergeCells count="7">
    <mergeCell ref="A2:A4"/>
    <mergeCell ref="B2:E4"/>
    <mergeCell ref="D10:F10"/>
    <mergeCell ref="A7:B7"/>
    <mergeCell ref="D6:F6"/>
    <mergeCell ref="A6:B6"/>
    <mergeCell ref="D7:F7"/>
  </mergeCells>
  <phoneticPr fontId="35" type="noConversion"/>
  <pageMargins left="0.7" right="0.7" top="0.75" bottom="0.75" header="0.3" footer="0.3"/>
  <pageSetup paperSize="9" orientation="portrait" r:id="rId2"/>
  <drawing r:id="rId3"/>
  <legacyDrawing r:id="rId4"/>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36865F79-E1A3-4587-B998-69B45B4BEE8C}">
          <x14:formula1>
            <xm:f>Listas!$B$2:$B$17</xm:f>
          </x14:formula1>
          <xm:sqref>D21:D22 D17:D18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3499C-C48D-4100-AE39-CD4C9B15E6A5}">
  <sheetPr>
    <tabColor rgb="FFFFC000"/>
  </sheetPr>
  <dimension ref="A2:H25"/>
  <sheetViews>
    <sheetView topLeftCell="C1" workbookViewId="0">
      <selection activeCell="K22" sqref="K22"/>
    </sheetView>
  </sheetViews>
  <sheetFormatPr baseColWidth="10" defaultRowHeight="14.4"/>
  <cols>
    <col min="1" max="1" width="26.6640625" bestFit="1" customWidth="1"/>
    <col min="2" max="2" width="14.44140625" bestFit="1" customWidth="1"/>
    <col min="5" max="5" width="16.5546875" customWidth="1"/>
    <col min="7" max="7" width="52.5546875" customWidth="1"/>
    <col min="8" max="8" width="22.44140625" customWidth="1"/>
  </cols>
  <sheetData>
    <row r="2" spans="1:8" ht="23.4" customHeight="1">
      <c r="D2" s="161" t="s">
        <v>568</v>
      </c>
      <c r="E2" s="161"/>
      <c r="F2" s="161"/>
      <c r="G2" s="119" t="s">
        <v>565</v>
      </c>
      <c r="H2" s="167">
        <f>+B6/B11</f>
        <v>45.93333333333333</v>
      </c>
    </row>
    <row r="3" spans="1:8" ht="24" customHeight="1">
      <c r="D3" s="161"/>
      <c r="E3" s="161"/>
      <c r="F3" s="161"/>
      <c r="G3" s="119" t="s">
        <v>566</v>
      </c>
      <c r="H3" s="167"/>
    </row>
    <row r="5" spans="1:8" ht="31.2" customHeight="1">
      <c r="A5" s="120" t="s">
        <v>552</v>
      </c>
      <c r="B5" s="121">
        <v>452</v>
      </c>
    </row>
    <row r="6" spans="1:8" ht="24" customHeight="1">
      <c r="A6" s="114" t="s">
        <v>594</v>
      </c>
      <c r="B6" s="114">
        <v>413.4</v>
      </c>
    </row>
    <row r="7" spans="1:8">
      <c r="A7" s="114" t="s">
        <v>553</v>
      </c>
      <c r="B7" s="114">
        <v>10923.15</v>
      </c>
    </row>
    <row r="8" spans="1:8">
      <c r="A8" s="114" t="s">
        <v>554</v>
      </c>
      <c r="B8" s="114">
        <v>11293.26</v>
      </c>
    </row>
    <row r="9" spans="1:8">
      <c r="A9" s="114" t="s">
        <v>595</v>
      </c>
      <c r="B9" s="114">
        <f>+B8-B7</f>
        <v>370.11000000000058</v>
      </c>
    </row>
    <row r="10" spans="1:8">
      <c r="A10" s="114" t="s">
        <v>555</v>
      </c>
      <c r="B10" s="114">
        <f>+B5-B6</f>
        <v>38.600000000000023</v>
      </c>
    </row>
    <row r="11" spans="1:8">
      <c r="A11" s="114" t="s">
        <v>563</v>
      </c>
      <c r="B11" s="114">
        <v>9</v>
      </c>
    </row>
    <row r="12" spans="1:8">
      <c r="A12" s="114" t="s">
        <v>564</v>
      </c>
      <c r="B12" s="118">
        <f>100%-(B10/B5)</f>
        <v>0.91460176991150433</v>
      </c>
    </row>
    <row r="13" spans="1:8" ht="29.4" customHeight="1"/>
    <row r="14" spans="1:8" ht="31.2" customHeight="1"/>
    <row r="16" spans="1:8">
      <c r="A16" s="162"/>
      <c r="B16" s="162"/>
    </row>
    <row r="17" spans="1:2">
      <c r="A17" s="163" t="s">
        <v>555</v>
      </c>
      <c r="B17" s="164"/>
    </row>
    <row r="18" spans="1:2">
      <c r="A18" s="117" t="s">
        <v>561</v>
      </c>
      <c r="B18" s="117" t="s">
        <v>562</v>
      </c>
    </row>
    <row r="19" spans="1:2">
      <c r="A19" s="115" t="s">
        <v>400</v>
      </c>
      <c r="B19" s="116">
        <v>1.52</v>
      </c>
    </row>
    <row r="20" spans="1:2" ht="28.8">
      <c r="A20" s="115" t="s">
        <v>559</v>
      </c>
      <c r="B20" s="116">
        <v>8</v>
      </c>
    </row>
    <row r="21" spans="1:2">
      <c r="A21" s="114" t="s">
        <v>556</v>
      </c>
      <c r="B21" s="114">
        <v>2.42</v>
      </c>
    </row>
    <row r="22" spans="1:2">
      <c r="A22" s="114" t="s">
        <v>557</v>
      </c>
      <c r="B22" s="114">
        <v>18.95</v>
      </c>
    </row>
    <row r="23" spans="1:2">
      <c r="A23" s="114" t="s">
        <v>558</v>
      </c>
      <c r="B23" s="114">
        <v>4</v>
      </c>
    </row>
    <row r="24" spans="1:2">
      <c r="A24" s="114" t="s">
        <v>525</v>
      </c>
      <c r="B24" s="114">
        <v>3.72</v>
      </c>
    </row>
    <row r="25" spans="1:2">
      <c r="A25" s="117" t="s">
        <v>560</v>
      </c>
      <c r="B25" s="117">
        <f>SUM(B19:B24)</f>
        <v>38.61</v>
      </c>
    </row>
  </sheetData>
  <mergeCells count="4">
    <mergeCell ref="D2:F3"/>
    <mergeCell ref="A16:B16"/>
    <mergeCell ref="A17:B17"/>
    <mergeCell ref="H2:H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66B95-1AEA-4DAF-9802-9E6FAFEBE861}">
  <sheetPr>
    <tabColor rgb="FF92D050"/>
  </sheetPr>
  <dimension ref="B2:I26"/>
  <sheetViews>
    <sheetView tabSelected="1" topLeftCell="A5" zoomScale="60" zoomScaleNormal="60" workbookViewId="0">
      <selection activeCell="J14" sqref="J14"/>
    </sheetView>
  </sheetViews>
  <sheetFormatPr baseColWidth="10" defaultRowHeight="14.4"/>
  <cols>
    <col min="1" max="1" width="3.21875" customWidth="1"/>
    <col min="2" max="2" width="26.6640625" bestFit="1" customWidth="1"/>
    <col min="3" max="3" width="16.44140625" customWidth="1"/>
    <col min="5" max="5" width="32.109375" bestFit="1" customWidth="1"/>
    <col min="6" max="6" width="27" bestFit="1" customWidth="1"/>
    <col min="7" max="7" width="38.109375" bestFit="1" customWidth="1"/>
    <col min="8" max="8" width="43.33203125" bestFit="1" customWidth="1"/>
    <col min="9" max="9" width="63.109375" customWidth="1"/>
    <col min="10" max="10" width="26" bestFit="1" customWidth="1"/>
    <col min="11" max="11" width="30.6640625" bestFit="1" customWidth="1"/>
    <col min="12" max="12" width="25.33203125" bestFit="1" customWidth="1"/>
    <col min="13" max="13" width="9" bestFit="1" customWidth="1"/>
    <col min="14" max="14" width="14.5546875" bestFit="1" customWidth="1"/>
    <col min="15" max="15" width="38.88671875" bestFit="1" customWidth="1"/>
    <col min="16" max="16" width="11.88671875" bestFit="1" customWidth="1"/>
  </cols>
  <sheetData>
    <row r="2" spans="2:9" ht="46.2" customHeight="1">
      <c r="C2" s="166" t="s">
        <v>569</v>
      </c>
      <c r="D2" s="166"/>
      <c r="E2" s="166"/>
      <c r="F2" s="129" t="s">
        <v>567</v>
      </c>
      <c r="G2" s="184">
        <f>+(C21+C22)/C11</f>
        <v>2.3744444444444444</v>
      </c>
    </row>
    <row r="3" spans="2:9" ht="49.2" customHeight="1">
      <c r="C3" s="166"/>
      <c r="D3" s="166"/>
      <c r="E3" s="166"/>
      <c r="F3" s="130" t="s">
        <v>566</v>
      </c>
      <c r="G3" s="184"/>
    </row>
    <row r="5" spans="2:9" ht="28.8">
      <c r="B5" s="120" t="s">
        <v>552</v>
      </c>
      <c r="C5" s="121">
        <v>452</v>
      </c>
      <c r="E5" s="165" t="s">
        <v>567</v>
      </c>
      <c r="F5" s="165"/>
      <c r="G5" s="165"/>
      <c r="H5" s="165"/>
      <c r="I5" s="165"/>
    </row>
    <row r="6" spans="2:9" ht="15">
      <c r="B6" s="114" t="s">
        <v>594</v>
      </c>
      <c r="C6" s="114">
        <v>413.4</v>
      </c>
      <c r="E6" s="122" t="s">
        <v>570</v>
      </c>
      <c r="F6" s="122" t="s">
        <v>117</v>
      </c>
      <c r="G6" s="122" t="s">
        <v>49</v>
      </c>
      <c r="H6" s="123" t="s">
        <v>50</v>
      </c>
      <c r="I6" s="122" t="s">
        <v>573</v>
      </c>
    </row>
    <row r="7" spans="2:9" ht="48" customHeight="1">
      <c r="B7" s="114" t="s">
        <v>553</v>
      </c>
      <c r="C7" s="114">
        <v>10923.15</v>
      </c>
      <c r="E7" s="182" t="s">
        <v>571</v>
      </c>
      <c r="F7" s="125">
        <v>1.3166666666666667</v>
      </c>
      <c r="G7" s="181" t="s">
        <v>270</v>
      </c>
      <c r="H7" s="124" t="s">
        <v>576</v>
      </c>
      <c r="I7" s="115" t="s">
        <v>597</v>
      </c>
    </row>
    <row r="8" spans="2:9" ht="30">
      <c r="B8" s="114" t="s">
        <v>554</v>
      </c>
      <c r="C8" s="114">
        <v>11293.26</v>
      </c>
      <c r="E8" s="182" t="s">
        <v>571</v>
      </c>
      <c r="F8" s="125">
        <v>6.6666666666666666E-2</v>
      </c>
      <c r="G8" s="181" t="s">
        <v>359</v>
      </c>
      <c r="H8" s="124" t="s">
        <v>578</v>
      </c>
      <c r="I8" s="131" t="s">
        <v>598</v>
      </c>
    </row>
    <row r="9" spans="2:9" ht="30">
      <c r="B9" s="114" t="s">
        <v>595</v>
      </c>
      <c r="C9" s="114">
        <f>+C8-C7</f>
        <v>370.11000000000058</v>
      </c>
      <c r="E9" s="182" t="s">
        <v>571</v>
      </c>
      <c r="F9" s="125">
        <v>1.0333333333333334</v>
      </c>
      <c r="G9" s="181" t="s">
        <v>356</v>
      </c>
      <c r="H9" s="124" t="s">
        <v>579</v>
      </c>
      <c r="I9" s="131" t="s">
        <v>599</v>
      </c>
    </row>
    <row r="10" spans="2:9" ht="31.2">
      <c r="B10" s="114" t="s">
        <v>555</v>
      </c>
      <c r="C10" s="114">
        <f>+C5-C6</f>
        <v>38.600000000000023</v>
      </c>
      <c r="E10" s="183" t="s">
        <v>572</v>
      </c>
      <c r="F10" s="125">
        <v>1.4</v>
      </c>
      <c r="G10" s="181" t="s">
        <v>290</v>
      </c>
      <c r="H10" s="124" t="s">
        <v>517</v>
      </c>
      <c r="I10" s="132" t="s">
        <v>602</v>
      </c>
    </row>
    <row r="11" spans="2:9" ht="15.6">
      <c r="B11" s="114" t="s">
        <v>563</v>
      </c>
      <c r="C11" s="114">
        <v>9</v>
      </c>
      <c r="E11" s="183" t="s">
        <v>572</v>
      </c>
      <c r="F11" s="125">
        <v>0.6</v>
      </c>
      <c r="G11" s="181" t="s">
        <v>316</v>
      </c>
      <c r="H11" s="124" t="s">
        <v>577</v>
      </c>
      <c r="I11" s="132" t="s">
        <v>600</v>
      </c>
    </row>
    <row r="12" spans="2:9" ht="30">
      <c r="B12" s="114" t="s">
        <v>564</v>
      </c>
      <c r="C12" s="118">
        <f>100%-(C10/C5)</f>
        <v>0.91460176991150433</v>
      </c>
      <c r="E12" s="183" t="s">
        <v>572</v>
      </c>
      <c r="F12" s="125">
        <v>5.6</v>
      </c>
      <c r="G12" s="181" t="s">
        <v>287</v>
      </c>
      <c r="H12" s="124" t="s">
        <v>596</v>
      </c>
      <c r="I12" s="132" t="s">
        <v>601</v>
      </c>
    </row>
    <row r="13" spans="2:9" ht="31.2">
      <c r="E13" s="183" t="s">
        <v>572</v>
      </c>
      <c r="F13" s="125">
        <v>8.4</v>
      </c>
      <c r="G13" s="181" t="s">
        <v>292</v>
      </c>
      <c r="H13" s="124" t="s">
        <v>582</v>
      </c>
      <c r="I13" s="132" t="s">
        <v>603</v>
      </c>
    </row>
    <row r="14" spans="2:9" ht="31.2">
      <c r="E14" s="183" t="s">
        <v>572</v>
      </c>
      <c r="F14" s="125">
        <v>2.95</v>
      </c>
      <c r="G14" s="181" t="s">
        <v>282</v>
      </c>
      <c r="H14" s="124" t="s">
        <v>604</v>
      </c>
      <c r="I14" s="132" t="s">
        <v>605</v>
      </c>
    </row>
    <row r="15" spans="2:9" ht="31.8" customHeight="1">
      <c r="I15" t="s">
        <v>120</v>
      </c>
    </row>
    <row r="16" spans="2:9" ht="37.200000000000003" customHeight="1">
      <c r="B16" s="162"/>
      <c r="C16" s="162"/>
      <c r="E16" s="126" t="s">
        <v>128</v>
      </c>
      <c r="F16" s="126" t="s">
        <v>97</v>
      </c>
    </row>
    <row r="17" spans="2:8" ht="22.2" customHeight="1">
      <c r="B17" s="163" t="s">
        <v>555</v>
      </c>
      <c r="C17" s="164"/>
      <c r="E17" s="126" t="s">
        <v>98</v>
      </c>
      <c r="F17" t="s">
        <v>571</v>
      </c>
      <c r="G17" t="s">
        <v>572</v>
      </c>
      <c r="H17" t="s">
        <v>99</v>
      </c>
    </row>
    <row r="18" spans="2:8" ht="21.6" customHeight="1">
      <c r="B18" s="117" t="s">
        <v>561</v>
      </c>
      <c r="C18" s="117" t="s">
        <v>562</v>
      </c>
      <c r="E18" s="127" t="s">
        <v>292</v>
      </c>
      <c r="F18" s="128"/>
      <c r="G18" s="128">
        <v>8.4</v>
      </c>
      <c r="H18" s="128">
        <v>8.4</v>
      </c>
    </row>
    <row r="19" spans="2:8" ht="19.2" customHeight="1">
      <c r="B19" s="115" t="s">
        <v>400</v>
      </c>
      <c r="C19" s="116">
        <v>1.52</v>
      </c>
      <c r="E19" s="127" t="s">
        <v>287</v>
      </c>
      <c r="F19" s="128"/>
      <c r="G19" s="128">
        <v>5.6</v>
      </c>
      <c r="H19" s="128">
        <v>5.6</v>
      </c>
    </row>
    <row r="20" spans="2:8" ht="21" customHeight="1">
      <c r="B20" s="115" t="s">
        <v>559</v>
      </c>
      <c r="C20" s="116">
        <v>8</v>
      </c>
      <c r="E20" s="127" t="s">
        <v>282</v>
      </c>
      <c r="F20" s="128"/>
      <c r="G20" s="128">
        <v>2.95</v>
      </c>
      <c r="H20" s="128">
        <v>2.95</v>
      </c>
    </row>
    <row r="21" spans="2:8" ht="24.6" customHeight="1">
      <c r="B21" s="114" t="s">
        <v>556</v>
      </c>
      <c r="C21" s="114">
        <v>2.42</v>
      </c>
      <c r="E21" s="127" t="s">
        <v>290</v>
      </c>
      <c r="F21" s="128"/>
      <c r="G21" s="128">
        <v>1.4</v>
      </c>
      <c r="H21" s="128">
        <v>1.4</v>
      </c>
    </row>
    <row r="22" spans="2:8" ht="20.399999999999999" customHeight="1">
      <c r="B22" s="114" t="s">
        <v>557</v>
      </c>
      <c r="C22" s="114">
        <v>18.95</v>
      </c>
      <c r="E22" s="127" t="s">
        <v>316</v>
      </c>
      <c r="F22" s="128"/>
      <c r="G22" s="128">
        <v>0.6</v>
      </c>
      <c r="H22" s="128">
        <v>0.6</v>
      </c>
    </row>
    <row r="23" spans="2:8" ht="15" customHeight="1">
      <c r="B23" s="114" t="s">
        <v>558</v>
      </c>
      <c r="C23" s="114">
        <v>4</v>
      </c>
      <c r="E23" s="127" t="s">
        <v>270</v>
      </c>
      <c r="F23" s="128">
        <v>1.3166666666666667</v>
      </c>
      <c r="G23" s="128"/>
      <c r="H23" s="128">
        <v>1.3166666666666667</v>
      </c>
    </row>
    <row r="24" spans="2:8" ht="30" customHeight="1">
      <c r="B24" s="114" t="s">
        <v>525</v>
      </c>
      <c r="C24" s="114">
        <v>3.72</v>
      </c>
      <c r="E24" s="127" t="s">
        <v>359</v>
      </c>
      <c r="F24" s="128">
        <v>6.6666666666666666E-2</v>
      </c>
      <c r="G24" s="128"/>
      <c r="H24" s="128">
        <v>6.6666666666666666E-2</v>
      </c>
    </row>
    <row r="25" spans="2:8">
      <c r="B25" s="117" t="s">
        <v>560</v>
      </c>
      <c r="C25" s="117">
        <f>SUM(C19:C24)</f>
        <v>38.61</v>
      </c>
      <c r="E25" s="127" t="s">
        <v>356</v>
      </c>
      <c r="F25" s="128">
        <v>1.0333333333333334</v>
      </c>
      <c r="G25" s="128"/>
      <c r="H25" s="128">
        <v>1.0333333333333334</v>
      </c>
    </row>
    <row r="26" spans="2:8">
      <c r="E26" s="127" t="s">
        <v>99</v>
      </c>
      <c r="F26" s="128">
        <v>2.416666666666667</v>
      </c>
      <c r="G26" s="128">
        <v>18.950000000000003</v>
      </c>
      <c r="H26" s="128">
        <v>21.366666666666667</v>
      </c>
    </row>
  </sheetData>
  <mergeCells count="5">
    <mergeCell ref="B17:C17"/>
    <mergeCell ref="E5:I5"/>
    <mergeCell ref="C2:E3"/>
    <mergeCell ref="G2:G3"/>
    <mergeCell ref="B16:C16"/>
  </mergeCells>
  <pageMargins left="0.7" right="0.7" top="0.75" bottom="0.75" header="0.3" footer="0.3"/>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1E28B5EA-D550-4314-944F-A2F43055DFF0}">
          <x14:formula1>
            <xm:f>Listas!$D$2:$D$141</xm:f>
          </x14:formula1>
          <xm:sqref>G7:G9 G10:G11</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4FC8F-0BA9-4EA0-BB43-E059570766C6}">
  <sheetPr filterMode="1"/>
  <dimension ref="A2:D152"/>
  <sheetViews>
    <sheetView zoomScale="50" zoomScaleNormal="50" workbookViewId="0">
      <selection activeCell="C13" sqref="C13"/>
    </sheetView>
  </sheetViews>
  <sheetFormatPr baseColWidth="10" defaultColWidth="11.44140625" defaultRowHeight="14.4"/>
  <cols>
    <col min="1" max="1" width="4.44140625" customWidth="1"/>
    <col min="2" max="2" width="64.6640625" bestFit="1" customWidth="1"/>
    <col min="3" max="3" width="42.88671875" customWidth="1"/>
    <col min="4" max="4" width="41.88671875" customWidth="1"/>
    <col min="5" max="5" width="39.109375" customWidth="1"/>
    <col min="6" max="6" width="14" customWidth="1"/>
    <col min="7" max="7" width="17.109375" customWidth="1"/>
  </cols>
  <sheetData>
    <row r="2" spans="1:4" ht="15.6" customHeight="1">
      <c r="B2" s="135" t="e" vm="3">
        <v>#VALUE!</v>
      </c>
      <c r="C2" s="168" t="s">
        <v>133</v>
      </c>
      <c r="D2" s="61" t="s">
        <v>41</v>
      </c>
    </row>
    <row r="3" spans="1:4" ht="21.75" customHeight="1">
      <c r="A3" s="67"/>
      <c r="B3" s="135"/>
      <c r="C3" s="169"/>
      <c r="D3" s="61" t="s">
        <v>42</v>
      </c>
    </row>
    <row r="4" spans="1:4" ht="55.2" customHeight="1">
      <c r="A4" s="50"/>
      <c r="B4" s="135"/>
      <c r="C4" s="170"/>
      <c r="D4" s="61" t="s">
        <v>43</v>
      </c>
    </row>
    <row r="6" spans="1:4" ht="15.6">
      <c r="B6" s="158" t="s">
        <v>134</v>
      </c>
      <c r="C6" s="159"/>
      <c r="D6" s="160"/>
    </row>
    <row r="7" spans="1:4" ht="15.6">
      <c r="B7" s="154" t="s">
        <v>125</v>
      </c>
      <c r="C7" s="155"/>
      <c r="D7" s="156"/>
    </row>
    <row r="8" spans="1:4" ht="15.6">
      <c r="B8" s="64" t="s">
        <v>113</v>
      </c>
      <c r="C8" s="64" t="s">
        <v>114</v>
      </c>
      <c r="D8" s="64" t="s">
        <v>127</v>
      </c>
    </row>
    <row r="9" spans="1:4" ht="15">
      <c r="B9" s="65">
        <v>2026</v>
      </c>
      <c r="C9" s="65">
        <v>6</v>
      </c>
      <c r="D9" s="65">
        <v>1</v>
      </c>
    </row>
    <row r="10" spans="1:4" ht="15.6">
      <c r="B10" s="154" t="s">
        <v>135</v>
      </c>
      <c r="C10" s="155"/>
      <c r="D10" s="156"/>
    </row>
    <row r="11" spans="1:4" ht="15.6">
      <c r="B11" s="64" t="s">
        <v>113</v>
      </c>
      <c r="C11" s="64" t="s">
        <v>114</v>
      </c>
      <c r="D11" s="64" t="s">
        <v>127</v>
      </c>
    </row>
    <row r="12" spans="1:4" ht="15">
      <c r="B12" s="65">
        <v>2026</v>
      </c>
      <c r="C12" s="65">
        <v>6</v>
      </c>
      <c r="D12" s="65">
        <v>31</v>
      </c>
    </row>
    <row r="13" spans="1:4" ht="15">
      <c r="B13" s="63"/>
      <c r="C13" s="63"/>
      <c r="D13" s="63"/>
    </row>
    <row r="14" spans="1:4" ht="31.2">
      <c r="B14" s="70" t="s">
        <v>49</v>
      </c>
      <c r="C14" s="70" t="s">
        <v>130</v>
      </c>
      <c r="D14" s="70" t="s">
        <v>136</v>
      </c>
    </row>
    <row r="15" spans="1:4" ht="15.6" hidden="1">
      <c r="B15" s="86" t="str">
        <f>Listas!D2</f>
        <v>Nave esterilización</v>
      </c>
      <c r="C15" s="85">
        <f>(SUMIFS('Registrio Paros'!F:F,'Registrio Paros'!A:A,"&gt;="&amp;DATE($B$9,$C$9,$D$9),'Registrio Paros'!J:J,B15,'Registrio Paros'!G:G,"&lt;&gt;Programada")-SUMIFS('Registrio Paros'!F:F,'Registrio Paros'!A:A,"&gt;"&amp;DATE($B$12,$C$12,$D$12),'Registrio Paros'!J:J,B15,'Registrio Paros'!G:G,"&lt;&gt;Programada"))</f>
        <v>0</v>
      </c>
      <c r="D15" s="86">
        <f t="shared" ref="D15:D46" si="0">IFERROR(C15/SUM($C$15:$C$152),"")</f>
        <v>0</v>
      </c>
    </row>
    <row r="16" spans="1:4" ht="15.6" hidden="1">
      <c r="B16" s="86" t="str">
        <f>Listas!D3</f>
        <v>Nave central</v>
      </c>
      <c r="C16" s="85">
        <f>(SUMIFS('Registrio Paros'!F:F,'Registrio Paros'!A:A,"&gt;="&amp;DATE($B$9,$C$9,$D$9),'Registrio Paros'!J:J,B16,'Registrio Paros'!G:G,"&lt;&gt;Programada")-SUMIFS('Registrio Paros'!F:F,'Registrio Paros'!A:A,"&gt;"&amp;DATE($B$12,$C$12,$D$12),'Registrio Paros'!J:J,B16,'Registrio Paros'!G:G,"&lt;&gt;Programada"))</f>
        <v>0</v>
      </c>
      <c r="D16" s="86">
        <f t="shared" si="0"/>
        <v>0</v>
      </c>
    </row>
    <row r="17" spans="2:4" ht="15.6" hidden="1">
      <c r="B17" s="86" t="str">
        <f>Listas!D4</f>
        <v>Nave caldera</v>
      </c>
      <c r="C17" s="85">
        <f>(SUMIFS('Registrio Paros'!F:F,'Registrio Paros'!A:A,"&gt;="&amp;DATE($B$9,$C$9,$D$9),'Registrio Paros'!J:J,B17,'Registrio Paros'!G:G,"&lt;&gt;Programada")-SUMIFS('Registrio Paros'!F:F,'Registrio Paros'!A:A,"&gt;"&amp;DATE($B$12,$C$12,$D$12),'Registrio Paros'!J:J,B17,'Registrio Paros'!G:G,"&lt;&gt;Programada"))</f>
        <v>0</v>
      </c>
      <c r="D17" s="86">
        <f t="shared" si="0"/>
        <v>0</v>
      </c>
    </row>
    <row r="18" spans="2:4" ht="15.6" hidden="1">
      <c r="B18" s="86" t="str">
        <f>Listas!D5</f>
        <v>Nave CCM</v>
      </c>
      <c r="C18" s="85">
        <f>(SUMIFS('Registrio Paros'!F:F,'Registrio Paros'!A:A,"&gt;="&amp;DATE($B$9,$C$9,$D$9),'Registrio Paros'!J:J,B18,'Registrio Paros'!G:G,"&lt;&gt;Programada")-SUMIFS('Registrio Paros'!F:F,'Registrio Paros'!A:A,"&gt;"&amp;DATE($B$12,$C$12,$D$12),'Registrio Paros'!J:J,B18,'Registrio Paros'!G:G,"&lt;&gt;Programada"))</f>
        <v>0</v>
      </c>
      <c r="D18" s="86">
        <f t="shared" si="0"/>
        <v>0</v>
      </c>
    </row>
    <row r="19" spans="2:4" ht="15.6" hidden="1">
      <c r="B19" s="86" t="str">
        <f>Listas!D6</f>
        <v>Nave florentino</v>
      </c>
      <c r="C19" s="85">
        <f>(SUMIFS('Registrio Paros'!F:F,'Registrio Paros'!A:A,"&gt;="&amp;DATE($B$9,$C$9,$D$9),'Registrio Paros'!J:J,B19,'Registrio Paros'!G:G,"&lt;&gt;Programada")-SUMIFS('Registrio Paros'!F:F,'Registrio Paros'!A:A,"&gt;"&amp;DATE($B$12,$C$12,$D$12),'Registrio Paros'!J:J,B19,'Registrio Paros'!G:G,"&lt;&gt;Programada"))</f>
        <v>0</v>
      </c>
      <c r="D19" s="86">
        <f t="shared" si="0"/>
        <v>0</v>
      </c>
    </row>
    <row r="20" spans="2:4" ht="15.6" hidden="1">
      <c r="B20" s="86" t="str">
        <f>Listas!D7</f>
        <v>Comedor</v>
      </c>
      <c r="C20" s="85">
        <f>(SUMIFS('Registrio Paros'!F:F,'Registrio Paros'!A:A,"&gt;="&amp;DATE($B$9,$C$9,$D$9),'Registrio Paros'!J:J,B20,'Registrio Paros'!G:G,"&lt;&gt;Programada")-SUMIFS('Registrio Paros'!F:F,'Registrio Paros'!A:A,"&gt;"&amp;DATE($B$12,$C$12,$D$12),'Registrio Paros'!J:J,B20,'Registrio Paros'!G:G,"&lt;&gt;Programada"))</f>
        <v>0</v>
      </c>
      <c r="D20" s="86">
        <f t="shared" si="0"/>
        <v>0</v>
      </c>
    </row>
    <row r="21" spans="2:4" ht="15.6" hidden="1">
      <c r="B21" s="86" t="str">
        <f>Listas!D8</f>
        <v>Contenedor de Laboratorio</v>
      </c>
      <c r="C21" s="85">
        <f>(SUMIFS('Registrio Paros'!F:F,'Registrio Paros'!A:A,"&gt;="&amp;DATE($B$9,$C$9,$D$9),'Registrio Paros'!J:J,B21,'Registrio Paros'!G:G,"&lt;&gt;Programada")-SUMIFS('Registrio Paros'!F:F,'Registrio Paros'!A:A,"&gt;"&amp;DATE($B$12,$C$12,$D$12),'Registrio Paros'!J:J,B21,'Registrio Paros'!G:G,"&lt;&gt;Programada"))</f>
        <v>0</v>
      </c>
      <c r="D21" s="86">
        <f t="shared" si="0"/>
        <v>0</v>
      </c>
    </row>
    <row r="22" spans="2:4" ht="15.6">
      <c r="B22" s="86" t="str">
        <f>Listas!D9</f>
        <v>Unidad hidráulica tolva recepción</v>
      </c>
      <c r="C22" s="85">
        <f>(SUMIFS('Registrio Paros'!F:F,'Registrio Paros'!A:A,"&gt;="&amp;DATE($B$9,$C$9,$D$9),'Registrio Paros'!J:J,B22,'Registrio Paros'!G:G,"&lt;&gt;Programada")-SUMIFS('Registrio Paros'!F:F,'Registrio Paros'!A:A,"&gt;"&amp;DATE($B$12,$C$12,$D$12),'Registrio Paros'!J:J,B22,'Registrio Paros'!G:G,"&lt;&gt;Programada"))</f>
        <v>0</v>
      </c>
      <c r="D22" s="86">
        <f t="shared" si="0"/>
        <v>0</v>
      </c>
    </row>
    <row r="23" spans="2:4" ht="15.6" hidden="1">
      <c r="B23" s="86" t="str">
        <f>Listas!D10</f>
        <v xml:space="preserve">Redler #1 </v>
      </c>
      <c r="C23" s="85">
        <f>(SUMIFS('Registrio Paros'!F:F,'Registrio Paros'!A:A,"&gt;="&amp;DATE($B$9,$C$9,$D$9),'Registrio Paros'!J:J,B23,'Registrio Paros'!G:G,"&lt;&gt;Programada")-SUMIFS('Registrio Paros'!F:F,'Registrio Paros'!A:A,"&gt;"&amp;DATE($B$12,$C$12,$D$12),'Registrio Paros'!J:J,B23,'Registrio Paros'!G:G,"&lt;&gt;Programada"))</f>
        <v>0</v>
      </c>
      <c r="D23" s="86">
        <f t="shared" si="0"/>
        <v>0</v>
      </c>
    </row>
    <row r="24" spans="2:4" ht="15.6" hidden="1">
      <c r="B24" s="86" t="str">
        <f>Listas!D11</f>
        <v xml:space="preserve">Bomba Centrifuga del Foso de Tolvas </v>
      </c>
      <c r="C24" s="85">
        <f>(SUMIFS('Registrio Paros'!F:F,'Registrio Paros'!A:A,"&gt;="&amp;DATE($B$9,$C$9,$D$9),'Registrio Paros'!J:J,B24,'Registrio Paros'!G:G,"&lt;&gt;Programada")-SUMIFS('Registrio Paros'!F:F,'Registrio Paros'!A:A,"&gt;"&amp;DATE($B$12,$C$12,$D$12),'Registrio Paros'!J:J,B24,'Registrio Paros'!G:G,"&lt;&gt;Programada"))</f>
        <v>0</v>
      </c>
      <c r="D24" s="86">
        <f t="shared" si="0"/>
        <v>0</v>
      </c>
    </row>
    <row r="25" spans="2:4" ht="15.6">
      <c r="B25" s="86" t="str">
        <f>Listas!D12</f>
        <v>Redler #2 de Fruta a Esterilizadores</v>
      </c>
      <c r="C25" s="85">
        <f>(SUMIFS('Registrio Paros'!F:F,'Registrio Paros'!A:A,"&gt;="&amp;DATE($B$9,$C$9,$D$9),'Registrio Paros'!J:J,B25,'Registrio Paros'!G:G,"&lt;&gt;Programada")-SUMIFS('Registrio Paros'!F:F,'Registrio Paros'!A:A,"&gt;"&amp;DATE($B$12,$C$12,$D$12),'Registrio Paros'!J:J,B25,'Registrio Paros'!G:G,"&lt;&gt;Programada"))</f>
        <v>0</v>
      </c>
      <c r="D25" s="86">
        <f t="shared" si="0"/>
        <v>0</v>
      </c>
    </row>
    <row r="26" spans="2:4" ht="15.6">
      <c r="B26" s="86" t="str">
        <f>Listas!D13</f>
        <v>Esterilizador Oblicuo Automático</v>
      </c>
      <c r="C26" s="85">
        <f>(SUMIFS('Registrio Paros'!F:F,'Registrio Paros'!A:A,"&gt;="&amp;DATE($B$9,$C$9,$D$9),'Registrio Paros'!J:J,B26,'Registrio Paros'!G:G,"&lt;&gt;Programada")-SUMIFS('Registrio Paros'!F:F,'Registrio Paros'!A:A,"&gt;"&amp;DATE($B$12,$C$12,$D$12),'Registrio Paros'!J:J,B26,'Registrio Paros'!G:G,"&lt;&gt;Programada"))</f>
        <v>5.0333333333333332</v>
      </c>
      <c r="D26" s="86">
        <f t="shared" si="0"/>
        <v>0.17306590257879656</v>
      </c>
    </row>
    <row r="27" spans="2:4" ht="15.6" hidden="1">
      <c r="B27" s="86" t="str">
        <f>Listas!D14</f>
        <v>Unidad hidraulica llenado esterilizador</v>
      </c>
      <c r="C27" s="85">
        <f>(SUMIFS('Registrio Paros'!F:F,'Registrio Paros'!A:A,"&gt;="&amp;DATE($B$9,$C$9,$D$9),'Registrio Paros'!J:J,B27,'Registrio Paros'!G:G,"&lt;&gt;Programada")-SUMIFS('Registrio Paros'!F:F,'Registrio Paros'!A:A,"&gt;"&amp;DATE($B$12,$C$12,$D$12),'Registrio Paros'!J:J,B27,'Registrio Paros'!G:G,"&lt;&gt;Programada"))</f>
        <v>0</v>
      </c>
      <c r="D27" s="86">
        <f t="shared" si="0"/>
        <v>0</v>
      </c>
    </row>
    <row r="28" spans="2:4" ht="15.6" hidden="1">
      <c r="B28" s="86" t="str">
        <f>Listas!D15</f>
        <v>Unidad hidraulica descarga esterilizador</v>
      </c>
      <c r="C28" s="85">
        <f>(SUMIFS('Registrio Paros'!F:F,'Registrio Paros'!A:A,"&gt;="&amp;DATE($B$9,$C$9,$D$9),'Registrio Paros'!J:J,B28,'Registrio Paros'!G:G,"&lt;&gt;Programada")-SUMIFS('Registrio Paros'!F:F,'Registrio Paros'!A:A,"&gt;"&amp;DATE($B$12,$C$12,$D$12),'Registrio Paros'!J:J,B28,'Registrio Paros'!G:G,"&lt;&gt;Programada"))</f>
        <v>0</v>
      </c>
      <c r="D28" s="86">
        <f t="shared" si="0"/>
        <v>0</v>
      </c>
    </row>
    <row r="29" spans="2:4" ht="15.6" hidden="1">
      <c r="B29" s="86" t="str">
        <f>Listas!D16</f>
        <v>Tolva para Fruto Esterilizado Dosificador</v>
      </c>
      <c r="C29" s="85">
        <f>(SUMIFS('Registrio Paros'!F:F,'Registrio Paros'!A:A,"&gt;="&amp;DATE($B$9,$C$9,$D$9),'Registrio Paros'!J:J,B29,'Registrio Paros'!G:G,"&lt;&gt;Programada")-SUMIFS('Registrio Paros'!F:F,'Registrio Paros'!A:A,"&gt;"&amp;DATE($B$12,$C$12,$D$12),'Registrio Paros'!J:J,B29,'Registrio Paros'!G:G,"&lt;&gt;Programada"))</f>
        <v>0</v>
      </c>
      <c r="D29" s="86">
        <f t="shared" si="0"/>
        <v>0</v>
      </c>
    </row>
    <row r="30" spans="2:4" ht="15.6" hidden="1">
      <c r="B30" s="86" t="str">
        <f>Listas!D17</f>
        <v>Redler de Fruto Esterilizado</v>
      </c>
      <c r="C30" s="85">
        <f>(SUMIFS('Registrio Paros'!F:F,'Registrio Paros'!A:A,"&gt;="&amp;DATE($B$9,$C$9,$D$9),'Registrio Paros'!J:J,B30,'Registrio Paros'!G:G,"&lt;&gt;Programada")-SUMIFS('Registrio Paros'!F:F,'Registrio Paros'!A:A,"&gt;"&amp;DATE($B$12,$C$12,$D$12),'Registrio Paros'!J:J,B30,'Registrio Paros'!G:G,"&lt;&gt;Programada"))</f>
        <v>0</v>
      </c>
      <c r="D30" s="86">
        <f t="shared" si="0"/>
        <v>0</v>
      </c>
    </row>
    <row r="31" spans="2:4" ht="15.6" hidden="1">
      <c r="B31" s="86" t="str">
        <f>Listas!D18</f>
        <v>Bomba para Chimenea de Esterilización</v>
      </c>
      <c r="C31" s="85">
        <f>(SUMIFS('Registrio Paros'!F:F,'Registrio Paros'!A:A,"&gt;="&amp;DATE($B$9,$C$9,$D$9),'Registrio Paros'!J:J,B31,'Registrio Paros'!G:G,"&lt;&gt;Programada")-SUMIFS('Registrio Paros'!F:F,'Registrio Paros'!A:A,"&gt;"&amp;DATE($B$12,$C$12,$D$12),'Registrio Paros'!J:J,B31,'Registrio Paros'!G:G,"&lt;&gt;Programada"))</f>
        <v>0</v>
      </c>
      <c r="D31" s="86">
        <f t="shared" si="0"/>
        <v>0</v>
      </c>
    </row>
    <row r="32" spans="2:4" ht="15.6" hidden="1">
      <c r="B32" s="86" t="str">
        <f>Listas!D19</f>
        <v>Sensor de Presión Valvula de Alivio</v>
      </c>
      <c r="C32" s="85">
        <f>(SUMIFS('Registrio Paros'!F:F,'Registrio Paros'!A:A,"&gt;="&amp;DATE($B$9,$C$9,$D$9),'Registrio Paros'!J:J,B32,'Registrio Paros'!G:G,"&lt;&gt;Programada")-SUMIFS('Registrio Paros'!F:F,'Registrio Paros'!A:A,"&gt;"&amp;DATE($B$12,$C$12,$D$12),'Registrio Paros'!J:J,B32,'Registrio Paros'!G:G,"&lt;&gt;Programada"))</f>
        <v>0</v>
      </c>
      <c r="D32" s="86">
        <f t="shared" si="0"/>
        <v>0</v>
      </c>
    </row>
    <row r="33" spans="2:4" ht="15.6" hidden="1">
      <c r="B33" s="86" t="str">
        <f>Listas!D20</f>
        <v>Bomba Foso de Condensados del Esterilizador</v>
      </c>
      <c r="C33" s="85">
        <f>(SUMIFS('Registrio Paros'!F:F,'Registrio Paros'!A:A,"&gt;="&amp;DATE($B$9,$C$9,$D$9),'Registrio Paros'!J:J,B33,'Registrio Paros'!G:G,"&lt;&gt;Programada")-SUMIFS('Registrio Paros'!F:F,'Registrio Paros'!A:A,"&gt;"&amp;DATE($B$12,$C$12,$D$12),'Registrio Paros'!J:J,B33,'Registrio Paros'!G:G,"&lt;&gt;Programada"))</f>
        <v>0</v>
      </c>
      <c r="D33" s="86">
        <f t="shared" si="0"/>
        <v>0</v>
      </c>
    </row>
    <row r="34" spans="2:4" ht="15.6" hidden="1">
      <c r="B34" s="86" t="str">
        <f>Listas!D21</f>
        <v>Tapa Superior del Autoclave</v>
      </c>
      <c r="C34" s="85">
        <f>(SUMIFS('Registrio Paros'!F:F,'Registrio Paros'!A:A,"&gt;="&amp;DATE($B$9,$C$9,$D$9),'Registrio Paros'!J:J,B34,'Registrio Paros'!G:G,"&lt;&gt;Programada")-SUMIFS('Registrio Paros'!F:F,'Registrio Paros'!A:A,"&gt;"&amp;DATE($B$12,$C$12,$D$12),'Registrio Paros'!J:J,B34,'Registrio Paros'!G:G,"&lt;&gt;Programada"))</f>
        <v>0</v>
      </c>
      <c r="D34" s="86">
        <f t="shared" si="0"/>
        <v>0</v>
      </c>
    </row>
    <row r="35" spans="2:4" ht="15.6" hidden="1">
      <c r="B35" s="86" t="str">
        <f>Listas!D22</f>
        <v>Tapa Inferior del Autoclave</v>
      </c>
      <c r="C35" s="85">
        <f>(SUMIFS('Registrio Paros'!F:F,'Registrio Paros'!A:A,"&gt;="&amp;DATE($B$9,$C$9,$D$9),'Registrio Paros'!J:J,B35,'Registrio Paros'!G:G,"&lt;&gt;Programada")-SUMIFS('Registrio Paros'!F:F,'Registrio Paros'!A:A,"&gt;"&amp;DATE($B$12,$C$12,$D$12),'Registrio Paros'!J:J,B35,'Registrio Paros'!G:G,"&lt;&gt;Programada"))</f>
        <v>0</v>
      </c>
      <c r="D35" s="86">
        <f t="shared" si="0"/>
        <v>0</v>
      </c>
    </row>
    <row r="36" spans="2:4" ht="15.6" hidden="1">
      <c r="B36" s="86" t="str">
        <f>Listas!D23</f>
        <v>Dosificador de Fruto Cosido</v>
      </c>
      <c r="C36" s="85">
        <f>(SUMIFS('Registrio Paros'!F:F,'Registrio Paros'!A:A,"&gt;="&amp;DATE($B$9,$C$9,$D$9),'Registrio Paros'!J:J,B36,'Registrio Paros'!G:G,"&lt;&gt;Programada")-SUMIFS('Registrio Paros'!F:F,'Registrio Paros'!A:A,"&gt;"&amp;DATE($B$12,$C$12,$D$12),'Registrio Paros'!J:J,B36,'Registrio Paros'!G:G,"&lt;&gt;Programada"))</f>
        <v>0</v>
      </c>
      <c r="D36" s="86">
        <f t="shared" si="0"/>
        <v>0</v>
      </c>
    </row>
    <row r="37" spans="2:4" ht="15.6" hidden="1">
      <c r="B37" s="86" t="str">
        <f>Listas!D24</f>
        <v xml:space="preserve">Desfrutador Sin Eje </v>
      </c>
      <c r="C37" s="85">
        <f>(SUMIFS('Registrio Paros'!F:F,'Registrio Paros'!A:A,"&gt;="&amp;DATE($B$9,$C$9,$D$9),'Registrio Paros'!J:J,B37,'Registrio Paros'!G:G,"&lt;&gt;Programada")-SUMIFS('Registrio Paros'!F:F,'Registrio Paros'!A:A,"&gt;"&amp;DATE($B$12,$C$12,$D$12),'Registrio Paros'!J:J,B37,'Registrio Paros'!G:G,"&lt;&gt;Programada"))</f>
        <v>0</v>
      </c>
      <c r="D37" s="86">
        <f t="shared" si="0"/>
        <v>0</v>
      </c>
    </row>
    <row r="38" spans="2:4" ht="15.6" hidden="1">
      <c r="B38" s="86" t="str">
        <f>Listas!D25</f>
        <v>Sinfín para Fruto Suelto</v>
      </c>
      <c r="C38" s="85">
        <f>(SUMIFS('Registrio Paros'!F:F,'Registrio Paros'!A:A,"&gt;="&amp;DATE($B$9,$C$9,$D$9),'Registrio Paros'!J:J,B38,'Registrio Paros'!G:G,"&lt;&gt;Programada")-SUMIFS('Registrio Paros'!F:F,'Registrio Paros'!A:A,"&gt;"&amp;DATE($B$12,$C$12,$D$12),'Registrio Paros'!J:J,B38,'Registrio Paros'!G:G,"&lt;&gt;Programada"))</f>
        <v>5.35</v>
      </c>
      <c r="D38" s="86">
        <f t="shared" si="0"/>
        <v>0.1839541547277937</v>
      </c>
    </row>
    <row r="39" spans="2:4" ht="15.6" hidden="1">
      <c r="B39" s="86" t="str">
        <f>Listas!D26</f>
        <v>Hidroacople de Desfrutador</v>
      </c>
      <c r="C39" s="85">
        <f>(SUMIFS('Registrio Paros'!F:F,'Registrio Paros'!A:A,"&gt;="&amp;DATE($B$9,$C$9,$D$9),'Registrio Paros'!J:J,B39,'Registrio Paros'!G:G,"&lt;&gt;Programada")-SUMIFS('Registrio Paros'!F:F,'Registrio Paros'!A:A,"&gt;"&amp;DATE($B$12,$C$12,$D$12),'Registrio Paros'!J:J,B39,'Registrio Paros'!G:G,"&lt;&gt;Programada"))</f>
        <v>0</v>
      </c>
      <c r="D39" s="86">
        <f t="shared" si="0"/>
        <v>0</v>
      </c>
    </row>
    <row r="40" spans="2:4" ht="15.6" hidden="1">
      <c r="B40" s="86" t="str">
        <f>Listas!D27</f>
        <v>Motor de Desfrutador</v>
      </c>
      <c r="C40" s="85">
        <f>(SUMIFS('Registrio Paros'!F:F,'Registrio Paros'!A:A,"&gt;="&amp;DATE($B$9,$C$9,$D$9),'Registrio Paros'!J:J,B40,'Registrio Paros'!G:G,"&lt;&gt;Programada")-SUMIFS('Registrio Paros'!F:F,'Registrio Paros'!A:A,"&gt;"&amp;DATE($B$12,$C$12,$D$12),'Registrio Paros'!J:J,B40,'Registrio Paros'!G:G,"&lt;&gt;Programada"))</f>
        <v>0</v>
      </c>
      <c r="D40" s="86">
        <f t="shared" si="0"/>
        <v>0</v>
      </c>
    </row>
    <row r="41" spans="2:4" ht="15.6" hidden="1">
      <c r="B41" s="86" t="str">
        <f>Listas!D28</f>
        <v>Banda #1 para Racimos Vacíos</v>
      </c>
      <c r="C41" s="85">
        <f>(SUMIFS('Registrio Paros'!F:F,'Registrio Paros'!A:A,"&gt;="&amp;DATE($B$9,$C$9,$D$9),'Registrio Paros'!J:J,B41,'Registrio Paros'!G:G,"&lt;&gt;Programada")-SUMIFS('Registrio Paros'!F:F,'Registrio Paros'!A:A,"&gt;"&amp;DATE($B$12,$C$12,$D$12),'Registrio Paros'!J:J,B41,'Registrio Paros'!G:G,"&lt;&gt;Programada"))</f>
        <v>0.3</v>
      </c>
      <c r="D41" s="86">
        <f t="shared" si="0"/>
        <v>1.0315186246418338E-2</v>
      </c>
    </row>
    <row r="42" spans="2:4" ht="15.6" hidden="1">
      <c r="B42" s="86" t="str">
        <f>Listas!D29</f>
        <v>Crusher para Racimos Vacíos</v>
      </c>
      <c r="C42" s="85">
        <f>(SUMIFS('Registrio Paros'!F:F,'Registrio Paros'!A:A,"&gt;="&amp;DATE($B$9,$C$9,$D$9),'Registrio Paros'!J:J,B42,'Registrio Paros'!G:G,"&lt;&gt;Programada")-SUMIFS('Registrio Paros'!F:F,'Registrio Paros'!A:A,"&gt;"&amp;DATE($B$12,$C$12,$D$12),'Registrio Paros'!J:J,B42,'Registrio Paros'!G:G,"&lt;&gt;Programada"))</f>
        <v>0</v>
      </c>
      <c r="D42" s="86">
        <f t="shared" si="0"/>
        <v>0</v>
      </c>
    </row>
    <row r="43" spans="2:4" ht="15.6">
      <c r="B43" s="86" t="str">
        <f>Listas!D30</f>
        <v>Prensa para Racimos Vacíos</v>
      </c>
      <c r="C43" s="85">
        <f>(SUMIFS('Registrio Paros'!F:F,'Registrio Paros'!A:A,"&gt;="&amp;DATE($B$9,$C$9,$D$9),'Registrio Paros'!J:J,B43,'Registrio Paros'!G:G,"&lt;&gt;Programada")-SUMIFS('Registrio Paros'!F:F,'Registrio Paros'!A:A,"&gt;"&amp;DATE($B$12,$C$12,$D$12),'Registrio Paros'!J:J,B43,'Registrio Paros'!G:G,"&lt;&gt;Programada"))</f>
        <v>5.6</v>
      </c>
      <c r="D43" s="86">
        <f t="shared" si="0"/>
        <v>0.19255014326647565</v>
      </c>
    </row>
    <row r="44" spans="2:4" ht="15.6" hidden="1">
      <c r="B44" s="86" t="str">
        <f>Listas!D31</f>
        <v>Banda #2 Para Racimos Vacíos</v>
      </c>
      <c r="C44" s="85">
        <f>(SUMIFS('Registrio Paros'!F:F,'Registrio Paros'!A:A,"&gt;="&amp;DATE($B$9,$C$9,$D$9),'Registrio Paros'!J:J,B44,'Registrio Paros'!G:G,"&lt;&gt;Programada")-SUMIFS('Registrio Paros'!F:F,'Registrio Paros'!A:A,"&gt;"&amp;DATE($B$12,$C$12,$D$12),'Registrio Paros'!J:J,B44,'Registrio Paros'!G:G,"&lt;&gt;Programada"))</f>
        <v>0</v>
      </c>
      <c r="D44" s="86">
        <f t="shared" si="0"/>
        <v>0</v>
      </c>
    </row>
    <row r="45" spans="2:4" ht="15.6" hidden="1">
      <c r="B45" s="86" t="str">
        <f>Listas!D32</f>
        <v>Tamiz Circular en Acero Inoxidable</v>
      </c>
      <c r="C45" s="85">
        <f>(SUMIFS('Registrio Paros'!F:F,'Registrio Paros'!A:A,"&gt;="&amp;DATE($B$9,$C$9,$D$9),'Registrio Paros'!J:J,B45,'Registrio Paros'!G:G,"&lt;&gt;Programada")-SUMIFS('Registrio Paros'!F:F,'Registrio Paros'!A:A,"&gt;"&amp;DATE($B$12,$C$12,$D$12),'Registrio Paros'!J:J,B45,'Registrio Paros'!G:G,"&lt;&gt;Programada"))</f>
        <v>0</v>
      </c>
      <c r="D45" s="86">
        <f t="shared" si="0"/>
        <v>0</v>
      </c>
    </row>
    <row r="46" spans="2:4" ht="15.6">
      <c r="B46" s="86" t="str">
        <f>Listas!D33</f>
        <v>Elevador de Fruto</v>
      </c>
      <c r="C46" s="85">
        <f>(SUMIFS('Registrio Paros'!F:F,'Registrio Paros'!A:A,"&gt;="&amp;DATE($B$9,$C$9,$D$9),'Registrio Paros'!J:J,B46,'Registrio Paros'!G:G,"&lt;&gt;Programada")-SUMIFS('Registrio Paros'!F:F,'Registrio Paros'!A:A,"&gt;"&amp;DATE($B$12,$C$12,$D$12),'Registrio Paros'!J:J,B46,'Registrio Paros'!G:G,"&lt;&gt;Programada"))</f>
        <v>2.5</v>
      </c>
      <c r="D46" s="86">
        <f t="shared" si="0"/>
        <v>8.5959885386819493E-2</v>
      </c>
    </row>
    <row r="47" spans="2:4" ht="15.6" hidden="1">
      <c r="B47" s="86" t="str">
        <f>Listas!D34</f>
        <v>Digestor Vertical</v>
      </c>
      <c r="C47" s="85">
        <f>(SUMIFS('Registrio Paros'!F:F,'Registrio Paros'!A:A,"&gt;="&amp;DATE($B$9,$C$9,$D$9),'Registrio Paros'!J:J,B47,'Registrio Paros'!G:G,"&lt;&gt;Programada")-SUMIFS('Registrio Paros'!F:F,'Registrio Paros'!A:A,"&gt;"&amp;DATE($B$12,$C$12,$D$12),'Registrio Paros'!J:J,B47,'Registrio Paros'!G:G,"&lt;&gt;Programada"))</f>
        <v>0</v>
      </c>
      <c r="D47" s="86">
        <f t="shared" ref="D47:D78" si="1">IFERROR(C47/SUM($C$15:$C$152),"")</f>
        <v>0</v>
      </c>
    </row>
    <row r="48" spans="2:4" ht="15.6">
      <c r="B48" s="86" t="str">
        <f>Listas!D35</f>
        <v>Prensa de doble tornillo</v>
      </c>
      <c r="C48" s="85">
        <f>(SUMIFS('Registrio Paros'!F:F,'Registrio Paros'!A:A,"&gt;="&amp;DATE($B$9,$C$9,$D$9),'Registrio Paros'!J:J,B48,'Registrio Paros'!G:G,"&lt;&gt;Programada")-SUMIFS('Registrio Paros'!F:F,'Registrio Paros'!A:A,"&gt;"&amp;DATE($B$12,$C$12,$D$12),'Registrio Paros'!J:J,B48,'Registrio Paros'!G:G,"&lt;&gt;Programada"))</f>
        <v>8.4</v>
      </c>
      <c r="D48" s="86">
        <f t="shared" si="1"/>
        <v>0.28882521489971347</v>
      </c>
    </row>
    <row r="49" spans="2:4" ht="15.6" hidden="1">
      <c r="B49" s="86" t="str">
        <f>Listas!D36</f>
        <v>Tamiz circular aceite de prensas</v>
      </c>
      <c r="C49" s="85">
        <f>(SUMIFS('Registrio Paros'!F:F,'Registrio Paros'!A:A,"&gt;="&amp;DATE($B$9,$C$9,$D$9),'Registrio Paros'!J:J,B49,'Registrio Paros'!G:G,"&lt;&gt;Programada")-SUMIFS('Registrio Paros'!F:F,'Registrio Paros'!A:A,"&gt;"&amp;DATE($B$12,$C$12,$D$12),'Registrio Paros'!J:J,B49,'Registrio Paros'!G:G,"&lt;&gt;Programada"))</f>
        <v>0</v>
      </c>
      <c r="D49" s="86">
        <f t="shared" si="1"/>
        <v>0</v>
      </c>
    </row>
    <row r="50" spans="2:4" ht="15.6" hidden="1">
      <c r="B50" s="86" t="str">
        <f>Listas!D37</f>
        <v>Unidad hidráulica prensa P15</v>
      </c>
      <c r="C50" s="85">
        <f>(SUMIFS('Registrio Paros'!F:F,'Registrio Paros'!A:A,"&gt;="&amp;DATE($B$9,$C$9,$D$9),'Registrio Paros'!J:J,B50,'Registrio Paros'!G:G,"&lt;&gt;Programada")-SUMIFS('Registrio Paros'!F:F,'Registrio Paros'!A:A,"&gt;"&amp;DATE($B$12,$C$12,$D$12),'Registrio Paros'!J:J,B50,'Registrio Paros'!G:G,"&lt;&gt;Programada"))</f>
        <v>0</v>
      </c>
      <c r="D50" s="86">
        <f t="shared" si="1"/>
        <v>0</v>
      </c>
    </row>
    <row r="51" spans="2:4" ht="15.6" hidden="1">
      <c r="B51" s="86" t="str">
        <f>Listas!D38</f>
        <v>Bomba para Aceite del Preclarificador</v>
      </c>
      <c r="C51" s="85">
        <f>(SUMIFS('Registrio Paros'!F:F,'Registrio Paros'!A:A,"&gt;="&amp;DATE($B$9,$C$9,$D$9),'Registrio Paros'!J:J,B51,'Registrio Paros'!G:G,"&lt;&gt;Programada")-SUMIFS('Registrio Paros'!F:F,'Registrio Paros'!A:A,"&gt;"&amp;DATE($B$12,$C$12,$D$12),'Registrio Paros'!J:J,B51,'Registrio Paros'!G:G,"&lt;&gt;Programada"))</f>
        <v>0</v>
      </c>
      <c r="D51" s="86">
        <f t="shared" si="1"/>
        <v>0</v>
      </c>
    </row>
    <row r="52" spans="2:4" ht="15.6" hidden="1">
      <c r="B52" s="86" t="str">
        <f>Listas!D39</f>
        <v>Tanque Pulmon del Tricanter (Agitador)</v>
      </c>
      <c r="C52" s="85">
        <f>(SUMIFS('Registrio Paros'!F:F,'Registrio Paros'!A:A,"&gt;="&amp;DATE($B$9,$C$9,$D$9),'Registrio Paros'!J:J,B52,'Registrio Paros'!G:G,"&lt;&gt;Programada")-SUMIFS('Registrio Paros'!F:F,'Registrio Paros'!A:A,"&gt;"&amp;DATE($B$12,$C$12,$D$12),'Registrio Paros'!J:J,B52,'Registrio Paros'!G:G,"&lt;&gt;Programada"))</f>
        <v>0</v>
      </c>
      <c r="D52" s="86">
        <f t="shared" si="1"/>
        <v>0</v>
      </c>
    </row>
    <row r="53" spans="2:4" ht="15.6" hidden="1">
      <c r="B53" s="86" t="str">
        <f>Listas!D40</f>
        <v>Bomba para Lodos Aceitosos</v>
      </c>
      <c r="C53" s="85">
        <f>(SUMIFS('Registrio Paros'!F:F,'Registrio Paros'!A:A,"&gt;="&amp;DATE($B$9,$C$9,$D$9),'Registrio Paros'!J:J,B53,'Registrio Paros'!G:G,"&lt;&gt;Programada")-SUMIFS('Registrio Paros'!F:F,'Registrio Paros'!A:A,"&gt;"&amp;DATE($B$12,$C$12,$D$12),'Registrio Paros'!J:J,B53,'Registrio Paros'!G:G,"&lt;&gt;Programada"))</f>
        <v>0</v>
      </c>
      <c r="D53" s="86">
        <f t="shared" si="1"/>
        <v>0</v>
      </c>
    </row>
    <row r="54" spans="2:4" ht="15.6" hidden="1">
      <c r="B54" s="86" t="str">
        <f>Listas!D41</f>
        <v>Bomba Tanque de Lodos Desarenados. Segunda Etapa</v>
      </c>
      <c r="C54" s="85">
        <f>(SUMIFS('Registrio Paros'!F:F,'Registrio Paros'!A:A,"&gt;="&amp;DATE($B$9,$C$9,$D$9),'Registrio Paros'!J:J,B54,'Registrio Paros'!G:G,"&lt;&gt;Programada")-SUMIFS('Registrio Paros'!F:F,'Registrio Paros'!A:A,"&gt;"&amp;DATE($B$12,$C$12,$D$12),'Registrio Paros'!J:J,B54,'Registrio Paros'!G:G,"&lt;&gt;Programada"))</f>
        <v>0</v>
      </c>
      <c r="D54" s="86">
        <f t="shared" si="1"/>
        <v>0</v>
      </c>
    </row>
    <row r="55" spans="2:4" ht="15.6" hidden="1">
      <c r="B55" s="86" t="str">
        <f>Listas!D42</f>
        <v>Tricanter</v>
      </c>
      <c r="C55" s="85">
        <f>(SUMIFS('Registrio Paros'!F:F,'Registrio Paros'!A:A,"&gt;="&amp;DATE($B$9,$C$9,$D$9),'Registrio Paros'!J:J,B55,'Registrio Paros'!G:G,"&lt;&gt;Programada")-SUMIFS('Registrio Paros'!F:F,'Registrio Paros'!A:A,"&gt;"&amp;DATE($B$12,$C$12,$D$12),'Registrio Paros'!J:J,B55,'Registrio Paros'!G:G,"&lt;&gt;Programada"))</f>
        <v>0</v>
      </c>
      <c r="D55" s="86">
        <f t="shared" si="1"/>
        <v>0</v>
      </c>
    </row>
    <row r="56" spans="2:4" ht="15.6" hidden="1">
      <c r="B56" s="86" t="str">
        <f>Listas!D43</f>
        <v>Sinfin de Sólidos Paleables del Tricanter</v>
      </c>
      <c r="C56" s="85">
        <f>(SUMIFS('Registrio Paros'!F:F,'Registrio Paros'!A:A,"&gt;="&amp;DATE($B$9,$C$9,$D$9),'Registrio Paros'!J:J,B56,'Registrio Paros'!G:G,"&lt;&gt;Programada")-SUMIFS('Registrio Paros'!F:F,'Registrio Paros'!A:A,"&gt;"&amp;DATE($B$12,$C$12,$D$12),'Registrio Paros'!J:J,B56,'Registrio Paros'!G:G,"&lt;&gt;Programada"))</f>
        <v>0</v>
      </c>
      <c r="D56" s="86">
        <f t="shared" si="1"/>
        <v>0</v>
      </c>
    </row>
    <row r="57" spans="2:4" ht="15.6" hidden="1">
      <c r="B57" s="86" t="str">
        <f>Listas!D44</f>
        <v>Bomba de Aceite a Sistema de Secado</v>
      </c>
      <c r="C57" s="85">
        <f>(SUMIFS('Registrio Paros'!F:F,'Registrio Paros'!A:A,"&gt;="&amp;DATE($B$9,$C$9,$D$9),'Registrio Paros'!J:J,B57,'Registrio Paros'!G:G,"&lt;&gt;Programada")-SUMIFS('Registrio Paros'!F:F,'Registrio Paros'!A:A,"&gt;"&amp;DATE($B$12,$C$12,$D$12),'Registrio Paros'!J:J,B57,'Registrio Paros'!G:G,"&lt;&gt;Programada"))</f>
        <v>0</v>
      </c>
      <c r="D57" s="86">
        <f t="shared" si="1"/>
        <v>0</v>
      </c>
    </row>
    <row r="58" spans="2:4" ht="15.6" hidden="1">
      <c r="B58" s="86" t="str">
        <f>Listas!D45</f>
        <v>Bomba de vacío -SIHI HALBERG (Germany) SIHI LPHX 55316</v>
      </c>
      <c r="C58" s="85">
        <f>(SUMIFS('Registrio Paros'!F:F,'Registrio Paros'!A:A,"&gt;="&amp;DATE($B$9,$C$9,$D$9),'Registrio Paros'!J:J,B58,'Registrio Paros'!G:G,"&lt;&gt;Programada")-SUMIFS('Registrio Paros'!F:F,'Registrio Paros'!A:A,"&gt;"&amp;DATE($B$12,$C$12,$D$12),'Registrio Paros'!J:J,B58,'Registrio Paros'!G:G,"&lt;&gt;Programada"))</f>
        <v>0</v>
      </c>
      <c r="D58" s="86">
        <f t="shared" si="1"/>
        <v>0</v>
      </c>
    </row>
    <row r="59" spans="2:4" ht="15.6" hidden="1">
      <c r="B59" s="86" t="str">
        <f>Listas!D46</f>
        <v>Bomba de Aceite terminado Seco a Almacenamiento</v>
      </c>
      <c r="C59" s="85">
        <f>(SUMIFS('Registrio Paros'!F:F,'Registrio Paros'!A:A,"&gt;="&amp;DATE($B$9,$C$9,$D$9),'Registrio Paros'!J:J,B59,'Registrio Paros'!G:G,"&lt;&gt;Programada")-SUMIFS('Registrio Paros'!F:F,'Registrio Paros'!A:A,"&gt;"&amp;DATE($B$12,$C$12,$D$12),'Registrio Paros'!J:J,B59,'Registrio Paros'!G:G,"&lt;&gt;Programada"))</f>
        <v>0</v>
      </c>
      <c r="D59" s="86">
        <f t="shared" si="1"/>
        <v>0</v>
      </c>
    </row>
    <row r="60" spans="2:4" ht="15.6" hidden="1">
      <c r="B60" s="86" t="str">
        <f>Listas!D47</f>
        <v>Bomba para Aceite Recuperado del Florentino</v>
      </c>
      <c r="C60" s="85">
        <f>(SUMIFS('Registrio Paros'!F:F,'Registrio Paros'!A:A,"&gt;="&amp;DATE($B$9,$C$9,$D$9),'Registrio Paros'!J:J,B60,'Registrio Paros'!G:G,"&lt;&gt;Programada")-SUMIFS('Registrio Paros'!F:F,'Registrio Paros'!A:A,"&gt;"&amp;DATE($B$12,$C$12,$D$12),'Registrio Paros'!J:J,B60,'Registrio Paros'!G:G,"&lt;&gt;Programada"))</f>
        <v>0</v>
      </c>
      <c r="D60" s="86">
        <f t="shared" si="1"/>
        <v>0</v>
      </c>
    </row>
    <row r="61" spans="2:4" ht="15.6" hidden="1">
      <c r="B61" s="86" t="str">
        <f>Listas!D48</f>
        <v>Bomba para Efluentes del Florentino 2x1 1/4</v>
      </c>
      <c r="C61" s="85">
        <f>(SUMIFS('Registrio Paros'!F:F,'Registrio Paros'!A:A,"&gt;="&amp;DATE($B$9,$C$9,$D$9),'Registrio Paros'!J:J,B61,'Registrio Paros'!G:G,"&lt;&gt;Programada")-SUMIFS('Registrio Paros'!F:F,'Registrio Paros'!A:A,"&gt;"&amp;DATE($B$12,$C$12,$D$12),'Registrio Paros'!J:J,B61,'Registrio Paros'!G:G,"&lt;&gt;Programada"))</f>
        <v>0</v>
      </c>
      <c r="D61" s="86">
        <f t="shared" si="1"/>
        <v>0</v>
      </c>
    </row>
    <row r="62" spans="2:4" ht="15.6" hidden="1">
      <c r="B62" s="86" t="str">
        <f>Listas!D49</f>
        <v>Tanque de Aceite Recuperado de Florentino</v>
      </c>
      <c r="C62" s="85">
        <f>(SUMIFS('Registrio Paros'!F:F,'Registrio Paros'!A:A,"&gt;="&amp;DATE($B$9,$C$9,$D$9),'Registrio Paros'!J:J,B62,'Registrio Paros'!G:G,"&lt;&gt;Programada")-SUMIFS('Registrio Paros'!F:F,'Registrio Paros'!A:A,"&gt;"&amp;DATE($B$12,$C$12,$D$12),'Registrio Paros'!J:J,B62,'Registrio Paros'!G:G,"&lt;&gt;Programada"))</f>
        <v>0</v>
      </c>
      <c r="D62" s="86">
        <f t="shared" si="1"/>
        <v>0</v>
      </c>
    </row>
    <row r="63" spans="2:4" ht="15.6" hidden="1">
      <c r="B63" s="86" t="str">
        <f>Listas!D50</f>
        <v>Bomba para Purgas del Foso de la Clarificación</v>
      </c>
      <c r="C63" s="85">
        <f>(SUMIFS('Registrio Paros'!F:F,'Registrio Paros'!A:A,"&gt;="&amp;DATE($B$9,$C$9,$D$9),'Registrio Paros'!J:J,B63,'Registrio Paros'!G:G,"&lt;&gt;Programada")-SUMIFS('Registrio Paros'!F:F,'Registrio Paros'!A:A,"&gt;"&amp;DATE($B$12,$C$12,$D$12),'Registrio Paros'!J:J,B63,'Registrio Paros'!G:G,"&lt;&gt;Programada"))</f>
        <v>0</v>
      </c>
      <c r="D63" s="86">
        <f t="shared" si="1"/>
        <v>0</v>
      </c>
    </row>
    <row r="64" spans="2:4" ht="15.6" hidden="1">
      <c r="B64" s="86" t="str">
        <f>Listas!D51</f>
        <v>Bomba para el Despacho de Aceite Crudo</v>
      </c>
      <c r="C64" s="85">
        <f>(SUMIFS('Registrio Paros'!F:F,'Registrio Paros'!A:A,"&gt;="&amp;DATE($B$9,$C$9,$D$9),'Registrio Paros'!J:J,B64,'Registrio Paros'!G:G,"&lt;&gt;Programada")-SUMIFS('Registrio Paros'!F:F,'Registrio Paros'!A:A,"&gt;"&amp;DATE($B$12,$C$12,$D$12),'Registrio Paros'!J:J,B64,'Registrio Paros'!G:G,"&lt;&gt;Programada"))</f>
        <v>0</v>
      </c>
      <c r="D64" s="86">
        <f t="shared" si="1"/>
        <v>0</v>
      </c>
    </row>
    <row r="65" spans="2:4" ht="15.6" hidden="1">
      <c r="B65" s="86" t="str">
        <f>Listas!D52</f>
        <v>Tanque de Lodos Desarenados</v>
      </c>
      <c r="C65" s="85">
        <f>(SUMIFS('Registrio Paros'!F:F,'Registrio Paros'!A:A,"&gt;="&amp;DATE($B$9,$C$9,$D$9),'Registrio Paros'!J:J,B65,'Registrio Paros'!G:G,"&lt;&gt;Programada")-SUMIFS('Registrio Paros'!F:F,'Registrio Paros'!A:A,"&gt;"&amp;DATE($B$12,$C$12,$D$12),'Registrio Paros'!J:J,B65,'Registrio Paros'!G:G,"&lt;&gt;Programada"))</f>
        <v>0</v>
      </c>
      <c r="D65" s="86">
        <f t="shared" si="1"/>
        <v>0</v>
      </c>
    </row>
    <row r="66" spans="2:4" ht="15.6" hidden="1">
      <c r="B66" s="86" t="str">
        <f>Listas!D53</f>
        <v>Bomba de Aceite Recuperado de Centrifuga</v>
      </c>
      <c r="C66" s="85">
        <f>(SUMIFS('Registrio Paros'!F:F,'Registrio Paros'!A:A,"&gt;="&amp;DATE($B$9,$C$9,$D$9),'Registrio Paros'!J:J,B66,'Registrio Paros'!G:G,"&lt;&gt;Programada")-SUMIFS('Registrio Paros'!F:F,'Registrio Paros'!A:A,"&gt;"&amp;DATE($B$12,$C$12,$D$12),'Registrio Paros'!J:J,B66,'Registrio Paros'!G:G,"&lt;&gt;Programada"))</f>
        <v>0</v>
      </c>
      <c r="D66" s="86">
        <f t="shared" si="1"/>
        <v>0</v>
      </c>
    </row>
    <row r="67" spans="2:4" ht="15.6" hidden="1">
      <c r="B67" s="86" t="str">
        <f>Listas!D54</f>
        <v>Centrifuga de Platos Pasx 710T</v>
      </c>
      <c r="C67" s="85">
        <f>(SUMIFS('Registrio Paros'!F:F,'Registrio Paros'!A:A,"&gt;="&amp;DATE($B$9,$C$9,$D$9),'Registrio Paros'!J:J,B67,'Registrio Paros'!G:G,"&lt;&gt;Programada")-SUMIFS('Registrio Paros'!F:F,'Registrio Paros'!A:A,"&gt;"&amp;DATE($B$12,$C$12,$D$12),'Registrio Paros'!J:J,B67,'Registrio Paros'!G:G,"&lt;&gt;Programada"))</f>
        <v>0</v>
      </c>
      <c r="D67" s="86">
        <f t="shared" si="1"/>
        <v>0</v>
      </c>
    </row>
    <row r="68" spans="2:4" ht="15.6" hidden="1">
      <c r="B68" s="86" t="str">
        <f>Listas!D55</f>
        <v>Desarenador # 1</v>
      </c>
      <c r="C68" s="85">
        <f>(SUMIFS('Registrio Paros'!F:F,'Registrio Paros'!A:A,"&gt;="&amp;DATE($B$9,$C$9,$D$9),'Registrio Paros'!J:J,B68,'Registrio Paros'!G:G,"&lt;&gt;Programada")-SUMIFS('Registrio Paros'!F:F,'Registrio Paros'!A:A,"&gt;"&amp;DATE($B$12,$C$12,$D$12),'Registrio Paros'!J:J,B68,'Registrio Paros'!G:G,"&lt;&gt;Programada"))</f>
        <v>0</v>
      </c>
      <c r="D68" s="86">
        <f t="shared" si="1"/>
        <v>0</v>
      </c>
    </row>
    <row r="69" spans="2:4" ht="15.6" hidden="1">
      <c r="B69" s="86" t="str">
        <f>Listas!D56</f>
        <v>Desarenador # 2</v>
      </c>
      <c r="C69" s="85">
        <f>(SUMIFS('Registrio Paros'!F:F,'Registrio Paros'!A:A,"&gt;="&amp;DATE($B$9,$C$9,$D$9),'Registrio Paros'!J:J,B69,'Registrio Paros'!G:G,"&lt;&gt;Programada")-SUMIFS('Registrio Paros'!F:F,'Registrio Paros'!A:A,"&gt;"&amp;DATE($B$12,$C$12,$D$12),'Registrio Paros'!J:J,B69,'Registrio Paros'!G:G,"&lt;&gt;Programada"))</f>
        <v>0</v>
      </c>
      <c r="D69" s="86">
        <f t="shared" si="1"/>
        <v>0</v>
      </c>
    </row>
    <row r="70" spans="2:4" ht="15.6" hidden="1">
      <c r="B70" s="86" t="str">
        <f>Listas!D57</f>
        <v>Tanque de Aceite Recuperado de Centrifuga</v>
      </c>
      <c r="C70" s="85">
        <f>(SUMIFS('Registrio Paros'!F:F,'Registrio Paros'!A:A,"&gt;="&amp;DATE($B$9,$C$9,$D$9),'Registrio Paros'!J:J,B70,'Registrio Paros'!G:G,"&lt;&gt;Programada")-SUMIFS('Registrio Paros'!F:F,'Registrio Paros'!A:A,"&gt;"&amp;DATE($B$12,$C$12,$D$12),'Registrio Paros'!J:J,B70,'Registrio Paros'!G:G,"&lt;&gt;Programada"))</f>
        <v>0</v>
      </c>
      <c r="D70" s="86">
        <f t="shared" si="1"/>
        <v>0</v>
      </c>
    </row>
    <row r="71" spans="2:4" ht="15.6" hidden="1">
      <c r="B71" s="86" t="str">
        <f>Listas!D58</f>
        <v>Tanque de Agua Caliente</v>
      </c>
      <c r="C71" s="85">
        <f>(SUMIFS('Registrio Paros'!F:F,'Registrio Paros'!A:A,"&gt;="&amp;DATE($B$9,$C$9,$D$9),'Registrio Paros'!J:J,B71,'Registrio Paros'!G:G,"&lt;&gt;Programada")-SUMIFS('Registrio Paros'!F:F,'Registrio Paros'!A:A,"&gt;"&amp;DATE($B$12,$C$12,$D$12),'Registrio Paros'!J:J,B71,'Registrio Paros'!G:G,"&lt;&gt;Programada"))</f>
        <v>0</v>
      </c>
      <c r="D71" s="86">
        <f t="shared" si="1"/>
        <v>0</v>
      </c>
    </row>
    <row r="72" spans="2:4" ht="15.6" hidden="1">
      <c r="B72" s="86" t="str">
        <f>Listas!D59</f>
        <v xml:space="preserve">Filtro Cepillo </v>
      </c>
      <c r="C72" s="85">
        <f>(SUMIFS('Registrio Paros'!F:F,'Registrio Paros'!A:A,"&gt;="&amp;DATE($B$9,$C$9,$D$9),'Registrio Paros'!J:J,B72,'Registrio Paros'!G:G,"&lt;&gt;Programada")-SUMIFS('Registrio Paros'!F:F,'Registrio Paros'!A:A,"&gt;"&amp;DATE($B$12,$C$12,$D$12),'Registrio Paros'!J:J,B72,'Registrio Paros'!G:G,"&lt;&gt;Programada"))</f>
        <v>0.6</v>
      </c>
      <c r="D72" s="86">
        <f t="shared" si="1"/>
        <v>2.0630372492836675E-2</v>
      </c>
    </row>
    <row r="73" spans="2:4" ht="15.6" hidden="1">
      <c r="B73" s="86" t="str">
        <f>Listas!D60</f>
        <v>Precalificador</v>
      </c>
      <c r="C73" s="85">
        <f>(SUMIFS('Registrio Paros'!F:F,'Registrio Paros'!A:A,"&gt;="&amp;DATE($B$9,$C$9,$D$9),'Registrio Paros'!J:J,B73,'Registrio Paros'!G:G,"&lt;&gt;Programada")-SUMIFS('Registrio Paros'!F:F,'Registrio Paros'!A:A,"&gt;"&amp;DATE($B$12,$C$12,$D$12),'Registrio Paros'!J:J,B73,'Registrio Paros'!G:G,"&lt;&gt;Programada"))</f>
        <v>0</v>
      </c>
      <c r="D73" s="86">
        <f t="shared" si="1"/>
        <v>0</v>
      </c>
    </row>
    <row r="74" spans="2:4" ht="15.6" hidden="1">
      <c r="B74" s="86" t="str">
        <f>Listas!D61</f>
        <v>Transportador de Torta</v>
      </c>
      <c r="C74" s="85">
        <f>(SUMIFS('Registrio Paros'!F:F,'Registrio Paros'!A:A,"&gt;="&amp;DATE($B$9,$C$9,$D$9),'Registrio Paros'!J:J,B74,'Registrio Paros'!G:G,"&lt;&gt;Programada")-SUMIFS('Registrio Paros'!F:F,'Registrio Paros'!A:A,"&gt;"&amp;DATE($B$12,$C$12,$D$12),'Registrio Paros'!J:J,B74,'Registrio Paros'!G:G,"&lt;&gt;Programada"))</f>
        <v>0</v>
      </c>
      <c r="D74" s="86">
        <f t="shared" si="1"/>
        <v>0</v>
      </c>
    </row>
    <row r="75" spans="2:4" ht="15.6" hidden="1">
      <c r="B75" s="86" t="str">
        <f>Listas!D62</f>
        <v>Tambor Pulidor Sin Eje</v>
      </c>
      <c r="C75" s="85">
        <f>(SUMIFS('Registrio Paros'!F:F,'Registrio Paros'!A:A,"&gt;="&amp;DATE($B$9,$C$9,$D$9),'Registrio Paros'!J:J,B75,'Registrio Paros'!G:G,"&lt;&gt;Programada")-SUMIFS('Registrio Paros'!F:F,'Registrio Paros'!A:A,"&gt;"&amp;DATE($B$12,$C$12,$D$12),'Registrio Paros'!J:J,B75,'Registrio Paros'!G:G,"&lt;&gt;Programada"))</f>
        <v>0</v>
      </c>
      <c r="D75" s="86">
        <f t="shared" si="1"/>
        <v>0</v>
      </c>
    </row>
    <row r="76" spans="2:4" ht="15.6" hidden="1">
      <c r="B76" s="86" t="str">
        <f>Listas!D63</f>
        <v>Ventilador del Sistema Neumático de Desfibración</v>
      </c>
      <c r="C76" s="85">
        <f>(SUMIFS('Registrio Paros'!F:F,'Registrio Paros'!A:A,"&gt;="&amp;DATE($B$9,$C$9,$D$9),'Registrio Paros'!J:J,B76,'Registrio Paros'!G:G,"&lt;&gt;Programada")-SUMIFS('Registrio Paros'!F:F,'Registrio Paros'!A:A,"&gt;"&amp;DATE($B$12,$C$12,$D$12),'Registrio Paros'!J:J,B76,'Registrio Paros'!G:G,"&lt;&gt;Programada"))</f>
        <v>0</v>
      </c>
      <c r="D76" s="86">
        <f t="shared" si="1"/>
        <v>0</v>
      </c>
    </row>
    <row r="77" spans="2:4" ht="15.6" hidden="1">
      <c r="B77" s="86" t="str">
        <f>Listas!D64</f>
        <v>Esclusa del Sistema Neumático de Desfibración</v>
      </c>
      <c r="C77" s="85">
        <f>(SUMIFS('Registrio Paros'!F:F,'Registrio Paros'!A:A,"&gt;="&amp;DATE($B$9,$C$9,$D$9),'Registrio Paros'!J:J,B77,'Registrio Paros'!G:G,"&lt;&gt;Programada")-SUMIFS('Registrio Paros'!F:F,'Registrio Paros'!A:A,"&gt;"&amp;DATE($B$12,$C$12,$D$12),'Registrio Paros'!J:J,B77,'Registrio Paros'!G:G,"&lt;&gt;Programada"))</f>
        <v>0</v>
      </c>
      <c r="D77" s="86">
        <f t="shared" si="1"/>
        <v>0</v>
      </c>
    </row>
    <row r="78" spans="2:4" ht="15.6" hidden="1">
      <c r="B78" s="86" t="str">
        <f>Listas!D65</f>
        <v>Ventilador del Sistema Neumático de Cascaras y Finos</v>
      </c>
      <c r="C78" s="85">
        <f>(SUMIFS('Registrio Paros'!F:F,'Registrio Paros'!A:A,"&gt;="&amp;DATE($B$9,$C$9,$D$9),'Registrio Paros'!J:J,B78,'Registrio Paros'!G:G,"&lt;&gt;Programada")-SUMIFS('Registrio Paros'!F:F,'Registrio Paros'!A:A,"&gt;"&amp;DATE($B$12,$C$12,$D$12),'Registrio Paros'!J:J,B78,'Registrio Paros'!G:G,"&lt;&gt;Programada"))</f>
        <v>0</v>
      </c>
      <c r="D78" s="86">
        <f t="shared" si="1"/>
        <v>0</v>
      </c>
    </row>
    <row r="79" spans="2:4" ht="15.6" hidden="1">
      <c r="B79" s="86" t="str">
        <f>Listas!D66</f>
        <v>Esclusa del Sistema Neumático de Cascaras y Finos</v>
      </c>
      <c r="C79" s="85">
        <f>(SUMIFS('Registrio Paros'!F:F,'Registrio Paros'!A:A,"&gt;="&amp;DATE($B$9,$C$9,$D$9),'Registrio Paros'!J:J,B79,'Registrio Paros'!G:G,"&lt;&gt;Programada")-SUMIFS('Registrio Paros'!F:F,'Registrio Paros'!A:A,"&gt;"&amp;DATE($B$12,$C$12,$D$12),'Registrio Paros'!J:J,B79,'Registrio Paros'!G:G,"&lt;&gt;Programada"))</f>
        <v>0</v>
      </c>
      <c r="D79" s="86">
        <f t="shared" ref="D79:D110" si="2">IFERROR(C79/SUM($C$15:$C$152),"")</f>
        <v>0</v>
      </c>
    </row>
    <row r="80" spans="2:4" ht="15.6">
      <c r="B80" s="86" t="str">
        <f>Listas!D67</f>
        <v>Redler #3 para Combustible</v>
      </c>
      <c r="C80" s="85">
        <f>(SUMIFS('Registrio Paros'!F:F,'Registrio Paros'!A:A,"&gt;="&amp;DATE($B$9,$C$9,$D$9),'Registrio Paros'!J:J,B80,'Registrio Paros'!G:G,"&lt;&gt;Programada")-SUMIFS('Registrio Paros'!F:F,'Registrio Paros'!A:A,"&gt;"&amp;DATE($B$12,$C$12,$D$12),'Registrio Paros'!J:J,B80,'Registrio Paros'!G:G,"&lt;&gt;Programada"))</f>
        <v>0</v>
      </c>
      <c r="D80" s="86">
        <f t="shared" si="2"/>
        <v>0</v>
      </c>
    </row>
    <row r="81" spans="2:4" ht="15.6" hidden="1">
      <c r="B81" s="86" t="str">
        <f>Listas!D68</f>
        <v>Sinfín de Nueces Pulidas Hacia Sinfín</v>
      </c>
      <c r="C81" s="85">
        <f>(SUMIFS('Registrio Paros'!F:F,'Registrio Paros'!A:A,"&gt;="&amp;DATE($B$9,$C$9,$D$9),'Registrio Paros'!J:J,B81,'Registrio Paros'!G:G,"&lt;&gt;Programada")-SUMIFS('Registrio Paros'!F:F,'Registrio Paros'!A:A,"&gt;"&amp;DATE($B$12,$C$12,$D$12),'Registrio Paros'!J:J,B81,'Registrio Paros'!G:G,"&lt;&gt;Programada"))</f>
        <v>0</v>
      </c>
      <c r="D81" s="86">
        <f t="shared" si="2"/>
        <v>0</v>
      </c>
    </row>
    <row r="82" spans="2:4" ht="15.6" hidden="1">
      <c r="B82" s="86" t="str">
        <f>Listas!D69</f>
        <v>Sinfín de Nueces a Elevador</v>
      </c>
      <c r="C82" s="85">
        <f>(SUMIFS('Registrio Paros'!F:F,'Registrio Paros'!A:A,"&gt;="&amp;DATE($B$9,$C$9,$D$9),'Registrio Paros'!J:J,B82,'Registrio Paros'!G:G,"&lt;&gt;Programada")-SUMIFS('Registrio Paros'!F:F,'Registrio Paros'!A:A,"&gt;"&amp;DATE($B$12,$C$12,$D$12),'Registrio Paros'!J:J,B82,'Registrio Paros'!G:G,"&lt;&gt;Programada"))</f>
        <v>0</v>
      </c>
      <c r="D82" s="86">
        <f t="shared" si="2"/>
        <v>0</v>
      </c>
    </row>
    <row r="83" spans="2:4" ht="15.6">
      <c r="B83" s="86" t="str">
        <f>Listas!D70</f>
        <v>Elevador de Nueces</v>
      </c>
      <c r="C83" s="85">
        <f>(SUMIFS('Registrio Paros'!F:F,'Registrio Paros'!A:A,"&gt;="&amp;DATE($B$9,$C$9,$D$9),'Registrio Paros'!J:J,B83,'Registrio Paros'!G:G,"&lt;&gt;Programada")-SUMIFS('Registrio Paros'!F:F,'Registrio Paros'!A:A,"&gt;"&amp;DATE($B$12,$C$12,$D$12),'Registrio Paros'!J:J,B83,'Registrio Paros'!G:G,"&lt;&gt;Programada"))</f>
        <v>0</v>
      </c>
      <c r="D83" s="86">
        <f t="shared" si="2"/>
        <v>0</v>
      </c>
    </row>
    <row r="84" spans="2:4" ht="15.6" hidden="1">
      <c r="B84" s="86" t="str">
        <f>Listas!D71</f>
        <v xml:space="preserve">Parrilla silo almendras </v>
      </c>
      <c r="C84" s="85">
        <f>(SUMIFS('Registrio Paros'!F:F,'Registrio Paros'!A:A,"&gt;="&amp;DATE($B$9,$C$9,$D$9),'Registrio Paros'!J:J,B84,'Registrio Paros'!G:G,"&lt;&gt;Programada")-SUMIFS('Registrio Paros'!F:F,'Registrio Paros'!A:A,"&gt;"&amp;DATE($B$12,$C$12,$D$12),'Registrio Paros'!J:J,B84,'Registrio Paros'!G:G,"&lt;&gt;Programada"))</f>
        <v>0</v>
      </c>
      <c r="D84" s="86">
        <f t="shared" si="2"/>
        <v>0</v>
      </c>
    </row>
    <row r="85" spans="2:4" ht="15.6">
      <c r="B85" s="86" t="str">
        <f>Listas!D72</f>
        <v>Molino tipo Ripple Mill</v>
      </c>
      <c r="C85" s="85">
        <f>(SUMIFS('Registrio Paros'!F:F,'Registrio Paros'!A:A,"&gt;="&amp;DATE($B$9,$C$9,$D$9),'Registrio Paros'!J:J,B85,'Registrio Paros'!G:G,"&lt;&gt;Programada")-SUMIFS('Registrio Paros'!F:F,'Registrio Paros'!A:A,"&gt;"&amp;DATE($B$12,$C$12,$D$12),'Registrio Paros'!J:J,B85,'Registrio Paros'!G:G,"&lt;&gt;Programada"))</f>
        <v>0.2</v>
      </c>
      <c r="D85" s="86">
        <f t="shared" si="2"/>
        <v>6.8767908309455596E-3</v>
      </c>
    </row>
    <row r="86" spans="2:4" ht="15.6" hidden="1">
      <c r="B86" s="86" t="str">
        <f>Listas!D73</f>
        <v xml:space="preserve">Esclusa Mezcla Triturada </v>
      </c>
      <c r="C86" s="85">
        <f>(SUMIFS('Registrio Paros'!F:F,'Registrio Paros'!A:A,"&gt;="&amp;DATE($B$9,$C$9,$D$9),'Registrio Paros'!J:J,B86,'Registrio Paros'!G:G,"&lt;&gt;Programada")-SUMIFS('Registrio Paros'!F:F,'Registrio Paros'!A:A,"&gt;"&amp;DATE($B$12,$C$12,$D$12),'Registrio Paros'!J:J,B86,'Registrio Paros'!G:G,"&lt;&gt;Programada"))</f>
        <v>0</v>
      </c>
      <c r="D86" s="86">
        <f t="shared" si="2"/>
        <v>0</v>
      </c>
    </row>
    <row r="87" spans="2:4" ht="15.6" hidden="1">
      <c r="B87" s="86" t="str">
        <f>Listas!D74</f>
        <v xml:space="preserve">Esclusa de la Interfase </v>
      </c>
      <c r="C87" s="85">
        <f>(SUMIFS('Registrio Paros'!F:F,'Registrio Paros'!A:A,"&gt;="&amp;DATE($B$9,$C$9,$D$9),'Registrio Paros'!J:J,B87,'Registrio Paros'!G:G,"&lt;&gt;Programada")-SUMIFS('Registrio Paros'!F:F,'Registrio Paros'!A:A,"&gt;"&amp;DATE($B$12,$C$12,$D$12),'Registrio Paros'!J:J,B87,'Registrio Paros'!G:G,"&lt;&gt;Programada"))</f>
        <v>0</v>
      </c>
      <c r="D87" s="86">
        <f t="shared" si="2"/>
        <v>0</v>
      </c>
    </row>
    <row r="88" spans="2:4" ht="15.6" hidden="1">
      <c r="B88" s="86" t="str">
        <f>Listas!D75</f>
        <v>Hidrociclón de Almendras y Cascaras</v>
      </c>
      <c r="C88" s="85">
        <f>(SUMIFS('Registrio Paros'!F:F,'Registrio Paros'!A:A,"&gt;="&amp;DATE($B$9,$C$9,$D$9),'Registrio Paros'!J:J,B88,'Registrio Paros'!G:G,"&lt;&gt;Programada")-SUMIFS('Registrio Paros'!F:F,'Registrio Paros'!A:A,"&gt;"&amp;DATE($B$12,$C$12,$D$12),'Registrio Paros'!J:J,B88,'Registrio Paros'!G:G,"&lt;&gt;Programada"))</f>
        <v>0</v>
      </c>
      <c r="D88" s="86">
        <f t="shared" si="2"/>
        <v>0</v>
      </c>
    </row>
    <row r="89" spans="2:4" ht="15.6" hidden="1">
      <c r="B89" s="86" t="str">
        <f>Listas!D76</f>
        <v>Sinfín de Almendras a Elevador</v>
      </c>
      <c r="C89" s="85">
        <f>(SUMIFS('Registrio Paros'!F:F,'Registrio Paros'!A:A,"&gt;="&amp;DATE($B$9,$C$9,$D$9),'Registrio Paros'!J:J,B89,'Registrio Paros'!G:G,"&lt;&gt;Programada")-SUMIFS('Registrio Paros'!F:F,'Registrio Paros'!A:A,"&gt;"&amp;DATE($B$12,$C$12,$D$12),'Registrio Paros'!J:J,B89,'Registrio Paros'!G:G,"&lt;&gt;Programada"))</f>
        <v>0</v>
      </c>
      <c r="D89" s="86">
        <f t="shared" si="2"/>
        <v>0</v>
      </c>
    </row>
    <row r="90" spans="2:4" ht="15.6" hidden="1">
      <c r="B90" s="86" t="str">
        <f>Listas!D77</f>
        <v>Esclusa del Sistema Neumático de Cascaras Húmedas</v>
      </c>
      <c r="C90" s="85">
        <f>(SUMIFS('Registrio Paros'!F:F,'Registrio Paros'!A:A,"&gt;="&amp;DATE($B$9,$C$9,$D$9),'Registrio Paros'!J:J,B90,'Registrio Paros'!G:G,"&lt;&gt;Programada")-SUMIFS('Registrio Paros'!F:F,'Registrio Paros'!A:A,"&gt;"&amp;DATE($B$12,$C$12,$D$12),'Registrio Paros'!J:J,B90,'Registrio Paros'!G:G,"&lt;&gt;Programada"))</f>
        <v>0</v>
      </c>
      <c r="D90" s="86">
        <f t="shared" si="2"/>
        <v>0</v>
      </c>
    </row>
    <row r="91" spans="2:4" ht="15.6" hidden="1">
      <c r="B91" s="86" t="str">
        <f>Listas!D78</f>
        <v>Ventilador del Sistema Neumático de Cascaras Húmedas</v>
      </c>
      <c r="C91" s="85">
        <f>(SUMIFS('Registrio Paros'!F:F,'Registrio Paros'!A:A,"&gt;="&amp;DATE($B$9,$C$9,$D$9),'Registrio Paros'!J:J,B91,'Registrio Paros'!G:G,"&lt;&gt;Programada")-SUMIFS('Registrio Paros'!F:F,'Registrio Paros'!A:A,"&gt;"&amp;DATE($B$12,$C$12,$D$12),'Registrio Paros'!J:J,B91,'Registrio Paros'!G:G,"&lt;&gt;Programada"))</f>
        <v>0</v>
      </c>
      <c r="D91" s="86">
        <f t="shared" si="2"/>
        <v>0</v>
      </c>
    </row>
    <row r="92" spans="2:4" ht="15.6" hidden="1">
      <c r="B92" s="86" t="str">
        <f>Listas!D79</f>
        <v>Elevador de Almendras</v>
      </c>
      <c r="C92" s="85">
        <f>(SUMIFS('Registrio Paros'!F:F,'Registrio Paros'!A:A,"&gt;="&amp;DATE($B$9,$C$9,$D$9),'Registrio Paros'!J:J,B92,'Registrio Paros'!G:G,"&lt;&gt;Programada")-SUMIFS('Registrio Paros'!F:F,'Registrio Paros'!A:A,"&gt;"&amp;DATE($B$12,$C$12,$D$12),'Registrio Paros'!J:J,B92,'Registrio Paros'!G:G,"&lt;&gt;Programada"))</f>
        <v>0</v>
      </c>
      <c r="D92" s="86">
        <f t="shared" si="2"/>
        <v>0</v>
      </c>
    </row>
    <row r="93" spans="2:4" ht="15.6" hidden="1">
      <c r="B93" s="86" t="str">
        <f>Listas!D80</f>
        <v>Ventilador del Silo de Almendras</v>
      </c>
      <c r="C93" s="85">
        <f>(SUMIFS('Registrio Paros'!F:F,'Registrio Paros'!A:A,"&gt;="&amp;DATE($B$9,$C$9,$D$9),'Registrio Paros'!J:J,B93,'Registrio Paros'!G:G,"&lt;&gt;Programada")-SUMIFS('Registrio Paros'!F:F,'Registrio Paros'!A:A,"&gt;"&amp;DATE($B$12,$C$12,$D$12),'Registrio Paros'!J:J,B93,'Registrio Paros'!G:G,"&lt;&gt;Programada"))</f>
        <v>0</v>
      </c>
      <c r="D93" s="86">
        <f t="shared" si="2"/>
        <v>0</v>
      </c>
    </row>
    <row r="94" spans="2:4" ht="15.6" hidden="1">
      <c r="B94" s="86" t="str">
        <f>Listas!D81</f>
        <v>Sinfín Bajo Silo de Almendras</v>
      </c>
      <c r="C94" s="85">
        <f>(SUMIFS('Registrio Paros'!F:F,'Registrio Paros'!A:A,"&gt;="&amp;DATE($B$9,$C$9,$D$9),'Registrio Paros'!J:J,B94,'Registrio Paros'!G:G,"&lt;&gt;Programada")-SUMIFS('Registrio Paros'!F:F,'Registrio Paros'!A:A,"&gt;"&amp;DATE($B$12,$C$12,$D$12),'Registrio Paros'!J:J,B94,'Registrio Paros'!G:G,"&lt;&gt;Programada"))</f>
        <v>0</v>
      </c>
      <c r="D94" s="86">
        <f t="shared" si="2"/>
        <v>0</v>
      </c>
    </row>
    <row r="95" spans="2:4" ht="15.6" hidden="1">
      <c r="B95" s="86" t="str">
        <f>Listas!D82</f>
        <v xml:space="preserve">Redler #4 para Combustible a Caldera </v>
      </c>
      <c r="C95" s="85">
        <f>(SUMIFS('Registrio Paros'!F:F,'Registrio Paros'!A:A,"&gt;="&amp;DATE($B$9,$C$9,$D$9),'Registrio Paros'!J:J,B95,'Registrio Paros'!G:G,"&lt;&gt;Programada")-SUMIFS('Registrio Paros'!F:F,'Registrio Paros'!A:A,"&gt;"&amp;DATE($B$12,$C$12,$D$12),'Registrio Paros'!J:J,B95,'Registrio Paros'!G:G,"&lt;&gt;Programada"))</f>
        <v>0</v>
      </c>
      <c r="D95" s="86">
        <f t="shared" si="2"/>
        <v>0</v>
      </c>
    </row>
    <row r="96" spans="2:4" ht="15.6" hidden="1">
      <c r="B96" s="86" t="str">
        <f>Listas!D83</f>
        <v xml:space="preserve">Redler #5 para el Retorno de Combustible </v>
      </c>
      <c r="C96" s="85">
        <f>(SUMIFS('Registrio Paros'!F:F,'Registrio Paros'!A:A,"&gt;="&amp;DATE($B$9,$C$9,$D$9),'Registrio Paros'!J:J,B96,'Registrio Paros'!G:G,"&lt;&gt;Programada")-SUMIFS('Registrio Paros'!F:F,'Registrio Paros'!A:A,"&gt;"&amp;DATE($B$12,$C$12,$D$12),'Registrio Paros'!J:J,B96,'Registrio Paros'!G:G,"&lt;&gt;Programada"))</f>
        <v>0</v>
      </c>
      <c r="D96" s="86">
        <f t="shared" si="2"/>
        <v>0</v>
      </c>
    </row>
    <row r="97" spans="2:4" ht="15.6" hidden="1">
      <c r="B97" s="86" t="str">
        <f>Listas!D84</f>
        <v>Esclusa para Ceniza #1</v>
      </c>
      <c r="C97" s="85">
        <f>(SUMIFS('Registrio Paros'!F:F,'Registrio Paros'!A:A,"&gt;="&amp;DATE($B$9,$C$9,$D$9),'Registrio Paros'!J:J,B97,'Registrio Paros'!G:G,"&lt;&gt;Programada")-SUMIFS('Registrio Paros'!F:F,'Registrio Paros'!A:A,"&gt;"&amp;DATE($B$12,$C$12,$D$12),'Registrio Paros'!J:J,B97,'Registrio Paros'!G:G,"&lt;&gt;Programada"))</f>
        <v>0</v>
      </c>
      <c r="D97" s="86">
        <f t="shared" si="2"/>
        <v>0</v>
      </c>
    </row>
    <row r="98" spans="2:4" ht="15.6" hidden="1">
      <c r="B98" s="86" t="str">
        <f>Listas!D85</f>
        <v>Esclusa para Ceniza #2</v>
      </c>
      <c r="C98" s="85">
        <f>(SUMIFS('Registrio Paros'!F:F,'Registrio Paros'!A:A,"&gt;="&amp;DATE($B$9,$C$9,$D$9),'Registrio Paros'!J:J,B98,'Registrio Paros'!G:G,"&lt;&gt;Programada")-SUMIFS('Registrio Paros'!F:F,'Registrio Paros'!A:A,"&gt;"&amp;DATE($B$12,$C$12,$D$12),'Registrio Paros'!J:J,B98,'Registrio Paros'!G:G,"&lt;&gt;Programada"))</f>
        <v>0</v>
      </c>
      <c r="D98" s="86">
        <f t="shared" si="2"/>
        <v>0</v>
      </c>
    </row>
    <row r="99" spans="2:4" ht="15.6" hidden="1">
      <c r="B99" s="86" t="str">
        <f>Listas!D86</f>
        <v>Esclusa para Ceniza #3</v>
      </c>
      <c r="C99" s="85">
        <f>(SUMIFS('Registrio Paros'!F:F,'Registrio Paros'!A:A,"&gt;="&amp;DATE($B$9,$C$9,$D$9),'Registrio Paros'!J:J,B99,'Registrio Paros'!G:G,"&lt;&gt;Programada")-SUMIFS('Registrio Paros'!F:F,'Registrio Paros'!A:A,"&gt;"&amp;DATE($B$12,$C$12,$D$12),'Registrio Paros'!J:J,B99,'Registrio Paros'!G:G,"&lt;&gt;Programada"))</f>
        <v>0</v>
      </c>
      <c r="D99" s="86">
        <f t="shared" si="2"/>
        <v>0</v>
      </c>
    </row>
    <row r="100" spans="2:4" ht="15.6" hidden="1">
      <c r="B100" s="86" t="str">
        <f>Listas!D87</f>
        <v>Esclusa para Ceniza #4</v>
      </c>
      <c r="C100" s="85">
        <f>(SUMIFS('Registrio Paros'!F:F,'Registrio Paros'!A:A,"&gt;="&amp;DATE($B$9,$C$9,$D$9),'Registrio Paros'!J:J,B100,'Registrio Paros'!G:G,"&lt;&gt;Programada")-SUMIFS('Registrio Paros'!F:F,'Registrio Paros'!A:A,"&gt;"&amp;DATE($B$12,$C$12,$D$12),'Registrio Paros'!J:J,B100,'Registrio Paros'!G:G,"&lt;&gt;Programada"))</f>
        <v>0</v>
      </c>
      <c r="D100" s="86">
        <f t="shared" si="2"/>
        <v>0</v>
      </c>
    </row>
    <row r="101" spans="2:4" ht="15.6" hidden="1">
      <c r="B101" s="86" t="str">
        <f>Listas!D88</f>
        <v>Sinfín N° 1 para Cenizas</v>
      </c>
      <c r="C101" s="85">
        <f>(SUMIFS('Registrio Paros'!F:F,'Registrio Paros'!A:A,"&gt;="&amp;DATE($B$9,$C$9,$D$9),'Registrio Paros'!J:J,B101,'Registrio Paros'!G:G,"&lt;&gt;Programada")-SUMIFS('Registrio Paros'!F:F,'Registrio Paros'!A:A,"&gt;"&amp;DATE($B$12,$C$12,$D$12),'Registrio Paros'!J:J,B101,'Registrio Paros'!G:G,"&lt;&gt;Programada"))</f>
        <v>0</v>
      </c>
      <c r="D101" s="86">
        <f t="shared" si="2"/>
        <v>0</v>
      </c>
    </row>
    <row r="102" spans="2:4" ht="15.6" hidden="1">
      <c r="B102" s="86" t="str">
        <f>Listas!D89</f>
        <v>Sinfín N° 2 para Cenizas</v>
      </c>
      <c r="C102" s="85">
        <f>(SUMIFS('Registrio Paros'!F:F,'Registrio Paros'!A:A,"&gt;="&amp;DATE($B$9,$C$9,$D$9),'Registrio Paros'!J:J,B102,'Registrio Paros'!G:G,"&lt;&gt;Programada")-SUMIFS('Registrio Paros'!F:F,'Registrio Paros'!A:A,"&gt;"&amp;DATE($B$12,$C$12,$D$12),'Registrio Paros'!J:J,B102,'Registrio Paros'!G:G,"&lt;&gt;Programada"))</f>
        <v>0</v>
      </c>
      <c r="D102" s="86">
        <f t="shared" si="2"/>
        <v>0</v>
      </c>
    </row>
    <row r="103" spans="2:4" ht="15.6" hidden="1">
      <c r="B103" s="86" t="str">
        <f>Listas!D90</f>
        <v>Sinfín N° 3 para Cenizas</v>
      </c>
      <c r="C103" s="85">
        <f>(SUMIFS('Registrio Paros'!F:F,'Registrio Paros'!A:A,"&gt;="&amp;DATE($B$9,$C$9,$D$9),'Registrio Paros'!J:J,B103,'Registrio Paros'!G:G,"&lt;&gt;Programada")-SUMIFS('Registrio Paros'!F:F,'Registrio Paros'!A:A,"&gt;"&amp;DATE($B$12,$C$12,$D$12),'Registrio Paros'!J:J,B103,'Registrio Paros'!G:G,"&lt;&gt;Programada"))</f>
        <v>0</v>
      </c>
      <c r="D103" s="86">
        <f t="shared" si="2"/>
        <v>0</v>
      </c>
    </row>
    <row r="104" spans="2:4" ht="15.6" hidden="1">
      <c r="B104" s="86" t="str">
        <f>Listas!D91</f>
        <v>Sinfín N° 4 bajo ESP para Cenizas</v>
      </c>
      <c r="C104" s="85">
        <f>(SUMIFS('Registrio Paros'!F:F,'Registrio Paros'!A:A,"&gt;="&amp;DATE($B$9,$C$9,$D$9),'Registrio Paros'!J:J,B104,'Registrio Paros'!G:G,"&lt;&gt;Programada")-SUMIFS('Registrio Paros'!F:F,'Registrio Paros'!A:A,"&gt;"&amp;DATE($B$12,$C$12,$D$12),'Registrio Paros'!J:J,B104,'Registrio Paros'!G:G,"&lt;&gt;Programada"))</f>
        <v>0</v>
      </c>
      <c r="D104" s="86">
        <f t="shared" si="2"/>
        <v>0</v>
      </c>
    </row>
    <row r="105" spans="2:4" ht="15.6" hidden="1">
      <c r="B105" s="86" t="str">
        <f>Listas!D92</f>
        <v>Sinfín N° 5 de Cenizas</v>
      </c>
      <c r="C105" s="85">
        <f>(SUMIFS('Registrio Paros'!F:F,'Registrio Paros'!A:A,"&gt;="&amp;DATE($B$9,$C$9,$D$9),'Registrio Paros'!J:J,B105,'Registrio Paros'!G:G,"&lt;&gt;Programada")-SUMIFS('Registrio Paros'!F:F,'Registrio Paros'!A:A,"&gt;"&amp;DATE($B$12,$C$12,$D$12),'Registrio Paros'!J:J,B105,'Registrio Paros'!G:G,"&lt;&gt;Programada"))</f>
        <v>0</v>
      </c>
      <c r="D105" s="86">
        <f t="shared" si="2"/>
        <v>0</v>
      </c>
    </row>
    <row r="106" spans="2:4" ht="15.6" hidden="1">
      <c r="B106" s="86" t="str">
        <f>Listas!D93</f>
        <v>Sinfín N° 6 de Cenizas</v>
      </c>
      <c r="C106" s="85">
        <f>(SUMIFS('Registrio Paros'!F:F,'Registrio Paros'!A:A,"&gt;="&amp;DATE($B$9,$C$9,$D$9),'Registrio Paros'!J:J,B106,'Registrio Paros'!G:G,"&lt;&gt;Programada")-SUMIFS('Registrio Paros'!F:F,'Registrio Paros'!A:A,"&gt;"&amp;DATE($B$12,$C$12,$D$12),'Registrio Paros'!J:J,B106,'Registrio Paros'!G:G,"&lt;&gt;Programada"))</f>
        <v>0</v>
      </c>
      <c r="D106" s="86">
        <f t="shared" si="2"/>
        <v>0</v>
      </c>
    </row>
    <row r="107" spans="2:4" ht="15.6" hidden="1">
      <c r="B107" s="86" t="str">
        <f>Listas!D94</f>
        <v>Sinfín N° 7 de Cenizas</v>
      </c>
      <c r="C107" s="85">
        <f>(SUMIFS('Registrio Paros'!F:F,'Registrio Paros'!A:A,"&gt;="&amp;DATE($B$9,$C$9,$D$9),'Registrio Paros'!J:J,B107,'Registrio Paros'!G:G,"&lt;&gt;Programada")-SUMIFS('Registrio Paros'!F:F,'Registrio Paros'!A:A,"&gt;"&amp;DATE($B$12,$C$12,$D$12),'Registrio Paros'!J:J,B107,'Registrio Paros'!G:G,"&lt;&gt;Programada"))</f>
        <v>0</v>
      </c>
      <c r="D107" s="86">
        <f t="shared" si="2"/>
        <v>0</v>
      </c>
    </row>
    <row r="108" spans="2:4" ht="15.6" hidden="1">
      <c r="B108" s="86" t="str">
        <f>Listas!D95</f>
        <v>Sinfín N° 8 de Cenizas</v>
      </c>
      <c r="C108" s="85">
        <f>(SUMIFS('Registrio Paros'!F:F,'Registrio Paros'!A:A,"&gt;="&amp;DATE($B$9,$C$9,$D$9),'Registrio Paros'!J:J,B108,'Registrio Paros'!G:G,"&lt;&gt;Programada")-SUMIFS('Registrio Paros'!F:F,'Registrio Paros'!A:A,"&gt;"&amp;DATE($B$12,$C$12,$D$12),'Registrio Paros'!J:J,B108,'Registrio Paros'!G:G,"&lt;&gt;Programada"))</f>
        <v>0</v>
      </c>
      <c r="D108" s="86">
        <f t="shared" si="2"/>
        <v>0</v>
      </c>
    </row>
    <row r="109" spans="2:4" ht="15.6" hidden="1">
      <c r="B109" s="86" t="str">
        <f>Listas!D96</f>
        <v>Banda #3 Raquis Prensado / sinfín lodos tricanter</v>
      </c>
      <c r="C109" s="85">
        <f>(SUMIFS('Registrio Paros'!F:F,'Registrio Paros'!A:A,"&gt;="&amp;DATE($B$9,$C$9,$D$9),'Registrio Paros'!J:J,B109,'Registrio Paros'!G:G,"&lt;&gt;Programada")-SUMIFS('Registrio Paros'!F:F,'Registrio Paros'!A:A,"&gt;"&amp;DATE($B$12,$C$12,$D$12),'Registrio Paros'!J:J,B109,'Registrio Paros'!G:G,"&lt;&gt;Programada"))</f>
        <v>0</v>
      </c>
      <c r="D109" s="86">
        <f t="shared" si="2"/>
        <v>0</v>
      </c>
    </row>
    <row r="110" spans="2:4" ht="15.6" hidden="1">
      <c r="B110" s="86" t="str">
        <f>Listas!D97</f>
        <v xml:space="preserve">Banda #5 Subproductos a tolva / bomba distribuidor de vapor </v>
      </c>
      <c r="C110" s="85">
        <f>(SUMIFS('Registrio Paros'!F:F,'Registrio Paros'!A:A,"&gt;="&amp;DATE($B$9,$C$9,$D$9),'Registrio Paros'!J:J,B110,'Registrio Paros'!G:G,"&lt;&gt;Programada")-SUMIFS('Registrio Paros'!F:F,'Registrio Paros'!A:A,"&gt;"&amp;DATE($B$12,$C$12,$D$12),'Registrio Paros'!J:J,B110,'Registrio Paros'!G:G,"&lt;&gt;Programada"))</f>
        <v>0</v>
      </c>
      <c r="D110" s="86">
        <f t="shared" si="2"/>
        <v>0</v>
      </c>
    </row>
    <row r="111" spans="2:4" ht="15.6" hidden="1">
      <c r="B111" s="86" t="str">
        <f>Listas!D98</f>
        <v>Precipitador electrostático ESP</v>
      </c>
      <c r="C111" s="85">
        <f>(SUMIFS('Registrio Paros'!F:F,'Registrio Paros'!A:A,"&gt;="&amp;DATE($B$9,$C$9,$D$9),'Registrio Paros'!J:J,B111,'Registrio Paros'!G:G,"&lt;&gt;Programada")-SUMIFS('Registrio Paros'!F:F,'Registrio Paros'!A:A,"&gt;"&amp;DATE($B$12,$C$12,$D$12),'Registrio Paros'!J:J,B111,'Registrio Paros'!G:G,"&lt;&gt;Programada"))</f>
        <v>0</v>
      </c>
      <c r="D111" s="86">
        <f t="shared" ref="D111:D142" si="3">IFERROR(C111/SUM($C$15:$C$152),"")</f>
        <v>0</v>
      </c>
    </row>
    <row r="112" spans="2:4" ht="15.6" hidden="1">
      <c r="B112" s="86" t="str">
        <f>Listas!D99</f>
        <v>Planta eléctrica de 1250 Kva</v>
      </c>
      <c r="C112" s="85">
        <f>(SUMIFS('Registrio Paros'!F:F,'Registrio Paros'!A:A,"&gt;="&amp;DATE($B$9,$C$9,$D$9),'Registrio Paros'!J:J,B112,'Registrio Paros'!G:G,"&lt;&gt;Programada")-SUMIFS('Registrio Paros'!F:F,'Registrio Paros'!A:A,"&gt;"&amp;DATE($B$12,$C$12,$D$12),'Registrio Paros'!J:J,B112,'Registrio Paros'!G:G,"&lt;&gt;Programada"))</f>
        <v>1.0333333333333334</v>
      </c>
      <c r="D112" s="86">
        <f t="shared" si="3"/>
        <v>3.5530085959885389E-2</v>
      </c>
    </row>
    <row r="113" spans="2:4" ht="15.6" hidden="1">
      <c r="B113" s="86" t="str">
        <f>Listas!D100</f>
        <v>Planta eléctrica de 72 Kva</v>
      </c>
      <c r="C113" s="85">
        <f>(SUMIFS('Registrio Paros'!F:F,'Registrio Paros'!A:A,"&gt;="&amp;DATE($B$9,$C$9,$D$9),'Registrio Paros'!J:J,B113,'Registrio Paros'!G:G,"&lt;&gt;Programada")-SUMIFS('Registrio Paros'!F:F,'Registrio Paros'!A:A,"&gt;"&amp;DATE($B$12,$C$12,$D$12),'Registrio Paros'!J:J,B113,'Registrio Paros'!G:G,"&lt;&gt;Programada"))</f>
        <v>0</v>
      </c>
      <c r="D113" s="86">
        <f t="shared" si="3"/>
        <v>0</v>
      </c>
    </row>
    <row r="114" spans="2:4" ht="15.6" hidden="1">
      <c r="B114" s="86" t="str">
        <f>Listas!D101</f>
        <v>Compresor de aire FSN</v>
      </c>
      <c r="C114" s="85">
        <f>(SUMIFS('Registrio Paros'!F:F,'Registrio Paros'!A:A,"&gt;="&amp;DATE($B$9,$C$9,$D$9),'Registrio Paros'!J:J,B114,'Registrio Paros'!G:G,"&lt;&gt;Programada")-SUMIFS('Registrio Paros'!F:F,'Registrio Paros'!A:A,"&gt;"&amp;DATE($B$12,$C$12,$D$12),'Registrio Paros'!J:J,B114,'Registrio Paros'!G:G,"&lt;&gt;Programada"))</f>
        <v>0</v>
      </c>
      <c r="D114" s="86">
        <f t="shared" si="3"/>
        <v>0</v>
      </c>
    </row>
    <row r="115" spans="2:4" ht="15.6" hidden="1">
      <c r="B115" s="86" t="str">
        <f>Listas!D102</f>
        <v>Turbina</v>
      </c>
      <c r="C115" s="85">
        <f>(SUMIFS('Registrio Paros'!F:F,'Registrio Paros'!A:A,"&gt;="&amp;DATE($B$9,$C$9,$D$9),'Registrio Paros'!J:J,B115,'Registrio Paros'!G:G,"&lt;&gt;Programada")-SUMIFS('Registrio Paros'!F:F,'Registrio Paros'!A:A,"&gt;"&amp;DATE($B$12,$C$12,$D$12),'Registrio Paros'!J:J,B115,'Registrio Paros'!G:G,"&lt;&gt;Programada"))</f>
        <v>6.6666666666666666E-2</v>
      </c>
      <c r="D115" s="86">
        <f t="shared" si="3"/>
        <v>2.2922636103151865E-3</v>
      </c>
    </row>
    <row r="116" spans="2:4" ht="15.6">
      <c r="B116" s="86" t="str">
        <f>Listas!D103</f>
        <v>Tableros CCM</v>
      </c>
      <c r="C116" s="85">
        <f>(SUMIFS('Registrio Paros'!F:F,'Registrio Paros'!A:A,"&gt;="&amp;DATE($B$9,$C$9,$D$9),'Registrio Paros'!J:J,B116,'Registrio Paros'!G:G,"&lt;&gt;Programada")-SUMIFS('Registrio Paros'!F:F,'Registrio Paros'!A:A,"&gt;"&amp;DATE($B$12,$C$12,$D$12),'Registrio Paros'!J:J,B116,'Registrio Paros'!G:G,"&lt;&gt;Programada"))</f>
        <v>0</v>
      </c>
      <c r="D116" s="86">
        <f t="shared" si="3"/>
        <v>0</v>
      </c>
    </row>
    <row r="117" spans="2:4" ht="15.6" hidden="1">
      <c r="B117" s="86" t="str">
        <f>Listas!D104</f>
        <v>Tablero Caldera</v>
      </c>
      <c r="C117" s="85">
        <f>(SUMIFS('Registrio Paros'!F:F,'Registrio Paros'!A:A,"&gt;="&amp;DATE($B$9,$C$9,$D$9),'Registrio Paros'!J:J,B117,'Registrio Paros'!G:G,"&lt;&gt;Programada")-SUMIFS('Registrio Paros'!F:F,'Registrio Paros'!A:A,"&gt;"&amp;DATE($B$12,$C$12,$D$12),'Registrio Paros'!J:J,B117,'Registrio Paros'!G:G,"&lt;&gt;Programada"))</f>
        <v>0</v>
      </c>
      <c r="D117" s="86">
        <f t="shared" si="3"/>
        <v>0</v>
      </c>
    </row>
    <row r="118" spans="2:4" ht="15.6" hidden="1">
      <c r="B118" s="86" t="str">
        <f>Listas!D105</f>
        <v>Tablero ESP</v>
      </c>
      <c r="C118" s="85">
        <f>(SUMIFS('Registrio Paros'!F:F,'Registrio Paros'!A:A,"&gt;="&amp;DATE($B$9,$C$9,$D$9),'Registrio Paros'!J:J,B118,'Registrio Paros'!G:G,"&lt;&gt;Programada")-SUMIFS('Registrio Paros'!F:F,'Registrio Paros'!A:A,"&gt;"&amp;DATE($B$12,$C$12,$D$12),'Registrio Paros'!J:J,B118,'Registrio Paros'!G:G,"&lt;&gt;Programada"))</f>
        <v>0</v>
      </c>
      <c r="D118" s="86">
        <f t="shared" si="3"/>
        <v>0</v>
      </c>
    </row>
    <row r="119" spans="2:4" ht="15.6" hidden="1">
      <c r="B119" s="86" t="str">
        <f>Listas!D106</f>
        <v>Tablero bomba pozo profundo</v>
      </c>
      <c r="C119" s="85">
        <f>(SUMIFS('Registrio Paros'!F:F,'Registrio Paros'!A:A,"&gt;="&amp;DATE($B$9,$C$9,$D$9),'Registrio Paros'!J:J,B119,'Registrio Paros'!G:G,"&lt;&gt;Programada")-SUMIFS('Registrio Paros'!F:F,'Registrio Paros'!A:A,"&gt;"&amp;DATE($B$12,$C$12,$D$12),'Registrio Paros'!J:J,B119,'Registrio Paros'!G:G,"&lt;&gt;Programada"))</f>
        <v>0</v>
      </c>
      <c r="D119" s="86">
        <f t="shared" si="3"/>
        <v>0</v>
      </c>
    </row>
    <row r="120" spans="2:4" ht="15.6" hidden="1">
      <c r="B120" s="86" t="str">
        <f>Listas!D107</f>
        <v>Tanque almacenamiento No. 1</v>
      </c>
      <c r="C120" s="85">
        <f>(SUMIFS('Registrio Paros'!F:F,'Registrio Paros'!A:A,"&gt;="&amp;DATE($B$9,$C$9,$D$9),'Registrio Paros'!J:J,B120,'Registrio Paros'!G:G,"&lt;&gt;Programada")-SUMIFS('Registrio Paros'!F:F,'Registrio Paros'!A:A,"&gt;"&amp;DATE($B$12,$C$12,$D$12),'Registrio Paros'!J:J,B120,'Registrio Paros'!G:G,"&lt;&gt;Programada"))</f>
        <v>0</v>
      </c>
      <c r="D120" s="86">
        <f t="shared" si="3"/>
        <v>0</v>
      </c>
    </row>
    <row r="121" spans="2:4" ht="15.6" hidden="1">
      <c r="B121" s="86" t="str">
        <f>Listas!D108</f>
        <v>Tanque almacenamiento No. 2</v>
      </c>
      <c r="C121" s="85">
        <f>(SUMIFS('Registrio Paros'!F:F,'Registrio Paros'!A:A,"&gt;="&amp;DATE($B$9,$C$9,$D$9),'Registrio Paros'!J:J,B121,'Registrio Paros'!G:G,"&lt;&gt;Programada")-SUMIFS('Registrio Paros'!F:F,'Registrio Paros'!A:A,"&gt;"&amp;DATE($B$12,$C$12,$D$12),'Registrio Paros'!J:J,B121,'Registrio Paros'!G:G,"&lt;&gt;Programada"))</f>
        <v>0</v>
      </c>
      <c r="D121" s="86">
        <f t="shared" si="3"/>
        <v>0</v>
      </c>
    </row>
    <row r="122" spans="2:4" ht="15.6" hidden="1">
      <c r="B122" s="86" t="str">
        <f>Listas!D109</f>
        <v>Zona de cargue</v>
      </c>
      <c r="C122" s="85">
        <f>(SUMIFS('Registrio Paros'!F:F,'Registrio Paros'!A:A,"&gt;="&amp;DATE($B$9,$C$9,$D$9),'Registrio Paros'!J:J,B122,'Registrio Paros'!G:G,"&lt;&gt;Programada")-SUMIFS('Registrio Paros'!F:F,'Registrio Paros'!A:A,"&gt;"&amp;DATE($B$12,$C$12,$D$12),'Registrio Paros'!J:J,B122,'Registrio Paros'!G:G,"&lt;&gt;Programada"))</f>
        <v>0</v>
      </c>
      <c r="D122" s="86">
        <f t="shared" si="3"/>
        <v>0</v>
      </c>
    </row>
    <row r="123" spans="2:4" ht="15.6" hidden="1">
      <c r="B123" s="86" t="str">
        <f>Listas!D110</f>
        <v>Caldera Inducido #1</v>
      </c>
      <c r="C123" s="85">
        <f>(SUMIFS('Registrio Paros'!F:F,'Registrio Paros'!A:A,"&gt;="&amp;DATE($B$9,$C$9,$D$9),'Registrio Paros'!J:J,B123,'Registrio Paros'!G:G,"&lt;&gt;Programada")-SUMIFS('Registrio Paros'!F:F,'Registrio Paros'!A:A,"&gt;"&amp;DATE($B$12,$C$12,$D$12),'Registrio Paros'!J:J,B123,'Registrio Paros'!G:G,"&lt;&gt;Programada"))</f>
        <v>0</v>
      </c>
      <c r="D123" s="86">
        <f t="shared" si="3"/>
        <v>0</v>
      </c>
    </row>
    <row r="124" spans="2:4" ht="15.6" hidden="1">
      <c r="B124" s="86" t="str">
        <f>Listas!D111</f>
        <v>Caldera Inducido #2</v>
      </c>
      <c r="C124" s="85">
        <f>(SUMIFS('Registrio Paros'!F:F,'Registrio Paros'!A:A,"&gt;="&amp;DATE($B$9,$C$9,$D$9),'Registrio Paros'!J:J,B124,'Registrio Paros'!G:G,"&lt;&gt;Programada")-SUMIFS('Registrio Paros'!F:F,'Registrio Paros'!A:A,"&gt;"&amp;DATE($B$12,$C$12,$D$12),'Registrio Paros'!J:J,B124,'Registrio Paros'!G:G,"&lt;&gt;Programada"))</f>
        <v>0</v>
      </c>
      <c r="D124" s="86">
        <f t="shared" si="3"/>
        <v>0</v>
      </c>
    </row>
    <row r="125" spans="2:4" ht="15.6" hidden="1">
      <c r="B125" s="86" t="str">
        <f>Listas!D112</f>
        <v>Caldera ventilador forzado</v>
      </c>
      <c r="C125" s="85">
        <f>(SUMIFS('Registrio Paros'!F:F,'Registrio Paros'!A:A,"&gt;="&amp;DATE($B$9,$C$9,$D$9),'Registrio Paros'!J:J,B125,'Registrio Paros'!G:G,"&lt;&gt;Programada")-SUMIFS('Registrio Paros'!F:F,'Registrio Paros'!A:A,"&gt;"&amp;DATE($B$12,$C$12,$D$12),'Registrio Paros'!J:J,B125,'Registrio Paros'!G:G,"&lt;&gt;Programada"))</f>
        <v>0</v>
      </c>
      <c r="D125" s="86">
        <f t="shared" si="3"/>
        <v>0</v>
      </c>
    </row>
    <row r="126" spans="2:4" ht="15.6" hidden="1">
      <c r="B126" s="86" t="str">
        <f>Listas!D113</f>
        <v>Caldera ventilador secundario</v>
      </c>
      <c r="C126" s="85">
        <f>(SUMIFS('Registrio Paros'!F:F,'Registrio Paros'!A:A,"&gt;="&amp;DATE($B$9,$C$9,$D$9),'Registrio Paros'!J:J,B126,'Registrio Paros'!G:G,"&lt;&gt;Programada")-SUMIFS('Registrio Paros'!F:F,'Registrio Paros'!A:A,"&gt;"&amp;DATE($B$12,$C$12,$D$12),'Registrio Paros'!J:J,B126,'Registrio Paros'!G:G,"&lt;&gt;Programada"))</f>
        <v>0</v>
      </c>
      <c r="D126" s="86">
        <f t="shared" si="3"/>
        <v>0</v>
      </c>
    </row>
    <row r="127" spans="2:4" ht="15.6" hidden="1">
      <c r="B127" s="86" t="str">
        <f>Listas!D114</f>
        <v>Caldera ventilador alimentador</v>
      </c>
      <c r="C127" s="85">
        <f>(SUMIFS('Registrio Paros'!F:F,'Registrio Paros'!A:A,"&gt;="&amp;DATE($B$9,$C$9,$D$9),'Registrio Paros'!J:J,B127,'Registrio Paros'!G:G,"&lt;&gt;Programada")-SUMIFS('Registrio Paros'!F:F,'Registrio Paros'!A:A,"&gt;"&amp;DATE($B$12,$C$12,$D$12),'Registrio Paros'!J:J,B127,'Registrio Paros'!G:G,"&lt;&gt;Programada"))</f>
        <v>0</v>
      </c>
      <c r="D127" s="86">
        <f t="shared" si="3"/>
        <v>0</v>
      </c>
    </row>
    <row r="128" spans="2:4" ht="15.6" hidden="1">
      <c r="B128" s="86" t="str">
        <f>Listas!D115</f>
        <v>Caldera sinfín alimentador</v>
      </c>
      <c r="C128" s="85">
        <f>(SUMIFS('Registrio Paros'!F:F,'Registrio Paros'!A:A,"&gt;="&amp;DATE($B$9,$C$9,$D$9),'Registrio Paros'!J:J,B128,'Registrio Paros'!G:G,"&lt;&gt;Programada")-SUMIFS('Registrio Paros'!F:F,'Registrio Paros'!A:A,"&gt;"&amp;DATE($B$12,$C$12,$D$12),'Registrio Paros'!J:J,B128,'Registrio Paros'!G:G,"&lt;&gt;Programada"))</f>
        <v>0</v>
      </c>
      <c r="D128" s="86">
        <f t="shared" si="3"/>
        <v>0</v>
      </c>
    </row>
    <row r="129" spans="2:4" ht="15.6" hidden="1">
      <c r="B129" s="86" t="str">
        <f>Listas!D116</f>
        <v>Caldera compresor</v>
      </c>
      <c r="C129" s="85">
        <f>(SUMIFS('Registrio Paros'!F:F,'Registrio Paros'!A:A,"&gt;="&amp;DATE($B$9,$C$9,$D$9),'Registrio Paros'!J:J,B129,'Registrio Paros'!G:G,"&lt;&gt;Programada")-SUMIFS('Registrio Paros'!F:F,'Registrio Paros'!A:A,"&gt;"&amp;DATE($B$12,$C$12,$D$12),'Registrio Paros'!J:J,B129,'Registrio Paros'!G:G,"&lt;&gt;Programada"))</f>
        <v>0</v>
      </c>
      <c r="D129" s="86">
        <f t="shared" si="3"/>
        <v>0</v>
      </c>
    </row>
    <row r="130" spans="2:4" ht="15.6">
      <c r="B130" s="86" t="str">
        <f>Listas!D117</f>
        <v>Caldera bomba agua #1</v>
      </c>
      <c r="C130" s="85">
        <f>(SUMIFS('Registrio Paros'!F:F,'Registrio Paros'!A:A,"&gt;="&amp;DATE($B$9,$C$9,$D$9),'Registrio Paros'!J:J,B130,'Registrio Paros'!G:G,"&lt;&gt;Programada")-SUMIFS('Registrio Paros'!F:F,'Registrio Paros'!A:A,"&gt;"&amp;DATE($B$12,$C$12,$D$12),'Registrio Paros'!J:J,B130,'Registrio Paros'!G:G,"&lt;&gt;Programada"))</f>
        <v>0</v>
      </c>
      <c r="D130" s="86">
        <f t="shared" si="3"/>
        <v>0</v>
      </c>
    </row>
    <row r="131" spans="2:4" ht="15.6" hidden="1">
      <c r="B131" s="86" t="str">
        <f>Listas!D118</f>
        <v>Caldera bomba agua #2</v>
      </c>
      <c r="C131" s="85">
        <f>(SUMIFS('Registrio Paros'!F:F,'Registrio Paros'!A:A,"&gt;="&amp;DATE($B$9,$C$9,$D$9),'Registrio Paros'!J:J,B131,'Registrio Paros'!G:G,"&lt;&gt;Programada")-SUMIFS('Registrio Paros'!F:F,'Registrio Paros'!A:A,"&gt;"&amp;DATE($B$12,$C$12,$D$12),'Registrio Paros'!J:J,B131,'Registrio Paros'!G:G,"&lt;&gt;Programada"))</f>
        <v>0</v>
      </c>
      <c r="D131" s="86">
        <f t="shared" si="3"/>
        <v>0</v>
      </c>
    </row>
    <row r="132" spans="2:4" ht="15.6" hidden="1">
      <c r="B132" s="86" t="str">
        <f>Listas!D119</f>
        <v>Caldera bomba desaireador #1</v>
      </c>
      <c r="C132" s="85">
        <f>(SUMIFS('Registrio Paros'!F:F,'Registrio Paros'!A:A,"&gt;="&amp;DATE($B$9,$C$9,$D$9),'Registrio Paros'!J:J,B132,'Registrio Paros'!G:G,"&lt;&gt;Programada")-SUMIFS('Registrio Paros'!F:F,'Registrio Paros'!A:A,"&gt;"&amp;DATE($B$12,$C$12,$D$12),'Registrio Paros'!J:J,B132,'Registrio Paros'!G:G,"&lt;&gt;Programada"))</f>
        <v>0</v>
      </c>
      <c r="D132" s="86">
        <f t="shared" si="3"/>
        <v>0</v>
      </c>
    </row>
    <row r="133" spans="2:4" ht="15.6" hidden="1">
      <c r="B133" s="86" t="str">
        <f>Listas!D120</f>
        <v>Caldera bomba desaireador #2</v>
      </c>
      <c r="C133" s="85">
        <f>(SUMIFS('Registrio Paros'!F:F,'Registrio Paros'!A:A,"&gt;="&amp;DATE($B$9,$C$9,$D$9),'Registrio Paros'!J:J,B133,'Registrio Paros'!G:G,"&lt;&gt;Programada")-SUMIFS('Registrio Paros'!F:F,'Registrio Paros'!A:A,"&gt;"&amp;DATE($B$12,$C$12,$D$12),'Registrio Paros'!J:J,B133,'Registrio Paros'!G:G,"&lt;&gt;Programada"))</f>
        <v>0</v>
      </c>
      <c r="D133" s="86">
        <f t="shared" si="3"/>
        <v>0</v>
      </c>
    </row>
    <row r="134" spans="2:4" ht="15.6" hidden="1">
      <c r="B134" s="86" t="str">
        <f>Listas!D121</f>
        <v>Caldera dosificador #1</v>
      </c>
      <c r="C134" s="85">
        <f>(SUMIFS('Registrio Paros'!F:F,'Registrio Paros'!A:A,"&gt;="&amp;DATE($B$9,$C$9,$D$9),'Registrio Paros'!J:J,B134,'Registrio Paros'!G:G,"&lt;&gt;Programada")-SUMIFS('Registrio Paros'!F:F,'Registrio Paros'!A:A,"&gt;"&amp;DATE($B$12,$C$12,$D$12),'Registrio Paros'!J:J,B134,'Registrio Paros'!G:G,"&lt;&gt;Programada"))</f>
        <v>0</v>
      </c>
      <c r="D134" s="86">
        <f t="shared" si="3"/>
        <v>0</v>
      </c>
    </row>
    <row r="135" spans="2:4" ht="15.6" hidden="1">
      <c r="B135" s="86" t="str">
        <f>Listas!D122</f>
        <v>Caldera dosificador #2</v>
      </c>
      <c r="C135" s="85">
        <f>(SUMIFS('Registrio Paros'!F:F,'Registrio Paros'!A:A,"&gt;="&amp;DATE($B$9,$C$9,$D$9),'Registrio Paros'!J:J,B135,'Registrio Paros'!G:G,"&lt;&gt;Programada")-SUMIFS('Registrio Paros'!F:F,'Registrio Paros'!A:A,"&gt;"&amp;DATE($B$12,$C$12,$D$12),'Registrio Paros'!J:J,B135,'Registrio Paros'!G:G,"&lt;&gt;Programada"))</f>
        <v>0</v>
      </c>
      <c r="D135" s="86">
        <f t="shared" si="3"/>
        <v>0</v>
      </c>
    </row>
    <row r="136" spans="2:4" ht="15.6" hidden="1">
      <c r="B136" s="86" t="str">
        <f>Listas!D123</f>
        <v>Caldera redler ceniza humeda</v>
      </c>
      <c r="C136" s="85">
        <f>(SUMIFS('Registrio Paros'!F:F,'Registrio Paros'!A:A,"&gt;="&amp;DATE($B$9,$C$9,$D$9),'Registrio Paros'!J:J,B136,'Registrio Paros'!G:G,"&lt;&gt;Programada")-SUMIFS('Registrio Paros'!F:F,'Registrio Paros'!A:A,"&gt;"&amp;DATE($B$12,$C$12,$D$12),'Registrio Paros'!J:J,B136,'Registrio Paros'!G:G,"&lt;&gt;Programada"))</f>
        <v>0</v>
      </c>
      <c r="D136" s="86">
        <f t="shared" si="3"/>
        <v>0</v>
      </c>
    </row>
    <row r="137" spans="2:4" ht="15.6" hidden="1">
      <c r="B137" s="86" t="str">
        <f>Listas!D124</f>
        <v>Caldera Refrigeración parrilla</v>
      </c>
      <c r="C137" s="85">
        <f>(SUMIFS('Registrio Paros'!F:F,'Registrio Paros'!A:A,"&gt;="&amp;DATE($B$9,$C$9,$D$9),'Registrio Paros'!J:J,B137,'Registrio Paros'!G:G,"&lt;&gt;Programada")-SUMIFS('Registrio Paros'!F:F,'Registrio Paros'!A:A,"&gt;"&amp;DATE($B$12,$C$12,$D$12),'Registrio Paros'!J:J,B137,'Registrio Paros'!G:G,"&lt;&gt;Programada"))</f>
        <v>0</v>
      </c>
      <c r="D137" s="86">
        <f t="shared" si="3"/>
        <v>0</v>
      </c>
    </row>
    <row r="138" spans="2:4" ht="15.6" hidden="1">
      <c r="B138" s="86" t="str">
        <f>Listas!D125</f>
        <v>Caldera bomba hidráulica #1</v>
      </c>
      <c r="C138" s="85">
        <f>(SUMIFS('Registrio Paros'!F:F,'Registrio Paros'!A:A,"&gt;="&amp;DATE($B$9,$C$9,$D$9),'Registrio Paros'!J:J,B138,'Registrio Paros'!G:G,"&lt;&gt;Programada")-SUMIFS('Registrio Paros'!F:F,'Registrio Paros'!A:A,"&gt;"&amp;DATE($B$12,$C$12,$D$12),'Registrio Paros'!J:J,B138,'Registrio Paros'!G:G,"&lt;&gt;Programada"))</f>
        <v>0</v>
      </c>
      <c r="D138" s="86">
        <f t="shared" si="3"/>
        <v>0</v>
      </c>
    </row>
    <row r="139" spans="2:4" ht="15.6" hidden="1">
      <c r="B139" s="86" t="str">
        <f>Listas!D126</f>
        <v>Caldera bomba hidráulica #2</v>
      </c>
      <c r="C139" s="85">
        <f>(SUMIFS('Registrio Paros'!F:F,'Registrio Paros'!A:A,"&gt;="&amp;DATE($B$9,$C$9,$D$9),'Registrio Paros'!J:J,B139,'Registrio Paros'!G:G,"&lt;&gt;Programada")-SUMIFS('Registrio Paros'!F:F,'Registrio Paros'!A:A,"&gt;"&amp;DATE($B$12,$C$12,$D$12),'Registrio Paros'!J:J,B139,'Registrio Paros'!G:G,"&lt;&gt;Programada"))</f>
        <v>0</v>
      </c>
      <c r="D139" s="86">
        <f t="shared" si="3"/>
        <v>0</v>
      </c>
    </row>
    <row r="140" spans="2:4" ht="15.6" hidden="1">
      <c r="B140" s="86" t="str">
        <f>Listas!D127</f>
        <v>Caldera hidráulico A4</v>
      </c>
      <c r="C140" s="85">
        <f>(SUMIFS('Registrio Paros'!F:F,'Registrio Paros'!A:A,"&gt;="&amp;DATE($B$9,$C$9,$D$9),'Registrio Paros'!J:J,B140,'Registrio Paros'!G:G,"&lt;&gt;Programada")-SUMIFS('Registrio Paros'!F:F,'Registrio Paros'!A:A,"&gt;"&amp;DATE($B$12,$C$12,$D$12),'Registrio Paros'!J:J,B140,'Registrio Paros'!G:G,"&lt;&gt;Programada"))</f>
        <v>0</v>
      </c>
      <c r="D140" s="86">
        <f t="shared" si="3"/>
        <v>0</v>
      </c>
    </row>
    <row r="141" spans="2:4" ht="15.6" hidden="1">
      <c r="B141" s="86" t="str">
        <f>Listas!D128</f>
        <v>Caldera ciclón A3</v>
      </c>
      <c r="C141" s="85">
        <f>(SUMIFS('Registrio Paros'!F:F,'Registrio Paros'!A:A,"&gt;="&amp;DATE($B$9,$C$9,$D$9),'Registrio Paros'!J:J,B141,'Registrio Paros'!G:G,"&lt;&gt;Programada")-SUMIFS('Registrio Paros'!F:F,'Registrio Paros'!A:A,"&gt;"&amp;DATE($B$12,$C$12,$D$12),'Registrio Paros'!J:J,B141,'Registrio Paros'!G:G,"&lt;&gt;Programada"))</f>
        <v>0</v>
      </c>
      <c r="D141" s="86">
        <f t="shared" si="3"/>
        <v>0</v>
      </c>
    </row>
    <row r="142" spans="2:4" ht="15.6" hidden="1">
      <c r="B142" s="86" t="str">
        <f>Listas!D129</f>
        <v>Caldera hogar</v>
      </c>
      <c r="C142" s="85">
        <f>(SUMIFS('Registrio Paros'!F:F,'Registrio Paros'!A:A,"&gt;="&amp;DATE($B$9,$C$9,$D$9),'Registrio Paros'!J:J,B142,'Registrio Paros'!G:G,"&lt;&gt;Programada")-SUMIFS('Registrio Paros'!F:F,'Registrio Paros'!A:A,"&gt;"&amp;DATE($B$12,$C$12,$D$12),'Registrio Paros'!J:J,B142,'Registrio Paros'!G:G,"&lt;&gt;Programada"))</f>
        <v>0</v>
      </c>
      <c r="D142" s="86">
        <f t="shared" si="3"/>
        <v>0</v>
      </c>
    </row>
    <row r="143" spans="2:4" ht="15.6" hidden="1">
      <c r="B143" s="86" t="str">
        <f>Listas!D130</f>
        <v>Caldera instrumentación</v>
      </c>
      <c r="C143" s="85">
        <f>(SUMIFS('Registrio Paros'!F:F,'Registrio Paros'!A:A,"&gt;="&amp;DATE($B$9,$C$9,$D$9),'Registrio Paros'!J:J,B143,'Registrio Paros'!G:G,"&lt;&gt;Programada")-SUMIFS('Registrio Paros'!F:F,'Registrio Paros'!A:A,"&gt;"&amp;DATE($B$12,$C$12,$D$12),'Registrio Paros'!J:J,B143,'Registrio Paros'!G:G,"&lt;&gt;Programada"))</f>
        <v>0</v>
      </c>
      <c r="D143" s="86">
        <f t="shared" ref="D143:D152" si="4">IFERROR(C143/SUM($C$15:$C$152),"")</f>
        <v>0</v>
      </c>
    </row>
    <row r="144" spans="2:4" ht="15.6" hidden="1">
      <c r="B144" s="86" t="str">
        <f>Listas!D131</f>
        <v>Caldera Mofle de Flotador de Agua</v>
      </c>
      <c r="C144" s="85">
        <f>(SUMIFS('Registrio Paros'!F:F,'Registrio Paros'!A:A,"&gt;="&amp;DATE($B$9,$C$9,$D$9),'Registrio Paros'!J:J,B144,'Registrio Paros'!G:G,"&lt;&gt;Programada")-SUMIFS('Registrio Paros'!F:F,'Registrio Paros'!A:A,"&gt;"&amp;DATE($B$12,$C$12,$D$12),'Registrio Paros'!J:J,B144,'Registrio Paros'!G:G,"&lt;&gt;Programada"))</f>
        <v>0</v>
      </c>
      <c r="D144" s="86">
        <f t="shared" si="4"/>
        <v>0</v>
      </c>
    </row>
    <row r="145" spans="2:4" ht="15.6" hidden="1">
      <c r="B145" s="86" t="str">
        <f>Listas!D132</f>
        <v>Clarificador</v>
      </c>
      <c r="C145" s="85">
        <f>(SUMIFS('Registrio Paros'!F:F,'Registrio Paros'!A:A,"&gt;="&amp;DATE($B$9,$C$9,$D$9),'Registrio Paros'!J:J,B145,'Registrio Paros'!G:G,"&lt;&gt;Programada")-SUMIFS('Registrio Paros'!F:F,'Registrio Paros'!A:A,"&gt;"&amp;DATE($B$12,$C$12,$D$12),'Registrio Paros'!J:J,B145,'Registrio Paros'!G:G,"&lt;&gt;Programada"))</f>
        <v>0</v>
      </c>
      <c r="D145" s="86">
        <f t="shared" si="4"/>
        <v>0</v>
      </c>
    </row>
    <row r="146" spans="2:4" ht="15.6" hidden="1">
      <c r="B146" s="86" t="str">
        <f>Listas!D133</f>
        <v>Bomba de filtros No. 1</v>
      </c>
      <c r="C146" s="85">
        <f>(SUMIFS('Registrio Paros'!F:F,'Registrio Paros'!A:A,"&gt;="&amp;DATE($B$9,$C$9,$D$9),'Registrio Paros'!J:J,B146,'Registrio Paros'!G:G,"&lt;&gt;Programada")-SUMIFS('Registrio Paros'!F:F,'Registrio Paros'!A:A,"&gt;"&amp;DATE($B$12,$C$12,$D$12),'Registrio Paros'!J:J,B146,'Registrio Paros'!G:G,"&lt;&gt;Programada"))</f>
        <v>0</v>
      </c>
      <c r="D146" s="86">
        <f t="shared" si="4"/>
        <v>0</v>
      </c>
    </row>
    <row r="147" spans="2:4" ht="15.6" hidden="1">
      <c r="B147" s="86" t="str">
        <f>Listas!D134</f>
        <v>Bomba de filtros No. 2</v>
      </c>
      <c r="C147" s="85">
        <f>(SUMIFS('Registrio Paros'!F:F,'Registrio Paros'!A:A,"&gt;="&amp;DATE($B$9,$C$9,$D$9),'Registrio Paros'!J:J,B147,'Registrio Paros'!G:G,"&lt;&gt;Programada")-SUMIFS('Registrio Paros'!F:F,'Registrio Paros'!A:A,"&gt;"&amp;DATE($B$12,$C$12,$D$12),'Registrio Paros'!J:J,B147,'Registrio Paros'!G:G,"&lt;&gt;Programada"))</f>
        <v>0</v>
      </c>
      <c r="D147" s="86">
        <f t="shared" si="4"/>
        <v>0</v>
      </c>
    </row>
    <row r="148" spans="2:4" ht="15.6" hidden="1">
      <c r="B148" s="86" t="str">
        <f>Listas!D135</f>
        <v>Bomba agua suavizada No. 1</v>
      </c>
      <c r="C148" s="85">
        <f>(SUMIFS('Registrio Paros'!F:F,'Registrio Paros'!A:A,"&gt;="&amp;DATE($B$9,$C$9,$D$9),'Registrio Paros'!J:J,B148,'Registrio Paros'!G:G,"&lt;&gt;Programada")-SUMIFS('Registrio Paros'!F:F,'Registrio Paros'!A:A,"&gt;"&amp;DATE($B$12,$C$12,$D$12),'Registrio Paros'!J:J,B148,'Registrio Paros'!G:G,"&lt;&gt;Programada"))</f>
        <v>0</v>
      </c>
      <c r="D148" s="86">
        <f t="shared" si="4"/>
        <v>0</v>
      </c>
    </row>
    <row r="149" spans="2:4" ht="15.6" hidden="1">
      <c r="B149" s="86" t="str">
        <f>Listas!D136</f>
        <v>Bomba agua suavizada No. 2</v>
      </c>
      <c r="C149" s="85">
        <f>(SUMIFS('Registrio Paros'!F:F,'Registrio Paros'!A:A,"&gt;="&amp;DATE($B$9,$C$9,$D$9),'Registrio Paros'!J:J,B149,'Registrio Paros'!G:G,"&lt;&gt;Programada")-SUMIFS('Registrio Paros'!F:F,'Registrio Paros'!A:A,"&gt;"&amp;DATE($B$12,$C$12,$D$12),'Registrio Paros'!J:J,B149,'Registrio Paros'!G:G,"&lt;&gt;Programada"))</f>
        <v>0</v>
      </c>
      <c r="D149" s="86">
        <f t="shared" si="4"/>
        <v>0</v>
      </c>
    </row>
    <row r="150" spans="2:4" ht="15.6" hidden="1">
      <c r="B150" s="86" t="str">
        <f>Listas!D137</f>
        <v>Tablero eléctrico</v>
      </c>
      <c r="C150" s="85">
        <f>(SUMIFS('Registrio Paros'!F:F,'Registrio Paros'!A:A,"&gt;="&amp;DATE($B$9,$C$9,$D$9),'Registrio Paros'!J:J,B150,'Registrio Paros'!G:G,"&lt;&gt;Programada")-SUMIFS('Registrio Paros'!F:F,'Registrio Paros'!A:A,"&gt;"&amp;DATE($B$12,$C$12,$D$12),'Registrio Paros'!J:J,B150,'Registrio Paros'!G:G,"&lt;&gt;Programada"))</f>
        <v>0</v>
      </c>
      <c r="D150" s="86">
        <f t="shared" si="4"/>
        <v>0</v>
      </c>
    </row>
    <row r="151" spans="2:4" ht="15.6" hidden="1">
      <c r="B151" s="86" t="str">
        <f>Listas!D138</f>
        <v>Planta de agua</v>
      </c>
      <c r="C151" s="85">
        <f>(SUMIFS('Registrio Paros'!F:F,'Registrio Paros'!A:A,"&gt;="&amp;DATE($B$9,$C$9,$D$9),'Registrio Paros'!J:J,B151,'Registrio Paros'!G:G,"&lt;&gt;Programada")-SUMIFS('Registrio Paros'!F:F,'Registrio Paros'!A:A,"&gt;"&amp;DATE($B$12,$C$12,$D$12),'Registrio Paros'!J:J,B151,'Registrio Paros'!G:G,"&lt;&gt;Programada"))</f>
        <v>0</v>
      </c>
      <c r="D151" s="86">
        <f t="shared" si="4"/>
        <v>0</v>
      </c>
    </row>
    <row r="152" spans="2:4" ht="15.6" hidden="1">
      <c r="B152" s="86" t="str">
        <f>Listas!D139</f>
        <v>Flujómetro de efluente final</v>
      </c>
      <c r="C152" s="85">
        <f>(SUMIFS('Registrio Paros'!F:F,'Registrio Paros'!A:A,"&gt;="&amp;DATE($B$9,$C$9,$D$9),'Registrio Paros'!J:J,B152,'Registrio Paros'!G:G,"&lt;&gt;Programada")-SUMIFS('Registrio Paros'!F:F,'Registrio Paros'!A:A,"&gt;"&amp;DATE($B$12,$C$12,$D$12),'Registrio Paros'!J:J,B152,'Registrio Paros'!G:G,"&lt;&gt;Programada"))</f>
        <v>0</v>
      </c>
      <c r="D152" s="86">
        <f t="shared" si="4"/>
        <v>0</v>
      </c>
    </row>
  </sheetData>
  <autoFilter ref="B14:D152" xr:uid="{71C4FC8F-0BA9-4EA0-BB43-E059570766C6}">
    <filterColumn colId="1">
      <filters>
        <filter val="0,03"/>
        <filter val="0,10"/>
        <filter val="0,12"/>
        <filter val="0,43"/>
        <filter val="0,57"/>
        <filter val="0,78"/>
        <filter val="1,15"/>
        <filter val="1,35"/>
        <filter val="1,75"/>
        <filter val="10,87"/>
        <filter val="2,08"/>
      </filters>
    </filterColumn>
  </autoFilter>
  <sortState xmlns:xlrd2="http://schemas.microsoft.com/office/spreadsheetml/2017/richdata2" ref="B15:D152">
    <sortCondition descending="1" ref="C15:C152"/>
  </sortState>
  <mergeCells count="5">
    <mergeCell ref="B6:D6"/>
    <mergeCell ref="B7:D7"/>
    <mergeCell ref="B10:D10"/>
    <mergeCell ref="B2:B4"/>
    <mergeCell ref="C2:C4"/>
  </mergeCells>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D158"/>
  <sheetViews>
    <sheetView showGridLines="0" zoomScale="80" zoomScaleNormal="80" workbookViewId="0">
      <selection activeCell="D142" sqref="D142"/>
    </sheetView>
  </sheetViews>
  <sheetFormatPr baseColWidth="10" defaultColWidth="11.44140625" defaultRowHeight="15.6"/>
  <cols>
    <col min="1" max="1" width="13.109375" style="15" bestFit="1" customWidth="1"/>
    <col min="2" max="2" width="23.6640625" style="15" bestFit="1" customWidth="1"/>
    <col min="3" max="3" width="23.33203125" style="15" bestFit="1" customWidth="1"/>
    <col min="4" max="4" width="62.109375" style="21" customWidth="1"/>
    <col min="5" max="16384" width="11.44140625" style="15"/>
  </cols>
  <sheetData>
    <row r="1" spans="1:4">
      <c r="A1" s="16" t="s">
        <v>0</v>
      </c>
      <c r="B1" s="16" t="s">
        <v>1</v>
      </c>
      <c r="C1" s="16" t="s">
        <v>2</v>
      </c>
      <c r="D1" s="52" t="s">
        <v>3</v>
      </c>
    </row>
    <row r="2" spans="1:4">
      <c r="A2" s="22" t="s">
        <v>4</v>
      </c>
      <c r="B2" s="22" t="s">
        <v>5</v>
      </c>
      <c r="C2" s="15" t="s">
        <v>6</v>
      </c>
      <c r="D2" s="53" t="s">
        <v>259</v>
      </c>
    </row>
    <row r="3" spans="1:4">
      <c r="A3" s="51" t="s">
        <v>7</v>
      </c>
      <c r="B3" s="22" t="s">
        <v>8</v>
      </c>
      <c r="C3" s="21" t="s">
        <v>9</v>
      </c>
      <c r="D3" s="53" t="s">
        <v>260</v>
      </c>
    </row>
    <row r="4" spans="1:4">
      <c r="A4" s="54" t="s">
        <v>10</v>
      </c>
      <c r="B4" s="22" t="s">
        <v>11</v>
      </c>
      <c r="C4" s="21" t="s">
        <v>12</v>
      </c>
      <c r="D4" s="53" t="s">
        <v>261</v>
      </c>
    </row>
    <row r="5" spans="1:4">
      <c r="A5" s="55" t="s">
        <v>13</v>
      </c>
      <c r="B5" s="22" t="s">
        <v>14</v>
      </c>
      <c r="C5" s="21" t="s">
        <v>15</v>
      </c>
      <c r="D5" s="21" t="s">
        <v>262</v>
      </c>
    </row>
    <row r="6" spans="1:4">
      <c r="B6" s="22" t="s">
        <v>16</v>
      </c>
      <c r="C6" s="21" t="s">
        <v>17</v>
      </c>
      <c r="D6" s="53" t="s">
        <v>263</v>
      </c>
    </row>
    <row r="7" spans="1:4">
      <c r="B7" s="22" t="s">
        <v>18</v>
      </c>
      <c r="C7" s="15" t="s">
        <v>19</v>
      </c>
      <c r="D7" s="21" t="s">
        <v>264</v>
      </c>
    </row>
    <row r="8" spans="1:4">
      <c r="B8" s="51" t="s">
        <v>20</v>
      </c>
      <c r="C8" s="21" t="s">
        <v>21</v>
      </c>
      <c r="D8" s="21" t="s">
        <v>265</v>
      </c>
    </row>
    <row r="9" spans="1:4">
      <c r="B9" s="51" t="s">
        <v>23</v>
      </c>
      <c r="C9" s="21" t="s">
        <v>24</v>
      </c>
      <c r="D9" s="21" t="s">
        <v>266</v>
      </c>
    </row>
    <row r="10" spans="1:4">
      <c r="B10" s="54" t="s">
        <v>25</v>
      </c>
      <c r="C10" s="15" t="s">
        <v>27</v>
      </c>
      <c r="D10" s="21" t="s">
        <v>267</v>
      </c>
    </row>
    <row r="11" spans="1:4">
      <c r="B11" s="54" t="s">
        <v>26</v>
      </c>
      <c r="C11" s="21" t="s">
        <v>29</v>
      </c>
      <c r="D11" s="21" t="s">
        <v>268</v>
      </c>
    </row>
    <row r="12" spans="1:4">
      <c r="B12" s="54" t="s">
        <v>28</v>
      </c>
      <c r="C12" s="21" t="s">
        <v>31</v>
      </c>
      <c r="D12" s="21" t="s">
        <v>269</v>
      </c>
    </row>
    <row r="13" spans="1:4">
      <c r="B13" s="54" t="s">
        <v>30</v>
      </c>
      <c r="C13" s="15" t="s">
        <v>257</v>
      </c>
      <c r="D13" s="53" t="s">
        <v>270</v>
      </c>
    </row>
    <row r="14" spans="1:4">
      <c r="B14" s="55" t="s">
        <v>32</v>
      </c>
      <c r="C14" s="15" t="s">
        <v>258</v>
      </c>
      <c r="D14" s="21" t="s">
        <v>271</v>
      </c>
    </row>
    <row r="15" spans="1:4">
      <c r="B15" s="55" t="s">
        <v>33</v>
      </c>
      <c r="C15" s="21"/>
      <c r="D15" s="21" t="s">
        <v>272</v>
      </c>
    </row>
    <row r="16" spans="1:4">
      <c r="B16" s="55" t="s">
        <v>34</v>
      </c>
      <c r="C16" s="21"/>
      <c r="D16" s="21" t="s">
        <v>273</v>
      </c>
    </row>
    <row r="17" spans="2:4">
      <c r="B17" s="55" t="s">
        <v>35</v>
      </c>
      <c r="C17" s="21"/>
      <c r="D17" s="21" t="s">
        <v>274</v>
      </c>
    </row>
    <row r="18" spans="2:4">
      <c r="B18" s="21"/>
      <c r="C18" s="21"/>
      <c r="D18" s="21" t="s">
        <v>275</v>
      </c>
    </row>
    <row r="19" spans="2:4">
      <c r="C19" s="21"/>
      <c r="D19" s="53" t="s">
        <v>276</v>
      </c>
    </row>
    <row r="20" spans="2:4">
      <c r="C20" s="21"/>
      <c r="D20" s="53" t="s">
        <v>277</v>
      </c>
    </row>
    <row r="21" spans="2:4">
      <c r="C21" s="21"/>
      <c r="D21" s="53" t="s">
        <v>278</v>
      </c>
    </row>
    <row r="22" spans="2:4">
      <c r="C22" s="21"/>
      <c r="D22" s="53" t="s">
        <v>279</v>
      </c>
    </row>
    <row r="23" spans="2:4">
      <c r="B23" s="20"/>
      <c r="C23" s="21"/>
      <c r="D23" s="53" t="s">
        <v>280</v>
      </c>
    </row>
    <row r="24" spans="2:4">
      <c r="C24" s="21"/>
      <c r="D24" s="53" t="s">
        <v>281</v>
      </c>
    </row>
    <row r="25" spans="2:4">
      <c r="D25" s="21" t="s">
        <v>282</v>
      </c>
    </row>
    <row r="26" spans="2:4">
      <c r="D26" s="21" t="s">
        <v>283</v>
      </c>
    </row>
    <row r="27" spans="2:4">
      <c r="D27" s="21" t="s">
        <v>284</v>
      </c>
    </row>
    <row r="28" spans="2:4">
      <c r="D28" s="21" t="s">
        <v>285</v>
      </c>
    </row>
    <row r="29" spans="2:4">
      <c r="D29" s="53" t="s">
        <v>286</v>
      </c>
    </row>
    <row r="30" spans="2:4">
      <c r="D30" s="53" t="s">
        <v>287</v>
      </c>
    </row>
    <row r="31" spans="2:4">
      <c r="D31" s="53" t="s">
        <v>288</v>
      </c>
    </row>
    <row r="32" spans="2:4">
      <c r="D32" s="53" t="s">
        <v>289</v>
      </c>
    </row>
    <row r="33" spans="4:4">
      <c r="D33" s="53" t="s">
        <v>290</v>
      </c>
    </row>
    <row r="34" spans="4:4">
      <c r="D34" s="53" t="s">
        <v>291</v>
      </c>
    </row>
    <row r="35" spans="4:4">
      <c r="D35" s="53" t="s">
        <v>292</v>
      </c>
    </row>
    <row r="36" spans="4:4">
      <c r="D36" s="53" t="s">
        <v>293</v>
      </c>
    </row>
    <row r="37" spans="4:4">
      <c r="D37" s="21" t="s">
        <v>294</v>
      </c>
    </row>
    <row r="38" spans="4:4">
      <c r="D38" s="21" t="s">
        <v>295</v>
      </c>
    </row>
    <row r="39" spans="4:4">
      <c r="D39" s="21" t="s">
        <v>296</v>
      </c>
    </row>
    <row r="40" spans="4:4">
      <c r="D40" s="21" t="s">
        <v>297</v>
      </c>
    </row>
    <row r="41" spans="4:4">
      <c r="D41" s="53" t="s">
        <v>298</v>
      </c>
    </row>
    <row r="42" spans="4:4">
      <c r="D42" s="21" t="s">
        <v>299</v>
      </c>
    </row>
    <row r="43" spans="4:4">
      <c r="D43" s="53" t="s">
        <v>300</v>
      </c>
    </row>
    <row r="44" spans="4:4">
      <c r="D44" s="53" t="s">
        <v>301</v>
      </c>
    </row>
    <row r="45" spans="4:4">
      <c r="D45" s="53" t="s">
        <v>302</v>
      </c>
    </row>
    <row r="46" spans="4:4">
      <c r="D46" s="53" t="s">
        <v>303</v>
      </c>
    </row>
    <row r="47" spans="4:4">
      <c r="D47" s="53" t="s">
        <v>304</v>
      </c>
    </row>
    <row r="48" spans="4:4">
      <c r="D48" s="21" t="s">
        <v>305</v>
      </c>
    </row>
    <row r="49" spans="4:4">
      <c r="D49" s="21" t="s">
        <v>306</v>
      </c>
    </row>
    <row r="50" spans="4:4">
      <c r="D50" s="53" t="s">
        <v>307</v>
      </c>
    </row>
    <row r="51" spans="4:4">
      <c r="D51" s="53" t="s">
        <v>308</v>
      </c>
    </row>
    <row r="52" spans="4:4">
      <c r="D52" s="53" t="s">
        <v>309</v>
      </c>
    </row>
    <row r="53" spans="4:4">
      <c r="D53" s="53" t="s">
        <v>310</v>
      </c>
    </row>
    <row r="54" spans="4:4">
      <c r="D54" s="53" t="s">
        <v>311</v>
      </c>
    </row>
    <row r="55" spans="4:4">
      <c r="D55" s="53" t="s">
        <v>312</v>
      </c>
    </row>
    <row r="56" spans="4:4">
      <c r="D56" s="53" t="s">
        <v>313</v>
      </c>
    </row>
    <row r="57" spans="4:4">
      <c r="D57" s="21" t="s">
        <v>314</v>
      </c>
    </row>
    <row r="58" spans="4:4">
      <c r="D58" s="21" t="s">
        <v>315</v>
      </c>
    </row>
    <row r="59" spans="4:4">
      <c r="D59" s="21" t="s">
        <v>316</v>
      </c>
    </row>
    <row r="60" spans="4:4">
      <c r="D60" s="21" t="s">
        <v>317</v>
      </c>
    </row>
    <row r="61" spans="4:4">
      <c r="D61" s="21" t="s">
        <v>318</v>
      </c>
    </row>
    <row r="62" spans="4:4">
      <c r="D62" s="53" t="s">
        <v>319</v>
      </c>
    </row>
    <row r="63" spans="4:4">
      <c r="D63" s="53" t="s">
        <v>320</v>
      </c>
    </row>
    <row r="64" spans="4:4">
      <c r="D64" s="53" t="s">
        <v>321</v>
      </c>
    </row>
    <row r="65" spans="4:4">
      <c r="D65" s="53" t="s">
        <v>322</v>
      </c>
    </row>
    <row r="66" spans="4:4">
      <c r="D66" s="53" t="s">
        <v>323</v>
      </c>
    </row>
    <row r="67" spans="4:4">
      <c r="D67" s="53" t="s">
        <v>324</v>
      </c>
    </row>
    <row r="68" spans="4:4">
      <c r="D68" s="53" t="s">
        <v>325</v>
      </c>
    </row>
    <row r="69" spans="4:4">
      <c r="D69" s="53" t="s">
        <v>326</v>
      </c>
    </row>
    <row r="70" spans="4:4">
      <c r="D70" s="21" t="s">
        <v>327</v>
      </c>
    </row>
    <row r="71" spans="4:4">
      <c r="D71" s="21" t="s">
        <v>328</v>
      </c>
    </row>
    <row r="72" spans="4:4">
      <c r="D72" s="21" t="s">
        <v>329</v>
      </c>
    </row>
    <row r="73" spans="4:4">
      <c r="D73" s="53" t="s">
        <v>330</v>
      </c>
    </row>
    <row r="74" spans="4:4">
      <c r="D74" s="21" t="s">
        <v>331</v>
      </c>
    </row>
    <row r="75" spans="4:4">
      <c r="D75" s="21" t="s">
        <v>332</v>
      </c>
    </row>
    <row r="76" spans="4:4">
      <c r="D76" s="21" t="s">
        <v>333</v>
      </c>
    </row>
    <row r="77" spans="4:4">
      <c r="D77" s="21" t="s">
        <v>334</v>
      </c>
    </row>
    <row r="78" spans="4:4">
      <c r="D78" s="21" t="s">
        <v>335</v>
      </c>
    </row>
    <row r="79" spans="4:4">
      <c r="D79" s="53" t="s">
        <v>336</v>
      </c>
    </row>
    <row r="80" spans="4:4">
      <c r="D80" s="53" t="s">
        <v>337</v>
      </c>
    </row>
    <row r="81" spans="4:4">
      <c r="D81" s="53" t="s">
        <v>338</v>
      </c>
    </row>
    <row r="82" spans="4:4">
      <c r="D82" s="53" t="s">
        <v>339</v>
      </c>
    </row>
    <row r="83" spans="4:4">
      <c r="D83" s="53" t="s">
        <v>340</v>
      </c>
    </row>
    <row r="84" spans="4:4">
      <c r="D84" s="21" t="s">
        <v>341</v>
      </c>
    </row>
    <row r="85" spans="4:4">
      <c r="D85" s="21" t="s">
        <v>342</v>
      </c>
    </row>
    <row r="86" spans="4:4">
      <c r="D86" s="21" t="s">
        <v>343</v>
      </c>
    </row>
    <row r="87" spans="4:4">
      <c r="D87" s="21" t="s">
        <v>344</v>
      </c>
    </row>
    <row r="88" spans="4:4">
      <c r="D88" s="21" t="s">
        <v>345</v>
      </c>
    </row>
    <row r="89" spans="4:4">
      <c r="D89" s="21" t="s">
        <v>346</v>
      </c>
    </row>
    <row r="90" spans="4:4">
      <c r="D90" s="21" t="s">
        <v>347</v>
      </c>
    </row>
    <row r="91" spans="4:4">
      <c r="D91" s="53" t="s">
        <v>348</v>
      </c>
    </row>
    <row r="92" spans="4:4">
      <c r="D92" s="53" t="s">
        <v>349</v>
      </c>
    </row>
    <row r="93" spans="4:4">
      <c r="D93" s="21" t="s">
        <v>350</v>
      </c>
    </row>
    <row r="94" spans="4:4">
      <c r="D94" s="21" t="s">
        <v>351</v>
      </c>
    </row>
    <row r="95" spans="4:4">
      <c r="D95" s="53" t="s">
        <v>352</v>
      </c>
    </row>
    <row r="96" spans="4:4">
      <c r="D96" s="53" t="s">
        <v>353</v>
      </c>
    </row>
    <row r="97" spans="4:4">
      <c r="D97" s="53" t="s">
        <v>354</v>
      </c>
    </row>
    <row r="98" spans="4:4">
      <c r="D98" s="21" t="s">
        <v>355</v>
      </c>
    </row>
    <row r="99" spans="4:4">
      <c r="D99" s="53" t="s">
        <v>356</v>
      </c>
    </row>
    <row r="100" spans="4:4">
      <c r="D100" s="53" t="s">
        <v>357</v>
      </c>
    </row>
    <row r="101" spans="4:4">
      <c r="D101" s="53" t="s">
        <v>358</v>
      </c>
    </row>
    <row r="102" spans="4:4">
      <c r="D102" s="53" t="s">
        <v>359</v>
      </c>
    </row>
    <row r="103" spans="4:4">
      <c r="D103" s="53" t="s">
        <v>360</v>
      </c>
    </row>
    <row r="104" spans="4:4">
      <c r="D104" s="21" t="s">
        <v>361</v>
      </c>
    </row>
    <row r="105" spans="4:4">
      <c r="D105" s="21" t="s">
        <v>362</v>
      </c>
    </row>
    <row r="106" spans="4:4">
      <c r="D106" s="21" t="s">
        <v>363</v>
      </c>
    </row>
    <row r="107" spans="4:4">
      <c r="D107" s="21" t="s">
        <v>364</v>
      </c>
    </row>
    <row r="108" spans="4:4">
      <c r="D108" s="21" t="s">
        <v>365</v>
      </c>
    </row>
    <row r="109" spans="4:4">
      <c r="D109" s="53" t="s">
        <v>366</v>
      </c>
    </row>
    <row r="110" spans="4:4">
      <c r="D110" s="53" t="s">
        <v>367</v>
      </c>
    </row>
    <row r="111" spans="4:4">
      <c r="D111" s="21" t="s">
        <v>368</v>
      </c>
    </row>
    <row r="112" spans="4:4">
      <c r="D112" s="53" t="s">
        <v>369</v>
      </c>
    </row>
    <row r="113" spans="4:4">
      <c r="D113" s="53" t="s">
        <v>370</v>
      </c>
    </row>
    <row r="114" spans="4:4">
      <c r="D114" s="53" t="s">
        <v>371</v>
      </c>
    </row>
    <row r="115" spans="4:4">
      <c r="D115" s="53" t="s">
        <v>372</v>
      </c>
    </row>
    <row r="116" spans="4:4">
      <c r="D116" s="21" t="s">
        <v>373</v>
      </c>
    </row>
    <row r="117" spans="4:4">
      <c r="D117" s="53" t="s">
        <v>374</v>
      </c>
    </row>
    <row r="118" spans="4:4">
      <c r="D118" s="53" t="s">
        <v>375</v>
      </c>
    </row>
    <row r="119" spans="4:4">
      <c r="D119" s="53" t="s">
        <v>376</v>
      </c>
    </row>
    <row r="120" spans="4:4">
      <c r="D120" s="53" t="s">
        <v>377</v>
      </c>
    </row>
    <row r="121" spans="4:4">
      <c r="D121" s="53" t="s">
        <v>378</v>
      </c>
    </row>
    <row r="122" spans="4:4">
      <c r="D122" s="53" t="s">
        <v>379</v>
      </c>
    </row>
    <row r="123" spans="4:4">
      <c r="D123" s="53" t="s">
        <v>380</v>
      </c>
    </row>
    <row r="124" spans="4:4">
      <c r="D124" s="53" t="s">
        <v>381</v>
      </c>
    </row>
    <row r="125" spans="4:4">
      <c r="D125" s="53" t="s">
        <v>382</v>
      </c>
    </row>
    <row r="126" spans="4:4">
      <c r="D126" s="53" t="s">
        <v>383</v>
      </c>
    </row>
    <row r="127" spans="4:4">
      <c r="D127" s="53" t="s">
        <v>384</v>
      </c>
    </row>
    <row r="128" spans="4:4">
      <c r="D128" s="53" t="s">
        <v>385</v>
      </c>
    </row>
    <row r="129" spans="4:4">
      <c r="D129" s="53" t="s">
        <v>386</v>
      </c>
    </row>
    <row r="130" spans="4:4">
      <c r="D130" s="53" t="s">
        <v>387</v>
      </c>
    </row>
    <row r="131" spans="4:4">
      <c r="D131" s="53" t="s">
        <v>388</v>
      </c>
    </row>
    <row r="132" spans="4:4">
      <c r="D132" s="53" t="s">
        <v>36</v>
      </c>
    </row>
    <row r="133" spans="4:4">
      <c r="D133" s="53" t="s">
        <v>389</v>
      </c>
    </row>
    <row r="134" spans="4:4">
      <c r="D134" s="53" t="s">
        <v>390</v>
      </c>
    </row>
    <row r="135" spans="4:4">
      <c r="D135" s="53" t="s">
        <v>391</v>
      </c>
    </row>
    <row r="136" spans="4:4">
      <c r="D136" s="53" t="s">
        <v>392</v>
      </c>
    </row>
    <row r="137" spans="4:4">
      <c r="D137" s="53" t="s">
        <v>393</v>
      </c>
    </row>
    <row r="138" spans="4:4">
      <c r="D138" s="53" t="s">
        <v>394</v>
      </c>
    </row>
    <row r="139" spans="4:4">
      <c r="D139" s="53" t="s">
        <v>395</v>
      </c>
    </row>
    <row r="140" spans="4:4">
      <c r="D140" s="53" t="s">
        <v>448</v>
      </c>
    </row>
    <row r="141" spans="4:4">
      <c r="D141" s="53" t="s">
        <v>16</v>
      </c>
    </row>
    <row r="142" spans="4:4">
      <c r="D142" s="53"/>
    </row>
    <row r="143" spans="4:4">
      <c r="D143" s="53"/>
    </row>
    <row r="144" spans="4:4">
      <c r="D144" s="53"/>
    </row>
    <row r="145" spans="4:4">
      <c r="D145" s="53"/>
    </row>
    <row r="146" spans="4:4">
      <c r="D146" s="53"/>
    </row>
    <row r="147" spans="4:4">
      <c r="D147" s="53"/>
    </row>
    <row r="148" spans="4:4">
      <c r="D148" s="53"/>
    </row>
    <row r="149" spans="4:4">
      <c r="D149" s="53"/>
    </row>
    <row r="150" spans="4:4">
      <c r="D150" s="53"/>
    </row>
    <row r="151" spans="4:4">
      <c r="D151" s="53"/>
    </row>
    <row r="152" spans="4:4">
      <c r="D152" s="53"/>
    </row>
    <row r="153" spans="4:4">
      <c r="D153" s="53"/>
    </row>
    <row r="154" spans="4:4">
      <c r="D154" s="53"/>
    </row>
    <row r="155" spans="4:4">
      <c r="D155" s="53"/>
    </row>
    <row r="156" spans="4:4">
      <c r="D156" s="53"/>
    </row>
    <row r="157" spans="4:4">
      <c r="D157" s="53"/>
    </row>
    <row r="158" spans="4:4">
      <c r="D158" s="53"/>
    </row>
  </sheetData>
  <sortState xmlns:xlrd2="http://schemas.microsoft.com/office/spreadsheetml/2017/richdata2" ref="D2:D158">
    <sortCondition ref="D2:D158"/>
  </sortState>
  <phoneticPr fontId="35" type="noConversion"/>
  <pageMargins left="0.7" right="0.7" top="0.75" bottom="0.75" header="0.3" footer="0.3"/>
  <pageSetup orientation="portrait" horizontalDpi="4294967292" verticalDpi="4294967292"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97"/>
  <sheetViews>
    <sheetView zoomScaleNormal="100" workbookViewId="0">
      <pane ySplit="1" topLeftCell="A2" activePane="bottomLeft" state="frozen"/>
      <selection activeCell="F7" sqref="F7:F17"/>
      <selection pane="bottomLeft" activeCell="D2" sqref="D2"/>
    </sheetView>
  </sheetViews>
  <sheetFormatPr baseColWidth="10" defaultColWidth="11.44140625" defaultRowHeight="13.8"/>
  <cols>
    <col min="1" max="1" width="39.44140625" style="33" bestFit="1" customWidth="1"/>
    <col min="2" max="2" width="8" style="25" bestFit="1" customWidth="1"/>
    <col min="3" max="3" width="7.44140625" style="25" bestFit="1" customWidth="1"/>
    <col min="4" max="16384" width="11.44140625" style="25"/>
  </cols>
  <sheetData>
    <row r="1" spans="1:8">
      <c r="A1" s="34" t="s">
        <v>49</v>
      </c>
      <c r="B1" s="27">
        <v>2016</v>
      </c>
      <c r="C1" s="27">
        <v>2017</v>
      </c>
      <c r="D1" s="27" t="s">
        <v>132</v>
      </c>
      <c r="E1" s="27">
        <v>2016</v>
      </c>
      <c r="F1" s="27">
        <v>2017</v>
      </c>
    </row>
    <row r="2" spans="1:8" ht="15.6">
      <c r="A2" s="18" t="s">
        <v>40</v>
      </c>
      <c r="B2" s="19">
        <v>86.76</v>
      </c>
      <c r="C2" s="19">
        <v>118.56666666666599</v>
      </c>
      <c r="D2" s="26">
        <f t="shared" ref="D2:D33" si="0">SUM(B2:C2)</f>
        <v>205.326666666666</v>
      </c>
      <c r="E2" s="30">
        <f t="shared" ref="E2:E33" si="1">B2/$B$95</f>
        <v>9.493795548552296E-2</v>
      </c>
      <c r="F2" s="30">
        <f t="shared" ref="F2:F33" si="2">C2/$C$95</f>
        <v>0.15719948911270826</v>
      </c>
      <c r="G2" s="30">
        <f t="shared" ref="G2:G33" si="3">D2/$D$95</f>
        <v>0.12308989650920875</v>
      </c>
      <c r="H2" s="32">
        <f t="shared" ref="H2:H33" si="4">G2+H1</f>
        <v>0.12308989650920875</v>
      </c>
    </row>
    <row r="3" spans="1:8" ht="15.6">
      <c r="A3" s="18" t="s">
        <v>39</v>
      </c>
      <c r="B3" s="19">
        <v>88.57</v>
      </c>
      <c r="C3" s="19">
        <v>85.85</v>
      </c>
      <c r="D3" s="26">
        <f t="shared" si="0"/>
        <v>174.42</v>
      </c>
      <c r="E3" s="30">
        <f t="shared" si="1"/>
        <v>9.6918565206924476E-2</v>
      </c>
      <c r="F3" s="30">
        <f t="shared" si="2"/>
        <v>0.11382268321894361</v>
      </c>
      <c r="G3" s="30">
        <f t="shared" si="3"/>
        <v>0.10456186767006848</v>
      </c>
      <c r="H3" s="32">
        <f t="shared" si="4"/>
        <v>0.22765176417927724</v>
      </c>
    </row>
    <row r="4" spans="1:8" ht="15.6">
      <c r="A4" s="18" t="s">
        <v>137</v>
      </c>
      <c r="B4" s="19"/>
      <c r="C4" s="19">
        <v>160.44166666666652</v>
      </c>
      <c r="D4" s="26">
        <f t="shared" si="0"/>
        <v>160.44166666666652</v>
      </c>
      <c r="E4" s="30">
        <f t="shared" si="1"/>
        <v>0</v>
      </c>
      <c r="F4" s="30">
        <f t="shared" si="2"/>
        <v>0.21271870704856527</v>
      </c>
      <c r="G4" s="30">
        <f t="shared" si="3"/>
        <v>9.6182091037525633E-2</v>
      </c>
      <c r="H4" s="32">
        <f t="shared" si="4"/>
        <v>0.32383385521680286</v>
      </c>
    </row>
    <row r="5" spans="1:8" ht="15.6">
      <c r="A5" s="18" t="s">
        <v>138</v>
      </c>
      <c r="B5" s="19">
        <v>64.849999999999994</v>
      </c>
      <c r="C5" s="19">
        <v>72.125000000000014</v>
      </c>
      <c r="D5" s="26">
        <f t="shared" si="0"/>
        <v>136.97500000000002</v>
      </c>
      <c r="E5" s="30">
        <f t="shared" si="1"/>
        <v>7.0962729520933188E-2</v>
      </c>
      <c r="F5" s="30">
        <f t="shared" si="2"/>
        <v>9.5625638056683865E-2</v>
      </c>
      <c r="G5" s="30">
        <f t="shared" si="3"/>
        <v>8.2114217544476731E-2</v>
      </c>
      <c r="H5" s="32">
        <f t="shared" si="4"/>
        <v>0.40594807276127959</v>
      </c>
    </row>
    <row r="6" spans="1:8" ht="15.6">
      <c r="A6" s="18" t="s">
        <v>139</v>
      </c>
      <c r="B6" s="19">
        <v>67.958333333333343</v>
      </c>
      <c r="C6" s="19">
        <v>15.141666666666666</v>
      </c>
      <c r="D6" s="26">
        <f t="shared" si="0"/>
        <v>83.100000000000009</v>
      </c>
      <c r="E6" s="30">
        <f t="shared" si="1"/>
        <v>7.436405284543951E-2</v>
      </c>
      <c r="F6" s="30">
        <f t="shared" si="2"/>
        <v>2.0075307261582267E-2</v>
      </c>
      <c r="G6" s="30">
        <f t="shared" si="3"/>
        <v>4.9817057696265862E-2</v>
      </c>
      <c r="H6" s="32">
        <f t="shared" si="4"/>
        <v>0.45576513045754546</v>
      </c>
    </row>
    <row r="7" spans="1:8" ht="15.6">
      <c r="A7" s="18" t="s">
        <v>140</v>
      </c>
      <c r="B7" s="19">
        <v>23.475000000000005</v>
      </c>
      <c r="C7" s="19">
        <v>42.63333333333334</v>
      </c>
      <c r="D7" s="26">
        <f t="shared" si="0"/>
        <v>66.108333333333348</v>
      </c>
      <c r="E7" s="30">
        <f t="shared" si="1"/>
        <v>2.5687742104917609E-2</v>
      </c>
      <c r="F7" s="30">
        <f t="shared" si="2"/>
        <v>5.652464058902306E-2</v>
      </c>
      <c r="G7" s="30">
        <f t="shared" si="3"/>
        <v>3.9630838217456589E-2</v>
      </c>
      <c r="H7" s="32">
        <f t="shared" si="4"/>
        <v>0.49539596867500207</v>
      </c>
    </row>
    <row r="8" spans="1:8" ht="15.6">
      <c r="A8" s="18" t="s">
        <v>141</v>
      </c>
      <c r="B8" s="19">
        <v>59.74166666666666</v>
      </c>
      <c r="C8" s="19">
        <v>3.8249999999999997</v>
      </c>
      <c r="D8" s="26">
        <f t="shared" si="0"/>
        <v>63.566666666666663</v>
      </c>
      <c r="E8" s="30">
        <f t="shared" si="1"/>
        <v>6.5372887167253924E-2</v>
      </c>
      <c r="F8" s="30">
        <f t="shared" si="2"/>
        <v>5.0713076681707546E-3</v>
      </c>
      <c r="G8" s="30">
        <f t="shared" si="3"/>
        <v>3.8107151635290402E-2</v>
      </c>
      <c r="H8" s="32">
        <f t="shared" si="4"/>
        <v>0.53350312031029246</v>
      </c>
    </row>
    <row r="9" spans="1:8" ht="15.6">
      <c r="A9" s="18" t="s">
        <v>142</v>
      </c>
      <c r="B9" s="19">
        <v>20.46</v>
      </c>
      <c r="C9" s="19">
        <v>24.29</v>
      </c>
      <c r="D9" s="26">
        <f t="shared" si="0"/>
        <v>44.75</v>
      </c>
      <c r="E9" s="30">
        <f t="shared" si="1"/>
        <v>2.238854966843937E-2</v>
      </c>
      <c r="F9" s="30">
        <f t="shared" si="2"/>
        <v>3.220446098297193E-2</v>
      </c>
      <c r="G9" s="30">
        <f t="shared" si="3"/>
        <v>2.6826875233548701E-2</v>
      </c>
      <c r="H9" s="32">
        <f t="shared" si="4"/>
        <v>0.56032999554384111</v>
      </c>
    </row>
    <row r="10" spans="1:8" ht="15.6">
      <c r="A10" s="18" t="s">
        <v>143</v>
      </c>
      <c r="B10" s="19">
        <v>44.716666666666661</v>
      </c>
      <c r="C10" s="19"/>
      <c r="D10" s="26">
        <f t="shared" si="0"/>
        <v>44.716666666666661</v>
      </c>
      <c r="E10" s="30">
        <f t="shared" si="1"/>
        <v>4.8931637960592064E-2</v>
      </c>
      <c r="F10" s="30">
        <f t="shared" si="2"/>
        <v>0</v>
      </c>
      <c r="G10" s="30">
        <f t="shared" si="3"/>
        <v>2.6806892458700618E-2</v>
      </c>
      <c r="H10" s="32">
        <f t="shared" si="4"/>
        <v>0.58713688800254171</v>
      </c>
    </row>
    <row r="11" spans="1:8" ht="15.6">
      <c r="A11" s="18" t="s">
        <v>144</v>
      </c>
      <c r="B11" s="19">
        <v>25.71</v>
      </c>
      <c r="C11" s="19">
        <v>17.875</v>
      </c>
      <c r="D11" s="26">
        <f t="shared" si="0"/>
        <v>43.585000000000001</v>
      </c>
      <c r="E11" s="30">
        <f t="shared" si="1"/>
        <v>2.8133412120018388E-2</v>
      </c>
      <c r="F11" s="30">
        <f t="shared" si="2"/>
        <v>2.3699248253216273E-2</v>
      </c>
      <c r="G11" s="30">
        <f t="shared" si="3"/>
        <v>2.6128477252608272E-2</v>
      </c>
      <c r="H11" s="32">
        <f t="shared" si="4"/>
        <v>0.61326536525514996</v>
      </c>
    </row>
    <row r="12" spans="1:8" ht="15.6">
      <c r="A12" s="18" t="s">
        <v>145</v>
      </c>
      <c r="B12" s="19">
        <v>38.75</v>
      </c>
      <c r="C12" s="19">
        <v>4.0250000000000004</v>
      </c>
      <c r="D12" s="26">
        <f t="shared" si="0"/>
        <v>42.774999999999999</v>
      </c>
      <c r="E12" s="30">
        <f t="shared" si="1"/>
        <v>4.2402556190226079E-2</v>
      </c>
      <c r="F12" s="30">
        <f t="shared" si="2"/>
        <v>5.3364740821927551E-3</v>
      </c>
      <c r="G12" s="30">
        <f t="shared" si="3"/>
        <v>2.5642895823799902E-2</v>
      </c>
      <c r="H12" s="32">
        <f t="shared" si="4"/>
        <v>0.63890826107894982</v>
      </c>
    </row>
    <row r="13" spans="1:8" ht="15.6">
      <c r="A13" s="18" t="s">
        <v>146</v>
      </c>
      <c r="B13" s="19">
        <v>29.82</v>
      </c>
      <c r="C13" s="19">
        <v>8.3699999999999992</v>
      </c>
      <c r="D13" s="26">
        <f t="shared" si="0"/>
        <v>38.19</v>
      </c>
      <c r="E13" s="30">
        <f t="shared" si="1"/>
        <v>3.263081872496882E-2</v>
      </c>
      <c r="F13" s="30">
        <f t="shared" si="2"/>
        <v>1.109721442682071E-2</v>
      </c>
      <c r="G13" s="30">
        <f t="shared" si="3"/>
        <v>2.2894265143446366E-2</v>
      </c>
      <c r="H13" s="32">
        <f t="shared" si="4"/>
        <v>0.66180252622239621</v>
      </c>
    </row>
    <row r="14" spans="1:8" ht="15.6">
      <c r="A14" s="18" t="s">
        <v>147</v>
      </c>
      <c r="B14" s="19">
        <v>33.97</v>
      </c>
      <c r="C14" s="19">
        <v>0.35833333333333334</v>
      </c>
      <c r="D14" s="26">
        <f t="shared" si="0"/>
        <v>34.328333333333333</v>
      </c>
      <c r="E14" s="30">
        <f t="shared" si="1"/>
        <v>3.7171995710502705E-2</v>
      </c>
      <c r="F14" s="30">
        <f t="shared" si="2"/>
        <v>4.7508982512275044E-4</v>
      </c>
      <c r="G14" s="30">
        <f t="shared" si="3"/>
        <v>2.0579260677296186E-2</v>
      </c>
      <c r="H14" s="32">
        <f t="shared" si="4"/>
        <v>0.68238178689969242</v>
      </c>
    </row>
    <row r="15" spans="1:8" ht="15.6">
      <c r="A15" s="18" t="s">
        <v>148</v>
      </c>
      <c r="B15" s="19"/>
      <c r="C15" s="19">
        <v>34.208333333333329</v>
      </c>
      <c r="D15" s="26">
        <f t="shared" si="0"/>
        <v>34.208333333333329</v>
      </c>
      <c r="E15" s="30">
        <f t="shared" si="1"/>
        <v>0</v>
      </c>
      <c r="F15" s="30">
        <f t="shared" si="2"/>
        <v>4.535450539834629E-2</v>
      </c>
      <c r="G15" s="30">
        <f t="shared" si="3"/>
        <v>2.0507322687843093E-2</v>
      </c>
      <c r="H15" s="32">
        <f t="shared" si="4"/>
        <v>0.70288910958753548</v>
      </c>
    </row>
    <row r="16" spans="1:8" ht="15.6">
      <c r="A16" s="18" t="s">
        <v>149</v>
      </c>
      <c r="B16" s="19">
        <v>33.1</v>
      </c>
      <c r="C16" s="19"/>
      <c r="D16" s="26">
        <f t="shared" si="0"/>
        <v>33.1</v>
      </c>
      <c r="E16" s="30">
        <f t="shared" si="1"/>
        <v>3.6219989932812474E-2</v>
      </c>
      <c r="F16" s="30">
        <f t="shared" si="2"/>
        <v>0</v>
      </c>
      <c r="G16" s="30">
        <f t="shared" si="3"/>
        <v>1.9842895424144403E-2</v>
      </c>
      <c r="H16" s="32">
        <f t="shared" si="4"/>
        <v>0.72273200501167989</v>
      </c>
    </row>
    <row r="17" spans="1:8" ht="15.6">
      <c r="A17" s="18" t="s">
        <v>119</v>
      </c>
      <c r="B17" s="19">
        <v>13.53</v>
      </c>
      <c r="C17" s="19">
        <v>16.829999999999998</v>
      </c>
      <c r="D17" s="26">
        <f t="shared" si="0"/>
        <v>30.36</v>
      </c>
      <c r="E17" s="30">
        <f t="shared" si="1"/>
        <v>1.4805331232355065E-2</v>
      </c>
      <c r="F17" s="30">
        <f t="shared" si="2"/>
        <v>2.2313753739951318E-2</v>
      </c>
      <c r="G17" s="30">
        <f t="shared" si="3"/>
        <v>1.8200311331632146E-2</v>
      </c>
      <c r="H17" s="32">
        <f t="shared" si="4"/>
        <v>0.74093231634331203</v>
      </c>
    </row>
    <row r="18" spans="1:8" ht="15.6">
      <c r="A18" s="18" t="s">
        <v>150</v>
      </c>
      <c r="B18" s="19">
        <v>25.183333333333334</v>
      </c>
      <c r="C18" s="19">
        <v>3.416666666666667</v>
      </c>
      <c r="D18" s="26">
        <f t="shared" si="0"/>
        <v>28.6</v>
      </c>
      <c r="E18" s="30">
        <f t="shared" si="1"/>
        <v>2.7557102109002841E-2</v>
      </c>
      <c r="F18" s="30">
        <f t="shared" si="2"/>
        <v>4.5299262395425048E-3</v>
      </c>
      <c r="G18" s="30">
        <f t="shared" si="3"/>
        <v>1.7145220819653473E-2</v>
      </c>
      <c r="H18" s="32">
        <f t="shared" si="4"/>
        <v>0.75807753716296555</v>
      </c>
    </row>
    <row r="19" spans="1:8" ht="15.6">
      <c r="A19" s="18" t="s">
        <v>151</v>
      </c>
      <c r="B19" s="19">
        <v>25.733333333333334</v>
      </c>
      <c r="C19" s="19"/>
      <c r="D19" s="26">
        <f t="shared" si="0"/>
        <v>25.733333333333334</v>
      </c>
      <c r="E19" s="30">
        <f t="shared" si="1"/>
        <v>2.8158944842025406E-2</v>
      </c>
      <c r="F19" s="30">
        <f t="shared" si="2"/>
        <v>0</v>
      </c>
      <c r="G19" s="30">
        <f t="shared" si="3"/>
        <v>1.5426702182718509E-2</v>
      </c>
      <c r="H19" s="32">
        <f t="shared" si="4"/>
        <v>0.77350423934568402</v>
      </c>
    </row>
    <row r="20" spans="1:8" ht="15.6">
      <c r="A20" s="18" t="s">
        <v>152</v>
      </c>
      <c r="B20" s="19">
        <v>16.77</v>
      </c>
      <c r="C20" s="19">
        <v>3.22</v>
      </c>
      <c r="D20" s="26">
        <f t="shared" si="0"/>
        <v>19.989999999999998</v>
      </c>
      <c r="E20" s="30">
        <f t="shared" si="1"/>
        <v>1.8350732059615259E-2</v>
      </c>
      <c r="F20" s="30">
        <f t="shared" si="2"/>
        <v>4.2691792657542039E-3</v>
      </c>
      <c r="G20" s="30">
        <f t="shared" si="3"/>
        <v>1.1983670076394157E-2</v>
      </c>
      <c r="H20" s="32">
        <f t="shared" si="4"/>
        <v>0.78548790942207813</v>
      </c>
    </row>
    <row r="21" spans="1:8" ht="15.6">
      <c r="A21" s="18" t="s">
        <v>153</v>
      </c>
      <c r="B21" s="19">
        <v>15.04</v>
      </c>
      <c r="C21" s="19">
        <v>4.6666666666666661</v>
      </c>
      <c r="D21" s="26">
        <f t="shared" si="0"/>
        <v>19.706666666666663</v>
      </c>
      <c r="E21" s="30">
        <f t="shared" si="1"/>
        <v>1.645766309938065E-2</v>
      </c>
      <c r="F21" s="30">
        <f t="shared" si="2"/>
        <v>6.187216327180005E-3</v>
      </c>
      <c r="G21" s="30">
        <f t="shared" si="3"/>
        <v>1.1813816490185466E-2</v>
      </c>
      <c r="H21" s="32">
        <f t="shared" si="4"/>
        <v>0.79730172591226356</v>
      </c>
    </row>
    <row r="22" spans="1:8" ht="15.6">
      <c r="A22" s="18" t="s">
        <v>154</v>
      </c>
      <c r="B22" s="19"/>
      <c r="C22" s="19">
        <v>17.625</v>
      </c>
      <c r="D22" s="26">
        <f t="shared" si="0"/>
        <v>17.625</v>
      </c>
      <c r="E22" s="30">
        <f t="shared" si="1"/>
        <v>0</v>
      </c>
      <c r="F22" s="30">
        <f t="shared" si="2"/>
        <v>2.3367790235688773E-2</v>
      </c>
      <c r="G22" s="30">
        <f t="shared" si="3"/>
        <v>1.0565892200922812E-2</v>
      </c>
      <c r="H22" s="32">
        <f t="shared" si="4"/>
        <v>0.80786761811318641</v>
      </c>
    </row>
    <row r="23" spans="1:8" ht="15.6">
      <c r="A23" s="18" t="s">
        <v>155</v>
      </c>
      <c r="B23" s="19">
        <v>12.066666666666666</v>
      </c>
      <c r="C23" s="19">
        <v>4.78</v>
      </c>
      <c r="D23" s="26">
        <f t="shared" si="0"/>
        <v>16.846666666666668</v>
      </c>
      <c r="E23" s="30">
        <f t="shared" si="1"/>
        <v>1.3204064809343519E-2</v>
      </c>
      <c r="F23" s="30">
        <f t="shared" si="2"/>
        <v>6.337477295125806E-3</v>
      </c>
      <c r="G23" s="30">
        <f t="shared" si="3"/>
        <v>1.0099294408220123E-2</v>
      </c>
      <c r="H23" s="32">
        <f t="shared" si="4"/>
        <v>0.81796691252140652</v>
      </c>
    </row>
    <row r="24" spans="1:8" ht="15.6">
      <c r="A24" s="18" t="s">
        <v>37</v>
      </c>
      <c r="B24" s="19">
        <v>0.42499999999999999</v>
      </c>
      <c r="C24" s="19">
        <v>15.38</v>
      </c>
      <c r="D24" s="26">
        <f t="shared" si="0"/>
        <v>15.805000000000001</v>
      </c>
      <c r="E24" s="30">
        <f t="shared" si="1"/>
        <v>4.6506029369925377E-4</v>
      </c>
      <c r="F24" s="30">
        <f t="shared" si="2"/>
        <v>2.039129723829182E-2</v>
      </c>
      <c r="G24" s="30">
        <f t="shared" si="3"/>
        <v>9.4748326942175921E-3</v>
      </c>
      <c r="H24" s="32">
        <f t="shared" si="4"/>
        <v>0.82744174521562408</v>
      </c>
    </row>
    <row r="25" spans="1:8" ht="15.6">
      <c r="A25" s="18" t="s">
        <v>156</v>
      </c>
      <c r="B25" s="19">
        <v>11.28</v>
      </c>
      <c r="C25" s="19">
        <v>4.01</v>
      </c>
      <c r="D25" s="26">
        <f t="shared" si="0"/>
        <v>15.29</v>
      </c>
      <c r="E25" s="30">
        <f t="shared" si="1"/>
        <v>1.2343247324535487E-2</v>
      </c>
      <c r="F25" s="30">
        <f t="shared" si="2"/>
        <v>5.3165866011411047E-3</v>
      </c>
      <c r="G25" s="30">
        <f t="shared" si="3"/>
        <v>9.1660988228147392E-3</v>
      </c>
      <c r="H25" s="32">
        <f t="shared" si="4"/>
        <v>0.8366078440384388</v>
      </c>
    </row>
    <row r="26" spans="1:8" ht="15.6">
      <c r="A26" s="18" t="s">
        <v>157</v>
      </c>
      <c r="B26" s="19">
        <v>13.55</v>
      </c>
      <c r="C26" s="19">
        <v>1.4500000000000002</v>
      </c>
      <c r="D26" s="26">
        <f t="shared" si="0"/>
        <v>15</v>
      </c>
      <c r="E26" s="30">
        <f t="shared" si="1"/>
        <v>1.4827216422646797E-2</v>
      </c>
      <c r="F26" s="30">
        <f t="shared" si="2"/>
        <v>1.922456501659502E-3</v>
      </c>
      <c r="G26" s="30">
        <f t="shared" si="3"/>
        <v>8.9922486816364361E-3</v>
      </c>
      <c r="H26" s="32">
        <f t="shared" si="4"/>
        <v>0.84560009272007519</v>
      </c>
    </row>
    <row r="27" spans="1:8" ht="15.6">
      <c r="A27" s="18" t="s">
        <v>158</v>
      </c>
      <c r="B27" s="19">
        <v>0.75</v>
      </c>
      <c r="C27" s="19">
        <v>13.583333333333334</v>
      </c>
      <c r="D27" s="26">
        <f t="shared" si="0"/>
        <v>14.333333333333334</v>
      </c>
      <c r="E27" s="30">
        <f t="shared" si="1"/>
        <v>8.2069463593985954E-4</v>
      </c>
      <c r="F27" s="30">
        <f t="shared" si="2"/>
        <v>1.8009218952327519E-2</v>
      </c>
      <c r="G27" s="30">
        <f t="shared" si="3"/>
        <v>8.5925931846748162E-3</v>
      </c>
      <c r="H27" s="32">
        <f t="shared" si="4"/>
        <v>0.85419268590475006</v>
      </c>
    </row>
    <row r="28" spans="1:8" ht="15.6">
      <c r="A28" s="18" t="s">
        <v>159</v>
      </c>
      <c r="B28" s="19"/>
      <c r="C28" s="19">
        <v>12.441666666666666</v>
      </c>
      <c r="D28" s="26">
        <f t="shared" si="0"/>
        <v>12.441666666666666</v>
      </c>
      <c r="E28" s="30">
        <f t="shared" si="1"/>
        <v>0</v>
      </c>
      <c r="F28" s="30">
        <f t="shared" si="2"/>
        <v>1.6495560672285265E-2</v>
      </c>
      <c r="G28" s="30">
        <f t="shared" si="3"/>
        <v>7.4585707120462218E-3</v>
      </c>
      <c r="H28" s="32">
        <f t="shared" si="4"/>
        <v>0.86165125661679631</v>
      </c>
    </row>
    <row r="29" spans="1:8" ht="15.6">
      <c r="A29" s="18" t="s">
        <v>160</v>
      </c>
      <c r="B29" s="19">
        <v>4.1416666666666666</v>
      </c>
      <c r="C29" s="19">
        <v>8.01</v>
      </c>
      <c r="D29" s="26">
        <f t="shared" si="0"/>
        <v>12.151666666666667</v>
      </c>
      <c r="E29" s="30">
        <f t="shared" si="1"/>
        <v>4.5320581562456686E-3</v>
      </c>
      <c r="F29" s="30">
        <f t="shared" si="2"/>
        <v>1.061991488158111E-2</v>
      </c>
      <c r="G29" s="30">
        <f t="shared" si="3"/>
        <v>7.2847205708679178E-3</v>
      </c>
      <c r="H29" s="32">
        <f t="shared" si="4"/>
        <v>0.86893597718766424</v>
      </c>
    </row>
    <row r="30" spans="1:8" ht="15.6">
      <c r="A30" s="18" t="s">
        <v>161</v>
      </c>
      <c r="B30" s="19">
        <v>8.1333333333333329</v>
      </c>
      <c r="C30" s="19">
        <v>2.7333333333333334</v>
      </c>
      <c r="D30" s="26">
        <f t="shared" si="0"/>
        <v>10.866666666666667</v>
      </c>
      <c r="E30" s="30">
        <f t="shared" si="1"/>
        <v>8.8999773853033655E-3</v>
      </c>
      <c r="F30" s="30">
        <f t="shared" si="2"/>
        <v>3.6239409916340036E-3</v>
      </c>
      <c r="G30" s="30">
        <f t="shared" si="3"/>
        <v>6.5143846004743966E-3</v>
      </c>
      <c r="H30" s="32">
        <f t="shared" si="4"/>
        <v>0.87545036178813862</v>
      </c>
    </row>
    <row r="31" spans="1:8" ht="15.6">
      <c r="A31" s="18" t="s">
        <v>162</v>
      </c>
      <c r="B31" s="19">
        <v>9.5</v>
      </c>
      <c r="C31" s="19"/>
      <c r="D31" s="26">
        <f t="shared" si="0"/>
        <v>9.5</v>
      </c>
      <c r="E31" s="30">
        <f t="shared" si="1"/>
        <v>1.0395465388571555E-2</v>
      </c>
      <c r="F31" s="30">
        <f t="shared" si="2"/>
        <v>0</v>
      </c>
      <c r="G31" s="30">
        <f t="shared" si="3"/>
        <v>5.6950908317030761E-3</v>
      </c>
      <c r="H31" s="32">
        <f t="shared" si="4"/>
        <v>0.88114545261984167</v>
      </c>
    </row>
    <row r="32" spans="1:8" ht="15.6">
      <c r="A32" s="18" t="s">
        <v>36</v>
      </c>
      <c r="B32" s="19">
        <v>9.25</v>
      </c>
      <c r="C32" s="19"/>
      <c r="D32" s="26">
        <f t="shared" si="0"/>
        <v>9.25</v>
      </c>
      <c r="E32" s="30">
        <f t="shared" si="1"/>
        <v>1.0121900509924935E-2</v>
      </c>
      <c r="F32" s="30">
        <f t="shared" si="2"/>
        <v>0</v>
      </c>
      <c r="G32" s="30">
        <f t="shared" si="3"/>
        <v>5.545220020342469E-3</v>
      </c>
      <c r="H32" s="32">
        <f t="shared" si="4"/>
        <v>0.8866906726401842</v>
      </c>
    </row>
    <row r="33" spans="1:8" ht="15.6">
      <c r="A33" s="18" t="s">
        <v>163</v>
      </c>
      <c r="B33" s="19">
        <v>8.6300000000000008</v>
      </c>
      <c r="C33" s="19"/>
      <c r="D33" s="26">
        <f t="shared" si="0"/>
        <v>8.6300000000000008</v>
      </c>
      <c r="E33" s="30">
        <f t="shared" si="1"/>
        <v>9.443459610881319E-3</v>
      </c>
      <c r="F33" s="30">
        <f t="shared" si="2"/>
        <v>0</v>
      </c>
      <c r="G33" s="30">
        <f t="shared" si="3"/>
        <v>5.1735404081681632E-3</v>
      </c>
      <c r="H33" s="32">
        <f t="shared" si="4"/>
        <v>0.89186421304835239</v>
      </c>
    </row>
    <row r="34" spans="1:8" ht="15.6">
      <c r="A34" s="18" t="s">
        <v>164</v>
      </c>
      <c r="B34" s="19">
        <v>8.6</v>
      </c>
      <c r="C34" s="19"/>
      <c r="D34" s="26">
        <f t="shared" ref="D34:D65" si="5">SUM(B34:C34)</f>
        <v>8.6</v>
      </c>
      <c r="E34" s="30">
        <f t="shared" ref="E34:E65" si="6">B34/$B$95</f>
        <v>9.410631825443723E-3</v>
      </c>
      <c r="F34" s="30">
        <f t="shared" ref="F34:F65" si="7">C34/$C$95</f>
        <v>0</v>
      </c>
      <c r="G34" s="30">
        <f t="shared" ref="G34:G65" si="8">D34/$D$95</f>
        <v>5.1555559108048899E-3</v>
      </c>
      <c r="H34" s="32">
        <f t="shared" ref="H34:H65" si="9">G34+H33</f>
        <v>0.89701976895915725</v>
      </c>
    </row>
    <row r="35" spans="1:8" ht="15.6">
      <c r="A35" s="18" t="s">
        <v>165</v>
      </c>
      <c r="B35" s="19">
        <v>7.99</v>
      </c>
      <c r="C35" s="19"/>
      <c r="D35" s="26">
        <f t="shared" si="5"/>
        <v>7.99</v>
      </c>
      <c r="E35" s="30">
        <f t="shared" si="6"/>
        <v>8.7431335215459715E-3</v>
      </c>
      <c r="F35" s="30">
        <f t="shared" si="7"/>
        <v>0</v>
      </c>
      <c r="G35" s="30">
        <f t="shared" si="8"/>
        <v>4.7898711310850085E-3</v>
      </c>
      <c r="H35" s="32">
        <f t="shared" si="9"/>
        <v>0.90180964009024223</v>
      </c>
    </row>
    <row r="36" spans="1:8" ht="15.6">
      <c r="A36" s="18" t="s">
        <v>166</v>
      </c>
      <c r="B36" s="19">
        <v>5.08</v>
      </c>
      <c r="C36" s="19">
        <v>2.64</v>
      </c>
      <c r="D36" s="26">
        <f t="shared" si="5"/>
        <v>7.7200000000000006</v>
      </c>
      <c r="E36" s="30">
        <f t="shared" si="6"/>
        <v>5.5588383340993159E-3</v>
      </c>
      <c r="F36" s="30">
        <f t="shared" si="7"/>
        <v>3.5001966650904034E-3</v>
      </c>
      <c r="G36" s="30">
        <f t="shared" si="8"/>
        <v>4.6280106548155526E-3</v>
      </c>
      <c r="H36" s="32">
        <f t="shared" si="9"/>
        <v>0.90643765074505778</v>
      </c>
    </row>
    <row r="37" spans="1:8" ht="15.6">
      <c r="A37" s="18" t="s">
        <v>167</v>
      </c>
      <c r="B37" s="19">
        <v>7.4416666666666664</v>
      </c>
      <c r="C37" s="19"/>
      <c r="D37" s="26">
        <f t="shared" si="5"/>
        <v>7.4416666666666664</v>
      </c>
      <c r="E37" s="30">
        <f t="shared" si="6"/>
        <v>8.1431145543810514E-3</v>
      </c>
      <c r="F37" s="30">
        <f t="shared" si="7"/>
        <v>0</v>
      </c>
      <c r="G37" s="30">
        <f t="shared" si="8"/>
        <v>4.4611544848340758E-3</v>
      </c>
      <c r="H37" s="32">
        <f t="shared" si="9"/>
        <v>0.91089880522989186</v>
      </c>
    </row>
    <row r="38" spans="1:8" ht="15.6">
      <c r="A38" s="18" t="s">
        <v>168</v>
      </c>
      <c r="B38" s="19"/>
      <c r="C38" s="19">
        <v>7.3083333333333345</v>
      </c>
      <c r="D38" s="26">
        <f t="shared" si="5"/>
        <v>7.3083333333333345</v>
      </c>
      <c r="E38" s="30">
        <f t="shared" si="6"/>
        <v>0</v>
      </c>
      <c r="F38" s="30">
        <f t="shared" si="7"/>
        <v>9.6896227123872605E-3</v>
      </c>
      <c r="G38" s="30">
        <f t="shared" si="8"/>
        <v>4.3812233854417532E-3</v>
      </c>
      <c r="H38" s="32">
        <f t="shared" si="9"/>
        <v>0.91528002861533364</v>
      </c>
    </row>
    <row r="39" spans="1:8" ht="15.6">
      <c r="A39" s="18" t="s">
        <v>169</v>
      </c>
      <c r="B39" s="19">
        <v>7.1166666666666663</v>
      </c>
      <c r="C39" s="19"/>
      <c r="D39" s="26">
        <f t="shared" si="5"/>
        <v>7.1166666666666663</v>
      </c>
      <c r="E39" s="30">
        <f t="shared" si="6"/>
        <v>7.7874802121404452E-3</v>
      </c>
      <c r="F39" s="30">
        <f t="shared" si="7"/>
        <v>0</v>
      </c>
      <c r="G39" s="30">
        <f t="shared" si="8"/>
        <v>4.2663224300652867E-3</v>
      </c>
      <c r="H39" s="32">
        <f t="shared" si="9"/>
        <v>0.91954635104539895</v>
      </c>
    </row>
    <row r="40" spans="1:8" ht="15.6">
      <c r="A40" s="18" t="s">
        <v>170</v>
      </c>
      <c r="B40" s="19">
        <v>0.25</v>
      </c>
      <c r="C40" s="19">
        <v>6.3666666666666671</v>
      </c>
      <c r="D40" s="26">
        <f t="shared" si="5"/>
        <v>6.6166666666666671</v>
      </c>
      <c r="E40" s="30">
        <f t="shared" si="6"/>
        <v>2.7356487864661988E-4</v>
      </c>
      <c r="F40" s="30">
        <f t="shared" si="7"/>
        <v>8.4411308463670093E-3</v>
      </c>
      <c r="G40" s="30">
        <f t="shared" si="8"/>
        <v>3.9665808073440726E-3</v>
      </c>
      <c r="H40" s="32">
        <f t="shared" si="9"/>
        <v>0.92351293185274297</v>
      </c>
    </row>
    <row r="41" spans="1:8" ht="15.6">
      <c r="A41" s="18" t="s">
        <v>122</v>
      </c>
      <c r="B41" s="19">
        <v>6.08</v>
      </c>
      <c r="C41" s="19"/>
      <c r="D41" s="26">
        <f t="shared" si="5"/>
        <v>6.08</v>
      </c>
      <c r="E41" s="30">
        <f t="shared" si="6"/>
        <v>6.6530978486857954E-3</v>
      </c>
      <c r="F41" s="30">
        <f t="shared" si="7"/>
        <v>0</v>
      </c>
      <c r="G41" s="30">
        <f t="shared" si="8"/>
        <v>3.6448581322899689E-3</v>
      </c>
      <c r="H41" s="32">
        <f t="shared" si="9"/>
        <v>0.92715778998503295</v>
      </c>
    </row>
    <row r="42" spans="1:8" ht="15.6">
      <c r="A42" s="18" t="s">
        <v>171</v>
      </c>
      <c r="B42" s="19">
        <v>3.49</v>
      </c>
      <c r="C42" s="19">
        <v>2.59</v>
      </c>
      <c r="D42" s="26">
        <f t="shared" si="5"/>
        <v>6.08</v>
      </c>
      <c r="E42" s="30">
        <f t="shared" si="6"/>
        <v>3.8189657059068136E-3</v>
      </c>
      <c r="F42" s="30">
        <f t="shared" si="7"/>
        <v>3.4339050615849031E-3</v>
      </c>
      <c r="G42" s="30">
        <f t="shared" si="8"/>
        <v>3.6448581322899689E-3</v>
      </c>
      <c r="H42" s="32">
        <f t="shared" si="9"/>
        <v>0.93080264811732294</v>
      </c>
    </row>
    <row r="43" spans="1:8" ht="15.6">
      <c r="A43" s="18" t="s">
        <v>172</v>
      </c>
      <c r="B43" s="19">
        <v>4.875</v>
      </c>
      <c r="C43" s="19">
        <v>1.2</v>
      </c>
      <c r="D43" s="26">
        <f t="shared" si="5"/>
        <v>6.0750000000000002</v>
      </c>
      <c r="E43" s="30">
        <f t="shared" si="6"/>
        <v>5.3345151336090871E-3</v>
      </c>
      <c r="F43" s="30">
        <f t="shared" si="7"/>
        <v>1.5909984841320014E-3</v>
      </c>
      <c r="G43" s="30">
        <f t="shared" si="8"/>
        <v>3.6418607160627566E-3</v>
      </c>
      <c r="H43" s="32">
        <f t="shared" si="9"/>
        <v>0.9344445088333857</v>
      </c>
    </row>
    <row r="44" spans="1:8" ht="15.6">
      <c r="A44" s="18" t="s">
        <v>173</v>
      </c>
      <c r="B44" s="19">
        <v>3.0916666666666668</v>
      </c>
      <c r="C44" s="19">
        <v>2.6833333333333336</v>
      </c>
      <c r="D44" s="26">
        <f t="shared" si="5"/>
        <v>5.7750000000000004</v>
      </c>
      <c r="E44" s="30">
        <f t="shared" si="6"/>
        <v>3.3830856659298656E-3</v>
      </c>
      <c r="F44" s="30">
        <f t="shared" si="7"/>
        <v>3.5576493881285037E-3</v>
      </c>
      <c r="G44" s="30">
        <f t="shared" si="8"/>
        <v>3.4620157424300282E-3</v>
      </c>
      <c r="H44" s="32">
        <f t="shared" si="9"/>
        <v>0.93790652457581569</v>
      </c>
    </row>
    <row r="45" spans="1:8" ht="15.6">
      <c r="A45" s="18" t="s">
        <v>174</v>
      </c>
      <c r="B45" s="19">
        <v>5.1583333333333332</v>
      </c>
      <c r="C45" s="19"/>
      <c r="D45" s="26">
        <f t="shared" si="5"/>
        <v>5.1583333333333332</v>
      </c>
      <c r="E45" s="30">
        <f t="shared" si="6"/>
        <v>5.6445553294085897E-3</v>
      </c>
      <c r="F45" s="30">
        <f t="shared" si="7"/>
        <v>0</v>
      </c>
      <c r="G45" s="30">
        <f t="shared" si="8"/>
        <v>3.0923344077405297E-3</v>
      </c>
      <c r="H45" s="32">
        <f t="shared" si="9"/>
        <v>0.94099885898355617</v>
      </c>
    </row>
    <row r="46" spans="1:8" ht="15.6">
      <c r="A46" s="18" t="s">
        <v>175</v>
      </c>
      <c r="B46" s="19">
        <v>5.1333333333333329</v>
      </c>
      <c r="C46" s="19"/>
      <c r="D46" s="26">
        <f t="shared" si="5"/>
        <v>5.1333333333333329</v>
      </c>
      <c r="E46" s="30">
        <f t="shared" si="6"/>
        <v>5.6171988415439269E-3</v>
      </c>
      <c r="F46" s="30">
        <f t="shared" si="7"/>
        <v>0</v>
      </c>
      <c r="G46" s="30">
        <f t="shared" si="8"/>
        <v>3.077347326604469E-3</v>
      </c>
      <c r="H46" s="32">
        <f t="shared" si="9"/>
        <v>0.94407620631016065</v>
      </c>
    </row>
    <row r="47" spans="1:8" ht="15.6">
      <c r="A47" s="18" t="s">
        <v>176</v>
      </c>
      <c r="B47" s="19">
        <v>0.48333333333333334</v>
      </c>
      <c r="C47" s="19">
        <v>4.2</v>
      </c>
      <c r="D47" s="26">
        <f t="shared" si="5"/>
        <v>4.6833333333333336</v>
      </c>
      <c r="E47" s="30">
        <f t="shared" si="6"/>
        <v>5.288920987167984E-4</v>
      </c>
      <c r="F47" s="30">
        <f t="shared" si="7"/>
        <v>5.5684946944620055E-3</v>
      </c>
      <c r="G47" s="30">
        <f t="shared" si="8"/>
        <v>2.8075798661553763E-3</v>
      </c>
      <c r="H47" s="32">
        <f t="shared" si="9"/>
        <v>0.94688378617631608</v>
      </c>
    </row>
    <row r="48" spans="1:8" ht="15.6">
      <c r="A48" s="18" t="s">
        <v>177</v>
      </c>
      <c r="B48" s="19">
        <v>4.5166666666666666</v>
      </c>
      <c r="C48" s="19"/>
      <c r="D48" s="26">
        <f t="shared" si="5"/>
        <v>4.5166666666666666</v>
      </c>
      <c r="E48" s="30">
        <f t="shared" si="6"/>
        <v>4.9424054742155986E-3</v>
      </c>
      <c r="F48" s="30">
        <f t="shared" si="7"/>
        <v>0</v>
      </c>
      <c r="G48" s="30">
        <f t="shared" si="8"/>
        <v>2.7076659919149713E-3</v>
      </c>
      <c r="H48" s="32">
        <f t="shared" si="9"/>
        <v>0.94959145216823104</v>
      </c>
    </row>
    <row r="49" spans="1:8" ht="15.6">
      <c r="A49" s="18" t="s">
        <v>22</v>
      </c>
      <c r="B49" s="19">
        <v>4.5</v>
      </c>
      <c r="C49" s="19"/>
      <c r="D49" s="26">
        <f t="shared" si="5"/>
        <v>4.5</v>
      </c>
      <c r="E49" s="30">
        <f t="shared" si="6"/>
        <v>4.9241678156391579E-3</v>
      </c>
      <c r="F49" s="30">
        <f t="shared" si="7"/>
        <v>0</v>
      </c>
      <c r="G49" s="30">
        <f t="shared" si="8"/>
        <v>2.697674604490931E-3</v>
      </c>
      <c r="H49" s="32">
        <f t="shared" si="9"/>
        <v>0.95228912677272193</v>
      </c>
    </row>
    <row r="50" spans="1:8" ht="15.6">
      <c r="A50" s="18" t="s">
        <v>178</v>
      </c>
      <c r="B50" s="19">
        <v>3.0333333333333332</v>
      </c>
      <c r="C50" s="19">
        <v>1.3916666666666666</v>
      </c>
      <c r="D50" s="26">
        <f t="shared" si="5"/>
        <v>4.4249999999999998</v>
      </c>
      <c r="E50" s="30">
        <f t="shared" si="6"/>
        <v>3.3192538609123209E-3</v>
      </c>
      <c r="F50" s="30">
        <f t="shared" si="7"/>
        <v>1.8451162975697518E-3</v>
      </c>
      <c r="G50" s="30">
        <f t="shared" si="8"/>
        <v>2.6527133610827485E-3</v>
      </c>
      <c r="H50" s="32">
        <f t="shared" si="9"/>
        <v>0.95494184013380468</v>
      </c>
    </row>
    <row r="51" spans="1:8" ht="15.6">
      <c r="A51" s="18" t="s">
        <v>38</v>
      </c>
      <c r="B51" s="19">
        <v>4</v>
      </c>
      <c r="C51" s="19">
        <v>0.14166666666666666</v>
      </c>
      <c r="D51" s="26">
        <f t="shared" si="5"/>
        <v>4.1416666666666666</v>
      </c>
      <c r="E51" s="30">
        <f t="shared" si="6"/>
        <v>4.3770380583459181E-3</v>
      </c>
      <c r="F51" s="30">
        <f t="shared" si="7"/>
        <v>1.8782620993225017E-4</v>
      </c>
      <c r="G51" s="30">
        <f t="shared" si="8"/>
        <v>2.4828597748740603E-3</v>
      </c>
      <c r="H51" s="32">
        <f t="shared" si="9"/>
        <v>0.95742469990867873</v>
      </c>
    </row>
    <row r="52" spans="1:8" ht="15.6">
      <c r="A52" s="18" t="s">
        <v>179</v>
      </c>
      <c r="B52" s="19"/>
      <c r="C52" s="19">
        <v>3.8</v>
      </c>
      <c r="D52" s="26">
        <f t="shared" si="5"/>
        <v>3.8</v>
      </c>
      <c r="E52" s="30">
        <f t="shared" si="6"/>
        <v>0</v>
      </c>
      <c r="F52" s="30">
        <f t="shared" si="7"/>
        <v>5.0381618664180044E-3</v>
      </c>
      <c r="G52" s="30">
        <f t="shared" si="8"/>
        <v>2.2780363326812304E-3</v>
      </c>
      <c r="H52" s="32">
        <f t="shared" si="9"/>
        <v>0.95970273624135993</v>
      </c>
    </row>
    <row r="53" spans="1:8" ht="15.6">
      <c r="A53" s="18" t="s">
        <v>180</v>
      </c>
      <c r="B53" s="19">
        <v>2.37</v>
      </c>
      <c r="C53" s="19">
        <v>1.31</v>
      </c>
      <c r="D53" s="26">
        <f t="shared" si="5"/>
        <v>3.68</v>
      </c>
      <c r="E53" s="30">
        <f t="shared" si="6"/>
        <v>2.5933950495699563E-3</v>
      </c>
      <c r="F53" s="30">
        <f t="shared" si="7"/>
        <v>1.7368400118441018E-3</v>
      </c>
      <c r="G53" s="30">
        <f t="shared" si="8"/>
        <v>2.2060983432281391E-3</v>
      </c>
      <c r="H53" s="32">
        <f t="shared" si="9"/>
        <v>0.96190883458458809</v>
      </c>
    </row>
    <row r="54" spans="1:8" ht="15.6">
      <c r="A54" s="18" t="s">
        <v>181</v>
      </c>
      <c r="B54" s="19"/>
      <c r="C54" s="19">
        <v>3.4833333333333334</v>
      </c>
      <c r="D54" s="26">
        <f t="shared" si="5"/>
        <v>3.4833333333333334</v>
      </c>
      <c r="E54" s="30">
        <f t="shared" si="6"/>
        <v>0</v>
      </c>
      <c r="F54" s="30">
        <f t="shared" si="7"/>
        <v>4.6183150442165042E-3</v>
      </c>
      <c r="G54" s="30">
        <f t="shared" si="8"/>
        <v>2.0881999716244612E-3</v>
      </c>
      <c r="H54" s="32">
        <f t="shared" si="9"/>
        <v>0.96399703455621255</v>
      </c>
    </row>
    <row r="55" spans="1:8" ht="15.6">
      <c r="A55" s="18" t="s">
        <v>182</v>
      </c>
      <c r="B55" s="19">
        <v>2.833333333333333</v>
      </c>
      <c r="C55" s="19">
        <v>0.38333333333333336</v>
      </c>
      <c r="D55" s="26">
        <f t="shared" si="5"/>
        <v>3.2166666666666663</v>
      </c>
      <c r="E55" s="30">
        <f t="shared" si="6"/>
        <v>3.1004019579950249E-3</v>
      </c>
      <c r="F55" s="30">
        <f t="shared" si="7"/>
        <v>5.0823562687550051E-4</v>
      </c>
      <c r="G55" s="30">
        <f t="shared" si="8"/>
        <v>1.9283377728398132E-3</v>
      </c>
      <c r="H55" s="32">
        <f t="shared" si="9"/>
        <v>0.9659253723290524</v>
      </c>
    </row>
    <row r="56" spans="1:8" ht="15.6">
      <c r="A56" s="18" t="s">
        <v>183</v>
      </c>
      <c r="B56" s="19">
        <v>1.3666666666666667</v>
      </c>
      <c r="C56" s="19">
        <v>1.6</v>
      </c>
      <c r="D56" s="26">
        <f t="shared" si="5"/>
        <v>2.9666666666666668</v>
      </c>
      <c r="E56" s="30">
        <f t="shared" si="6"/>
        <v>1.4954880032681886E-3</v>
      </c>
      <c r="F56" s="30">
        <f t="shared" si="7"/>
        <v>2.1213313121760022E-3</v>
      </c>
      <c r="G56" s="30">
        <f t="shared" si="8"/>
        <v>1.7784669614792064E-3</v>
      </c>
      <c r="H56" s="32">
        <f t="shared" si="9"/>
        <v>0.96770383929053161</v>
      </c>
    </row>
    <row r="57" spans="1:8" ht="15.6">
      <c r="A57" s="18" t="s">
        <v>184</v>
      </c>
      <c r="B57" s="19"/>
      <c r="C57" s="19">
        <v>2.916666666666667</v>
      </c>
      <c r="D57" s="26">
        <f t="shared" si="5"/>
        <v>2.916666666666667</v>
      </c>
      <c r="E57" s="30">
        <f t="shared" si="6"/>
        <v>0</v>
      </c>
      <c r="F57" s="30">
        <f t="shared" si="7"/>
        <v>3.8670102044875039E-3</v>
      </c>
      <c r="G57" s="30">
        <f t="shared" si="8"/>
        <v>1.748492799207085E-3</v>
      </c>
      <c r="H57" s="32">
        <f t="shared" si="9"/>
        <v>0.96945233208973869</v>
      </c>
    </row>
    <row r="58" spans="1:8" ht="15.6">
      <c r="A58" s="18" t="s">
        <v>185</v>
      </c>
      <c r="B58" s="19">
        <v>2.375</v>
      </c>
      <c r="C58" s="19">
        <v>0.40833333333333333</v>
      </c>
      <c r="D58" s="26">
        <f t="shared" si="5"/>
        <v>2.7833333333333332</v>
      </c>
      <c r="E58" s="30">
        <f t="shared" si="6"/>
        <v>2.5988663471428887E-3</v>
      </c>
      <c r="F58" s="30">
        <f t="shared" si="7"/>
        <v>5.4138142862825047E-4</v>
      </c>
      <c r="G58" s="30">
        <f t="shared" si="8"/>
        <v>1.6685616998147609E-3</v>
      </c>
      <c r="H58" s="32">
        <f t="shared" si="9"/>
        <v>0.97112089378955346</v>
      </c>
    </row>
    <row r="59" spans="1:8" ht="15.6">
      <c r="A59" s="18" t="s">
        <v>186</v>
      </c>
      <c r="B59" s="19"/>
      <c r="C59" s="19">
        <v>2.7333333333333334</v>
      </c>
      <c r="D59" s="26">
        <f t="shared" si="5"/>
        <v>2.7333333333333334</v>
      </c>
      <c r="E59" s="30">
        <f t="shared" si="6"/>
        <v>0</v>
      </c>
      <c r="F59" s="30">
        <f t="shared" si="7"/>
        <v>3.6239409916340036E-3</v>
      </c>
      <c r="G59" s="30">
        <f t="shared" si="8"/>
        <v>1.6385875375426395E-3</v>
      </c>
      <c r="H59" s="32">
        <f t="shared" si="9"/>
        <v>0.97275948132709611</v>
      </c>
    </row>
    <row r="60" spans="1:8" ht="15.6">
      <c r="A60" s="18" t="s">
        <v>187</v>
      </c>
      <c r="B60" s="19">
        <v>2.68</v>
      </c>
      <c r="C60" s="19"/>
      <c r="D60" s="26">
        <f t="shared" si="5"/>
        <v>2.68</v>
      </c>
      <c r="E60" s="30">
        <f t="shared" si="6"/>
        <v>2.9326154990917653E-3</v>
      </c>
      <c r="F60" s="30">
        <f t="shared" si="7"/>
        <v>0</v>
      </c>
      <c r="G60" s="30">
        <f t="shared" si="8"/>
        <v>1.6066150977857099E-3</v>
      </c>
      <c r="H60" s="32">
        <f t="shared" si="9"/>
        <v>0.97436609642488181</v>
      </c>
    </row>
    <row r="61" spans="1:8" ht="15.6">
      <c r="A61" s="18" t="s">
        <v>188</v>
      </c>
      <c r="B61" s="19">
        <v>2.0833333333333335</v>
      </c>
      <c r="C61" s="19">
        <v>0.41666666666666669</v>
      </c>
      <c r="D61" s="26">
        <f t="shared" si="5"/>
        <v>2.5</v>
      </c>
      <c r="E61" s="30">
        <f t="shared" si="6"/>
        <v>2.2797073220551657E-3</v>
      </c>
      <c r="F61" s="30">
        <f t="shared" si="7"/>
        <v>5.524300292125005E-4</v>
      </c>
      <c r="G61" s="30">
        <f t="shared" si="8"/>
        <v>1.4987081136060728E-3</v>
      </c>
      <c r="H61" s="32">
        <f t="shared" si="9"/>
        <v>0.9758648045384879</v>
      </c>
    </row>
    <row r="62" spans="1:8" ht="15.6">
      <c r="A62" s="18" t="s">
        <v>189</v>
      </c>
      <c r="B62" s="19">
        <v>2.0299999999999998</v>
      </c>
      <c r="C62" s="19">
        <v>0.45833333333333331</v>
      </c>
      <c r="D62" s="26">
        <f t="shared" si="5"/>
        <v>2.4883333333333333</v>
      </c>
      <c r="E62" s="30">
        <f t="shared" si="6"/>
        <v>2.221346814610553E-3</v>
      </c>
      <c r="F62" s="30">
        <f t="shared" si="7"/>
        <v>6.076730321337505E-4</v>
      </c>
      <c r="G62" s="30">
        <f t="shared" si="8"/>
        <v>1.4917141424092442E-3</v>
      </c>
      <c r="H62" s="32">
        <f t="shared" si="9"/>
        <v>0.97735651868089712</v>
      </c>
    </row>
    <row r="63" spans="1:8" ht="15.6">
      <c r="A63" s="18" t="s">
        <v>190</v>
      </c>
      <c r="B63" s="19"/>
      <c r="C63" s="19">
        <v>2.3833333333333333</v>
      </c>
      <c r="D63" s="26">
        <f t="shared" si="5"/>
        <v>2.3833333333333333</v>
      </c>
      <c r="E63" s="30">
        <f t="shared" si="6"/>
        <v>0</v>
      </c>
      <c r="F63" s="30">
        <f t="shared" si="7"/>
        <v>3.1598997670955029E-3</v>
      </c>
      <c r="G63" s="30">
        <f t="shared" si="8"/>
        <v>1.4287684016377892E-3</v>
      </c>
      <c r="H63" s="32">
        <f t="shared" si="9"/>
        <v>0.97878528708253487</v>
      </c>
    </row>
    <row r="64" spans="1:8" ht="15.6">
      <c r="A64" s="18" t="s">
        <v>191</v>
      </c>
      <c r="B64" s="19">
        <v>1.4166666666666667</v>
      </c>
      <c r="C64" s="19">
        <v>0.8833333333333333</v>
      </c>
      <c r="D64" s="26">
        <f t="shared" si="5"/>
        <v>2.2999999999999998</v>
      </c>
      <c r="E64" s="30">
        <f t="shared" si="6"/>
        <v>1.5502009789975127E-3</v>
      </c>
      <c r="F64" s="30">
        <f t="shared" si="7"/>
        <v>1.1711516619305011E-3</v>
      </c>
      <c r="G64" s="30">
        <f t="shared" si="8"/>
        <v>1.3788114645175867E-3</v>
      </c>
      <c r="H64" s="32">
        <f t="shared" si="9"/>
        <v>0.98016409854705244</v>
      </c>
    </row>
    <row r="65" spans="1:8" ht="15.6">
      <c r="A65" s="18" t="s">
        <v>192</v>
      </c>
      <c r="B65" s="19">
        <v>2.2250000000000001</v>
      </c>
      <c r="C65" s="19"/>
      <c r="D65" s="26">
        <f t="shared" si="5"/>
        <v>2.2250000000000001</v>
      </c>
      <c r="E65" s="30">
        <f t="shared" si="6"/>
        <v>2.434727419954917E-3</v>
      </c>
      <c r="F65" s="30">
        <f t="shared" si="7"/>
        <v>0</v>
      </c>
      <c r="G65" s="30">
        <f t="shared" si="8"/>
        <v>1.3338502211094048E-3</v>
      </c>
      <c r="H65" s="32">
        <f t="shared" si="9"/>
        <v>0.98149794876816188</v>
      </c>
    </row>
    <row r="66" spans="1:8" ht="15.6">
      <c r="A66" s="18" t="s">
        <v>193</v>
      </c>
      <c r="B66" s="19">
        <v>1.3333333333333333</v>
      </c>
      <c r="C66" s="19">
        <v>0.71</v>
      </c>
      <c r="D66" s="26">
        <f t="shared" ref="D66:D94" si="10">SUM(B66:C66)</f>
        <v>2.043333333333333</v>
      </c>
      <c r="E66" s="30">
        <f t="shared" ref="E66:E94" si="11">B66/$B$95</f>
        <v>1.4590126861153058E-3</v>
      </c>
      <c r="F66" s="30">
        <f t="shared" ref="F66:F94" si="12">C66/$C$95</f>
        <v>9.4134076977810089E-4</v>
      </c>
      <c r="G66" s="30">
        <f t="shared" ref="G66:G94" si="13">D66/$D$95</f>
        <v>1.2249440981873631E-3</v>
      </c>
      <c r="H66" s="32">
        <f t="shared" ref="H66:H94" si="14">G66+H65</f>
        <v>0.98272289286634928</v>
      </c>
    </row>
    <row r="67" spans="1:8" ht="15.6">
      <c r="A67" s="18" t="s">
        <v>194</v>
      </c>
      <c r="B67" s="19">
        <v>2</v>
      </c>
      <c r="C67" s="19"/>
      <c r="D67" s="26">
        <f t="shared" si="10"/>
        <v>2</v>
      </c>
      <c r="E67" s="30">
        <f t="shared" si="11"/>
        <v>2.1885190291729591E-3</v>
      </c>
      <c r="F67" s="30">
        <f t="shared" si="12"/>
        <v>0</v>
      </c>
      <c r="G67" s="30">
        <f t="shared" si="13"/>
        <v>1.198966490884858E-3</v>
      </c>
      <c r="H67" s="32">
        <f t="shared" si="14"/>
        <v>0.9839218593572342</v>
      </c>
    </row>
    <row r="68" spans="1:8" ht="15.6">
      <c r="A68" s="18" t="s">
        <v>195</v>
      </c>
      <c r="B68" s="19">
        <v>2</v>
      </c>
      <c r="C68" s="19"/>
      <c r="D68" s="26">
        <f t="shared" si="10"/>
        <v>2</v>
      </c>
      <c r="E68" s="30">
        <f t="shared" si="11"/>
        <v>2.1885190291729591E-3</v>
      </c>
      <c r="F68" s="30">
        <f t="shared" si="12"/>
        <v>0</v>
      </c>
      <c r="G68" s="30">
        <f t="shared" si="13"/>
        <v>1.198966490884858E-3</v>
      </c>
      <c r="H68" s="32">
        <f t="shared" si="14"/>
        <v>0.98512082584811911</v>
      </c>
    </row>
    <row r="69" spans="1:8" ht="15.6">
      <c r="A69" s="18" t="s">
        <v>196</v>
      </c>
      <c r="B69" s="19">
        <v>1.7666666666666668</v>
      </c>
      <c r="C69" s="19">
        <v>0.1</v>
      </c>
      <c r="D69" s="26">
        <f t="shared" si="10"/>
        <v>1.8666666666666669</v>
      </c>
      <c r="E69" s="30">
        <f t="shared" si="11"/>
        <v>1.9331918091027806E-3</v>
      </c>
      <c r="F69" s="30">
        <f t="shared" si="12"/>
        <v>1.3258320701100014E-4</v>
      </c>
      <c r="G69" s="30">
        <f t="shared" si="13"/>
        <v>1.1190353914925343E-3</v>
      </c>
      <c r="H69" s="32">
        <f t="shared" si="14"/>
        <v>0.9862398612396116</v>
      </c>
    </row>
    <row r="70" spans="1:8" ht="15.6">
      <c r="A70" s="18" t="s">
        <v>197</v>
      </c>
      <c r="B70" s="19">
        <v>1.8166666666666667</v>
      </c>
      <c r="C70" s="19"/>
      <c r="D70" s="26">
        <f t="shared" si="10"/>
        <v>1.8166666666666667</v>
      </c>
      <c r="E70" s="30">
        <f t="shared" si="11"/>
        <v>1.9879047848321042E-3</v>
      </c>
      <c r="F70" s="30">
        <f t="shared" si="12"/>
        <v>0</v>
      </c>
      <c r="G70" s="30">
        <f t="shared" si="13"/>
        <v>1.0890612292204127E-3</v>
      </c>
      <c r="H70" s="32">
        <f t="shared" si="14"/>
        <v>0.98732892246883197</v>
      </c>
    </row>
    <row r="71" spans="1:8" ht="15.6">
      <c r="A71" s="18" t="s">
        <v>198</v>
      </c>
      <c r="B71" s="19">
        <v>1.8</v>
      </c>
      <c r="C71" s="19"/>
      <c r="D71" s="26">
        <f t="shared" si="10"/>
        <v>1.8</v>
      </c>
      <c r="E71" s="30">
        <f t="shared" si="11"/>
        <v>1.9696671262556631E-3</v>
      </c>
      <c r="F71" s="30">
        <f t="shared" si="12"/>
        <v>0</v>
      </c>
      <c r="G71" s="30">
        <f t="shared" si="13"/>
        <v>1.0790698417963724E-3</v>
      </c>
      <c r="H71" s="32">
        <f t="shared" si="14"/>
        <v>0.98840799231062837</v>
      </c>
    </row>
    <row r="72" spans="1:8" ht="15.6">
      <c r="A72" s="18" t="s">
        <v>199</v>
      </c>
      <c r="B72" s="19"/>
      <c r="C72" s="19">
        <v>1.67</v>
      </c>
      <c r="D72" s="26">
        <f t="shared" si="10"/>
        <v>1.67</v>
      </c>
      <c r="E72" s="30">
        <f t="shared" si="11"/>
        <v>0</v>
      </c>
      <c r="F72" s="30">
        <f t="shared" si="12"/>
        <v>2.214139557083702E-3</v>
      </c>
      <c r="G72" s="30">
        <f t="shared" si="13"/>
        <v>1.0011370198888564E-3</v>
      </c>
      <c r="H72" s="32">
        <f t="shared" si="14"/>
        <v>0.98940912933051728</v>
      </c>
    </row>
    <row r="73" spans="1:8" ht="15.6">
      <c r="A73" s="18" t="s">
        <v>200</v>
      </c>
      <c r="B73" s="19">
        <v>1.5833333333333335</v>
      </c>
      <c r="C73" s="19"/>
      <c r="D73" s="26">
        <f t="shared" si="10"/>
        <v>1.5833333333333335</v>
      </c>
      <c r="E73" s="30">
        <f t="shared" si="11"/>
        <v>1.7325775647619259E-3</v>
      </c>
      <c r="F73" s="30">
        <f t="shared" si="12"/>
        <v>0</v>
      </c>
      <c r="G73" s="30">
        <f t="shared" si="13"/>
        <v>9.4918180528384612E-4</v>
      </c>
      <c r="H73" s="32">
        <f t="shared" si="14"/>
        <v>0.99035831113580108</v>
      </c>
    </row>
    <row r="74" spans="1:8" ht="15.6">
      <c r="A74" s="18" t="s">
        <v>201</v>
      </c>
      <c r="B74" s="19">
        <v>1.5249999999999999</v>
      </c>
      <c r="C74" s="19"/>
      <c r="D74" s="26">
        <f t="shared" si="10"/>
        <v>1.5249999999999999</v>
      </c>
      <c r="E74" s="30">
        <f t="shared" si="11"/>
        <v>1.668745759744381E-3</v>
      </c>
      <c r="F74" s="30">
        <f t="shared" si="12"/>
        <v>0</v>
      </c>
      <c r="G74" s="30">
        <f t="shared" si="13"/>
        <v>9.1421194929970423E-4</v>
      </c>
      <c r="H74" s="32">
        <f t="shared" si="14"/>
        <v>0.99127252308510083</v>
      </c>
    </row>
    <row r="75" spans="1:8" ht="15.6">
      <c r="A75" s="18" t="s">
        <v>202</v>
      </c>
      <c r="B75" s="19"/>
      <c r="C75" s="19">
        <v>1.4750000000000001</v>
      </c>
      <c r="D75" s="26">
        <f t="shared" si="10"/>
        <v>1.4750000000000001</v>
      </c>
      <c r="E75" s="30">
        <f t="shared" si="11"/>
        <v>0</v>
      </c>
      <c r="F75" s="30">
        <f t="shared" si="12"/>
        <v>1.9556023034122518E-3</v>
      </c>
      <c r="G75" s="30">
        <f t="shared" si="13"/>
        <v>8.8423778702758293E-4</v>
      </c>
      <c r="H75" s="32">
        <f t="shared" si="14"/>
        <v>0.99215676087212845</v>
      </c>
    </row>
    <row r="76" spans="1:8" ht="15.6">
      <c r="A76" s="18" t="s">
        <v>203</v>
      </c>
      <c r="B76" s="19">
        <v>0.5</v>
      </c>
      <c r="C76" s="19">
        <v>0.95833333333333326</v>
      </c>
      <c r="D76" s="26">
        <f t="shared" si="10"/>
        <v>1.4583333333333333</v>
      </c>
      <c r="E76" s="30">
        <f t="shared" si="11"/>
        <v>5.4712975729323977E-4</v>
      </c>
      <c r="F76" s="30">
        <f t="shared" si="12"/>
        <v>1.270589067188751E-3</v>
      </c>
      <c r="G76" s="30">
        <f t="shared" si="13"/>
        <v>8.7424639960354239E-4</v>
      </c>
      <c r="H76" s="32">
        <f t="shared" si="14"/>
        <v>0.99303100727173199</v>
      </c>
    </row>
    <row r="77" spans="1:8" ht="15.6">
      <c r="A77" s="18" t="s">
        <v>204</v>
      </c>
      <c r="B77" s="19">
        <v>1.4333333333333333</v>
      </c>
      <c r="C77" s="19"/>
      <c r="D77" s="26">
        <f t="shared" si="10"/>
        <v>1.4333333333333333</v>
      </c>
      <c r="E77" s="30">
        <f t="shared" si="11"/>
        <v>1.5684386375739538E-3</v>
      </c>
      <c r="F77" s="30">
        <f t="shared" si="12"/>
        <v>0</v>
      </c>
      <c r="G77" s="30">
        <f t="shared" si="13"/>
        <v>8.5925931846748168E-4</v>
      </c>
      <c r="H77" s="32">
        <f t="shared" si="14"/>
        <v>0.99389026659019952</v>
      </c>
    </row>
    <row r="78" spans="1:8" ht="15.6">
      <c r="A78" s="18" t="s">
        <v>205</v>
      </c>
      <c r="B78" s="19">
        <v>0.78333333333333333</v>
      </c>
      <c r="C78" s="19">
        <v>0.5</v>
      </c>
      <c r="D78" s="26">
        <f t="shared" si="10"/>
        <v>1.2833333333333332</v>
      </c>
      <c r="E78" s="30">
        <f t="shared" si="11"/>
        <v>8.5716995309274228E-4</v>
      </c>
      <c r="F78" s="30">
        <f t="shared" si="12"/>
        <v>6.6291603505500062E-4</v>
      </c>
      <c r="G78" s="30">
        <f t="shared" si="13"/>
        <v>7.6933683165111724E-4</v>
      </c>
      <c r="H78" s="32">
        <f t="shared" si="14"/>
        <v>0.99465960342185067</v>
      </c>
    </row>
    <row r="79" spans="1:8" ht="15.6">
      <c r="A79" s="18" t="s">
        <v>206</v>
      </c>
      <c r="B79" s="19">
        <v>0.98333333333333328</v>
      </c>
      <c r="C79" s="19"/>
      <c r="D79" s="26">
        <f t="shared" si="10"/>
        <v>0.98333333333333328</v>
      </c>
      <c r="E79" s="30">
        <f t="shared" si="11"/>
        <v>1.0760218560100382E-3</v>
      </c>
      <c r="F79" s="30">
        <f t="shared" si="12"/>
        <v>0</v>
      </c>
      <c r="G79" s="30">
        <f t="shared" si="13"/>
        <v>5.8949185801838858E-4</v>
      </c>
      <c r="H79" s="32">
        <f t="shared" si="14"/>
        <v>0.99524909527986904</v>
      </c>
    </row>
    <row r="80" spans="1:8" ht="15.6">
      <c r="A80" s="18" t="s">
        <v>207</v>
      </c>
      <c r="B80" s="19" t="s">
        <v>208</v>
      </c>
      <c r="C80" s="19">
        <v>0.95</v>
      </c>
      <c r="D80" s="26">
        <f t="shared" si="10"/>
        <v>0.95</v>
      </c>
      <c r="E80" s="30" t="e">
        <f t="shared" si="11"/>
        <v>#VALUE!</v>
      </c>
      <c r="F80" s="30">
        <f t="shared" si="12"/>
        <v>1.2595404666045011E-3</v>
      </c>
      <c r="G80" s="30">
        <f t="shared" si="13"/>
        <v>5.6950908317030761E-4</v>
      </c>
      <c r="H80" s="32">
        <f t="shared" si="14"/>
        <v>0.99581860436303937</v>
      </c>
    </row>
    <row r="81" spans="1:8" ht="15.6">
      <c r="A81" s="18" t="s">
        <v>209</v>
      </c>
      <c r="B81" s="19"/>
      <c r="C81" s="19">
        <v>0.93333333333333335</v>
      </c>
      <c r="D81" s="26">
        <f t="shared" si="10"/>
        <v>0.93333333333333335</v>
      </c>
      <c r="E81" s="30">
        <f t="shared" si="11"/>
        <v>0</v>
      </c>
      <c r="F81" s="30">
        <f t="shared" si="12"/>
        <v>1.2374432654360013E-3</v>
      </c>
      <c r="G81" s="30">
        <f t="shared" si="13"/>
        <v>5.5951769574626717E-4</v>
      </c>
      <c r="H81" s="32">
        <f t="shared" si="14"/>
        <v>0.99637812205878562</v>
      </c>
    </row>
    <row r="82" spans="1:8" ht="15.6">
      <c r="A82" s="18" t="s">
        <v>210</v>
      </c>
      <c r="B82" s="19"/>
      <c r="C82" s="19">
        <v>0.9</v>
      </c>
      <c r="D82" s="26">
        <f t="shared" si="10"/>
        <v>0.9</v>
      </c>
      <c r="E82" s="30">
        <f t="shared" si="11"/>
        <v>0</v>
      </c>
      <c r="F82" s="30">
        <f t="shared" si="12"/>
        <v>1.1932488630990012E-3</v>
      </c>
      <c r="G82" s="30">
        <f t="shared" si="13"/>
        <v>5.395349208981862E-4</v>
      </c>
      <c r="H82" s="32">
        <f t="shared" si="14"/>
        <v>0.99691765697968382</v>
      </c>
    </row>
    <row r="83" spans="1:8" ht="15.6">
      <c r="A83" s="18" t="s">
        <v>211</v>
      </c>
      <c r="B83" s="19">
        <v>0.3833333333333333</v>
      </c>
      <c r="C83" s="19">
        <v>0.375</v>
      </c>
      <c r="D83" s="26">
        <f t="shared" si="10"/>
        <v>0.7583333333333333</v>
      </c>
      <c r="E83" s="30">
        <f t="shared" si="11"/>
        <v>4.194661472581504E-4</v>
      </c>
      <c r="F83" s="30">
        <f t="shared" si="12"/>
        <v>4.9718702629125049E-4</v>
      </c>
      <c r="G83" s="30">
        <f t="shared" si="13"/>
        <v>4.5460812779384203E-4</v>
      </c>
      <c r="H83" s="32">
        <f t="shared" si="14"/>
        <v>0.99737226510747767</v>
      </c>
    </row>
    <row r="84" spans="1:8" ht="15.6">
      <c r="A84" s="18" t="s">
        <v>212</v>
      </c>
      <c r="B84" s="19">
        <v>0.71666666666666667</v>
      </c>
      <c r="C84" s="19"/>
      <c r="D84" s="26">
        <f t="shared" si="10"/>
        <v>0.71666666666666667</v>
      </c>
      <c r="E84" s="30">
        <f t="shared" si="11"/>
        <v>7.8421931878697691E-4</v>
      </c>
      <c r="F84" s="30">
        <f t="shared" si="12"/>
        <v>0</v>
      </c>
      <c r="G84" s="30">
        <f t="shared" si="13"/>
        <v>4.2962965923374084E-4</v>
      </c>
      <c r="H84" s="32">
        <f t="shared" si="14"/>
        <v>0.99780189476671144</v>
      </c>
    </row>
    <row r="85" spans="1:8" ht="15.6">
      <c r="A85" s="18" t="s">
        <v>213</v>
      </c>
      <c r="B85" s="19">
        <v>0.6166666666666667</v>
      </c>
      <c r="C85" s="19"/>
      <c r="D85" s="26">
        <f t="shared" si="10"/>
        <v>0.6166666666666667</v>
      </c>
      <c r="E85" s="30">
        <f t="shared" si="11"/>
        <v>6.7479336732832902E-4</v>
      </c>
      <c r="F85" s="30">
        <f t="shared" si="12"/>
        <v>0</v>
      </c>
      <c r="G85" s="30">
        <f t="shared" si="13"/>
        <v>3.6968133468949792E-4</v>
      </c>
      <c r="H85" s="32">
        <f t="shared" si="14"/>
        <v>0.99817157610140095</v>
      </c>
    </row>
    <row r="86" spans="1:8" ht="15.6">
      <c r="A86" s="18" t="s">
        <v>214</v>
      </c>
      <c r="B86" s="19">
        <v>0.51666666666666672</v>
      </c>
      <c r="C86" s="19"/>
      <c r="D86" s="26">
        <f t="shared" si="10"/>
        <v>0.51666666666666672</v>
      </c>
      <c r="E86" s="30">
        <f t="shared" si="11"/>
        <v>5.6536741586968114E-4</v>
      </c>
      <c r="F86" s="30">
        <f t="shared" si="12"/>
        <v>0</v>
      </c>
      <c r="G86" s="30">
        <f t="shared" si="13"/>
        <v>3.0973301014525505E-4</v>
      </c>
      <c r="H86" s="32">
        <f t="shared" si="14"/>
        <v>0.9984813091115462</v>
      </c>
    </row>
    <row r="87" spans="1:8" ht="15.6">
      <c r="A87" s="18" t="s">
        <v>215</v>
      </c>
      <c r="B87" s="19"/>
      <c r="C87" s="19">
        <v>0.51666666666666661</v>
      </c>
      <c r="D87" s="26">
        <f t="shared" si="10"/>
        <v>0.51666666666666661</v>
      </c>
      <c r="E87" s="30">
        <f t="shared" si="11"/>
        <v>0</v>
      </c>
      <c r="F87" s="30">
        <f t="shared" si="12"/>
        <v>6.8501323622350055E-4</v>
      </c>
      <c r="G87" s="30">
        <f t="shared" si="13"/>
        <v>3.0973301014525499E-4</v>
      </c>
      <c r="H87" s="32">
        <f t="shared" si="14"/>
        <v>0.99879104212169145</v>
      </c>
    </row>
    <row r="88" spans="1:8" ht="15.6">
      <c r="A88" s="18" t="s">
        <v>216</v>
      </c>
      <c r="B88" s="19">
        <v>0.46666666666666667</v>
      </c>
      <c r="C88" s="19"/>
      <c r="D88" s="26">
        <f t="shared" si="10"/>
        <v>0.46666666666666667</v>
      </c>
      <c r="E88" s="30">
        <f t="shared" si="11"/>
        <v>5.1065444014035714E-4</v>
      </c>
      <c r="F88" s="30">
        <f t="shared" si="12"/>
        <v>0</v>
      </c>
      <c r="G88" s="30">
        <f t="shared" si="13"/>
        <v>2.7975884787313359E-4</v>
      </c>
      <c r="H88" s="32">
        <f t="shared" si="14"/>
        <v>0.99907080096956458</v>
      </c>
    </row>
    <row r="89" spans="1:8" ht="15.6">
      <c r="A89" s="18" t="s">
        <v>217</v>
      </c>
      <c r="B89" s="19">
        <v>0.41666666666666669</v>
      </c>
      <c r="C89" s="19"/>
      <c r="D89" s="26">
        <f t="shared" si="10"/>
        <v>0.41666666666666669</v>
      </c>
      <c r="E89" s="30">
        <f t="shared" si="11"/>
        <v>4.5594146441103314E-4</v>
      </c>
      <c r="F89" s="30">
        <f t="shared" si="12"/>
        <v>0</v>
      </c>
      <c r="G89" s="30">
        <f t="shared" si="13"/>
        <v>2.4978468560101213E-4</v>
      </c>
      <c r="H89" s="32">
        <f t="shared" si="14"/>
        <v>0.99932058565516557</v>
      </c>
    </row>
    <row r="90" spans="1:8" ht="15.6">
      <c r="A90" s="18" t="s">
        <v>218</v>
      </c>
      <c r="B90" s="19">
        <v>0.36666666666666664</v>
      </c>
      <c r="C90" s="19"/>
      <c r="D90" s="26">
        <f t="shared" si="10"/>
        <v>0.36666666666666664</v>
      </c>
      <c r="E90" s="30">
        <f t="shared" si="11"/>
        <v>4.0122848868170909E-4</v>
      </c>
      <c r="F90" s="30">
        <f t="shared" si="12"/>
        <v>0</v>
      </c>
      <c r="G90" s="30">
        <f t="shared" si="13"/>
        <v>2.1981052332889064E-4</v>
      </c>
      <c r="H90" s="32">
        <f t="shared" si="14"/>
        <v>0.99954039617849444</v>
      </c>
    </row>
    <row r="91" spans="1:8" ht="15.6">
      <c r="A91" s="18" t="s">
        <v>219</v>
      </c>
      <c r="B91" s="19">
        <v>0.22500000000000001</v>
      </c>
      <c r="C91" s="19"/>
      <c r="D91" s="26">
        <f t="shared" si="10"/>
        <v>0.22500000000000001</v>
      </c>
      <c r="E91" s="30">
        <f t="shared" si="11"/>
        <v>2.4620839078195788E-4</v>
      </c>
      <c r="F91" s="30">
        <f t="shared" si="12"/>
        <v>0</v>
      </c>
      <c r="G91" s="30">
        <f t="shared" si="13"/>
        <v>1.3488373022454655E-4</v>
      </c>
      <c r="H91" s="32">
        <f t="shared" si="14"/>
        <v>0.99967527990871896</v>
      </c>
    </row>
    <row r="92" spans="1:8" ht="15.6">
      <c r="A92" s="18" t="s">
        <v>220</v>
      </c>
      <c r="B92" s="19">
        <v>0.2</v>
      </c>
      <c r="C92" s="19"/>
      <c r="D92" s="26">
        <f t="shared" si="10"/>
        <v>0.2</v>
      </c>
      <c r="E92" s="30">
        <f t="shared" si="11"/>
        <v>2.1885190291729591E-4</v>
      </c>
      <c r="F92" s="30">
        <f t="shared" si="12"/>
        <v>0</v>
      </c>
      <c r="G92" s="30">
        <f t="shared" si="13"/>
        <v>1.1989664908848582E-4</v>
      </c>
      <c r="H92" s="32">
        <f t="shared" si="14"/>
        <v>0.99979517655780747</v>
      </c>
    </row>
    <row r="93" spans="1:8" ht="15.6">
      <c r="A93" s="18" t="s">
        <v>221</v>
      </c>
      <c r="B93" s="19">
        <v>0.18333333333333332</v>
      </c>
      <c r="C93" s="19"/>
      <c r="D93" s="26">
        <f t="shared" si="10"/>
        <v>0.18333333333333332</v>
      </c>
      <c r="E93" s="30">
        <f t="shared" si="11"/>
        <v>2.0061424434085454E-4</v>
      </c>
      <c r="F93" s="30">
        <f t="shared" si="12"/>
        <v>0</v>
      </c>
      <c r="G93" s="30">
        <f t="shared" si="13"/>
        <v>1.0990526166444532E-4</v>
      </c>
      <c r="H93" s="32">
        <f t="shared" si="14"/>
        <v>0.99990508181947191</v>
      </c>
    </row>
    <row r="94" spans="1:8" ht="15.6">
      <c r="A94" s="18" t="s">
        <v>222</v>
      </c>
      <c r="B94" s="19">
        <v>0.15833333333333333</v>
      </c>
      <c r="C94" s="19"/>
      <c r="D94" s="26">
        <f t="shared" si="10"/>
        <v>0.15833333333333333</v>
      </c>
      <c r="E94" s="30">
        <f t="shared" si="11"/>
        <v>1.7325775647619257E-4</v>
      </c>
      <c r="F94" s="30">
        <f t="shared" si="12"/>
        <v>0</v>
      </c>
      <c r="G94" s="30">
        <f t="shared" si="13"/>
        <v>9.4918180528384601E-5</v>
      </c>
      <c r="H94" s="32">
        <f t="shared" si="14"/>
        <v>1.0000000000000002</v>
      </c>
    </row>
    <row r="95" spans="1:8">
      <c r="B95" s="26">
        <f>SUM(B2:B94)</f>
        <v>913.8599999999999</v>
      </c>
      <c r="C95" s="26">
        <f>SUM(C2:C94)</f>
        <v>754.24333333333254</v>
      </c>
      <c r="D95" s="26">
        <f>SUM(D2:D94)</f>
        <v>1668.1033333333321</v>
      </c>
    </row>
    <row r="97" spans="2:3">
      <c r="B97" s="29">
        <f>B95/D95</f>
        <v>0.54784375868001822</v>
      </c>
      <c r="C97" s="29">
        <f>C95/D95</f>
        <v>0.45215624131998206</v>
      </c>
    </row>
  </sheetData>
  <sortState xmlns:xlrd2="http://schemas.microsoft.com/office/spreadsheetml/2017/richdata2" ref="A5:D97">
    <sortCondition descending="1" ref="D5:D97"/>
  </sortState>
  <pageMargins left="0.70866141732283472" right="0.70866141732283472" top="0.74803149606299213" bottom="0.74803149606299213" header="0.31496062992125984" footer="0.31496062992125984"/>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5"/>
  <sheetViews>
    <sheetView zoomScale="80" zoomScaleNormal="80" workbookViewId="0">
      <selection activeCell="E21" sqref="E21"/>
    </sheetView>
  </sheetViews>
  <sheetFormatPr baseColWidth="10" defaultColWidth="11.44140625" defaultRowHeight="13.8"/>
  <cols>
    <col min="1" max="1" width="53.109375" style="25" bestFit="1" customWidth="1"/>
    <col min="2" max="2" width="15.6640625" style="25" customWidth="1"/>
    <col min="3" max="16384" width="11.44140625" style="25"/>
  </cols>
  <sheetData>
    <row r="1" spans="1:4">
      <c r="A1" s="27" t="s">
        <v>49</v>
      </c>
      <c r="B1" s="27" t="s">
        <v>223</v>
      </c>
      <c r="C1" s="27" t="s">
        <v>224</v>
      </c>
      <c r="D1" s="27" t="s">
        <v>225</v>
      </c>
    </row>
    <row r="2" spans="1:4" ht="15.6">
      <c r="A2" s="17" t="s">
        <v>119</v>
      </c>
      <c r="B2" s="19">
        <v>44.883333333333333</v>
      </c>
      <c r="C2" s="29">
        <f t="shared" ref="C2:C14" si="0">+B2/$B$15</f>
        <v>0.41045572321292501</v>
      </c>
      <c r="D2" s="31">
        <f>+C2</f>
        <v>0.41045572321292501</v>
      </c>
    </row>
    <row r="3" spans="1:4" ht="15.6">
      <c r="A3" s="17" t="s">
        <v>37</v>
      </c>
      <c r="B3" s="19">
        <v>24</v>
      </c>
      <c r="C3" s="29">
        <f t="shared" si="0"/>
        <v>0.21947873799725659</v>
      </c>
      <c r="D3" s="31">
        <f t="shared" ref="D3:D9" si="1">+D2+C3</f>
        <v>0.6299344612101816</v>
      </c>
    </row>
    <row r="4" spans="1:4" ht="15.6">
      <c r="A4" s="17" t="s">
        <v>226</v>
      </c>
      <c r="B4" s="19">
        <v>14.5</v>
      </c>
      <c r="C4" s="29">
        <f t="shared" si="0"/>
        <v>0.13260173754000917</v>
      </c>
      <c r="D4" s="31">
        <f t="shared" si="1"/>
        <v>0.76253619875019074</v>
      </c>
    </row>
    <row r="5" spans="1:4" ht="15.6">
      <c r="A5" s="17" t="s">
        <v>227</v>
      </c>
      <c r="B5" s="19">
        <v>7.3333333333333339</v>
      </c>
      <c r="C5" s="29">
        <f t="shared" si="0"/>
        <v>6.7062947721383964E-2</v>
      </c>
      <c r="D5" s="31">
        <f t="shared" si="1"/>
        <v>0.82959914647157473</v>
      </c>
    </row>
    <row r="6" spans="1:4" ht="15.6">
      <c r="A6" s="17" t="s">
        <v>228</v>
      </c>
      <c r="B6" s="19">
        <v>4.0833333333333339</v>
      </c>
      <c r="C6" s="29">
        <f t="shared" si="0"/>
        <v>3.73418686175888E-2</v>
      </c>
      <c r="D6" s="31">
        <f t="shared" si="1"/>
        <v>0.86694101508916355</v>
      </c>
    </row>
    <row r="7" spans="1:4" ht="15.6">
      <c r="A7" s="17" t="s">
        <v>229</v>
      </c>
      <c r="B7" s="19">
        <v>3.5</v>
      </c>
      <c r="C7" s="29">
        <f t="shared" si="0"/>
        <v>3.2007315957933255E-2</v>
      </c>
      <c r="D7" s="31">
        <f t="shared" si="1"/>
        <v>0.89894833104709682</v>
      </c>
    </row>
    <row r="8" spans="1:4" ht="15.6">
      <c r="A8" s="17" t="s">
        <v>230</v>
      </c>
      <c r="B8" s="19">
        <v>3.05</v>
      </c>
      <c r="C8" s="29">
        <f t="shared" si="0"/>
        <v>2.789208962048469E-2</v>
      </c>
      <c r="D8" s="31">
        <f t="shared" si="1"/>
        <v>0.92684042066758154</v>
      </c>
    </row>
    <row r="9" spans="1:4" ht="15.6">
      <c r="A9" s="17" t="s">
        <v>104</v>
      </c>
      <c r="B9" s="19">
        <v>1.8333333333333335</v>
      </c>
      <c r="C9" s="29">
        <f t="shared" si="0"/>
        <v>1.6765736930345991E-2</v>
      </c>
      <c r="D9" s="31">
        <f t="shared" si="1"/>
        <v>0.94360615759792754</v>
      </c>
    </row>
    <row r="10" spans="1:4" ht="15.6">
      <c r="A10" s="17" t="s">
        <v>107</v>
      </c>
      <c r="B10" s="19">
        <v>1.75</v>
      </c>
      <c r="C10" s="29">
        <f t="shared" si="0"/>
        <v>1.6003657978966628E-2</v>
      </c>
      <c r="D10" s="31">
        <f t="shared" ref="D10:D14" si="2">+D9+C10</f>
        <v>0.95960981557689418</v>
      </c>
    </row>
    <row r="11" spans="1:4" ht="15.6">
      <c r="A11" s="17" t="s">
        <v>231</v>
      </c>
      <c r="B11" s="19">
        <v>1.75</v>
      </c>
      <c r="C11" s="29">
        <f t="shared" si="0"/>
        <v>1.6003657978966628E-2</v>
      </c>
      <c r="D11" s="31">
        <f t="shared" si="2"/>
        <v>0.97561347355586081</v>
      </c>
    </row>
    <row r="12" spans="1:4" ht="15.6">
      <c r="A12" s="17" t="s">
        <v>232</v>
      </c>
      <c r="B12" s="19">
        <v>1.5833333333333335</v>
      </c>
      <c r="C12" s="29">
        <f t="shared" si="0"/>
        <v>1.44795000762079E-2</v>
      </c>
      <c r="D12" s="31">
        <f t="shared" si="2"/>
        <v>0.99009297363206872</v>
      </c>
    </row>
    <row r="13" spans="1:4" ht="15.6">
      <c r="A13" s="17" t="s">
        <v>233</v>
      </c>
      <c r="B13" s="19">
        <v>0.58333333333333337</v>
      </c>
      <c r="C13" s="29">
        <f t="shared" si="0"/>
        <v>5.3345526596555422E-3</v>
      </c>
      <c r="D13" s="31">
        <f t="shared" si="2"/>
        <v>0.99542752629172426</v>
      </c>
    </row>
    <row r="14" spans="1:4" ht="15.6">
      <c r="A14" s="17" t="s">
        <v>234</v>
      </c>
      <c r="B14" s="19">
        <v>0.5</v>
      </c>
      <c r="C14" s="29">
        <f t="shared" si="0"/>
        <v>4.5724737082761787E-3</v>
      </c>
      <c r="D14" s="31">
        <f t="shared" si="2"/>
        <v>1.0000000000000004</v>
      </c>
    </row>
    <row r="15" spans="1:4">
      <c r="B15" s="28">
        <f>SUM(B2:B14)</f>
        <v>109.34999999999997</v>
      </c>
    </row>
  </sheetData>
  <sortState xmlns:xlrd2="http://schemas.microsoft.com/office/spreadsheetml/2017/richdata2" ref="A2:B54">
    <sortCondition descending="1" ref="B2:B54"/>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I24"/>
  <sheetViews>
    <sheetView topLeftCell="I1" zoomScale="90" zoomScaleNormal="90" workbookViewId="0">
      <selection activeCell="B9" sqref="B9"/>
    </sheetView>
  </sheetViews>
  <sheetFormatPr baseColWidth="10" defaultColWidth="11.44140625" defaultRowHeight="14.4"/>
  <cols>
    <col min="4" max="4" width="10.6640625" customWidth="1"/>
    <col min="5" max="5" width="29.44140625" customWidth="1"/>
    <col min="7" max="7" width="13.33203125" customWidth="1"/>
    <col min="8" max="9" width="18.109375" customWidth="1"/>
    <col min="10" max="10" width="22" customWidth="1"/>
    <col min="11" max="11" width="18.44140625" customWidth="1"/>
  </cols>
  <sheetData>
    <row r="2" spans="1:9">
      <c r="A2" t="s">
        <v>235</v>
      </c>
      <c r="B2" t="s">
        <v>236</v>
      </c>
    </row>
    <row r="3" spans="1:9" ht="28.8">
      <c r="E3" s="39" t="s">
        <v>237</v>
      </c>
      <c r="F3" s="40" t="s">
        <v>238</v>
      </c>
      <c r="G3" s="40" t="s">
        <v>239</v>
      </c>
      <c r="H3" s="40" t="s">
        <v>240</v>
      </c>
    </row>
    <row r="4" spans="1:9" ht="15.6">
      <c r="A4" t="s">
        <v>241</v>
      </c>
      <c r="B4">
        <v>73.63</v>
      </c>
      <c r="E4" s="24" t="s">
        <v>227</v>
      </c>
      <c r="F4" s="19">
        <v>16.416666666666664</v>
      </c>
      <c r="G4" s="19">
        <v>16.416666666666664</v>
      </c>
      <c r="H4" s="14">
        <f>G4/$G$24</f>
        <v>0.25904010519395132</v>
      </c>
      <c r="I4" s="23">
        <f>H4</f>
        <v>0.25904010519395132</v>
      </c>
    </row>
    <row r="5" spans="1:9" ht="31.2">
      <c r="A5" t="s">
        <v>242</v>
      </c>
      <c r="B5">
        <v>637.20000000000005</v>
      </c>
      <c r="E5" s="24" t="s">
        <v>243</v>
      </c>
      <c r="F5" s="19">
        <v>11.25</v>
      </c>
      <c r="G5" s="19">
        <v>11.25</v>
      </c>
      <c r="H5" s="14">
        <f t="shared" ref="H5:H23" si="0">G5/$G$24</f>
        <v>0.1775147928994083</v>
      </c>
      <c r="I5" s="23">
        <f>I4+H5</f>
        <v>0.43655489809335962</v>
      </c>
    </row>
    <row r="6" spans="1:9" ht="15.6">
      <c r="A6" t="s">
        <v>244</v>
      </c>
      <c r="B6">
        <v>28.55</v>
      </c>
      <c r="E6" s="24" t="s">
        <v>245</v>
      </c>
      <c r="F6" s="19">
        <v>5.5</v>
      </c>
      <c r="G6" s="19">
        <v>5.5</v>
      </c>
      <c r="H6" s="14">
        <f t="shared" si="0"/>
        <v>8.6785009861932952E-2</v>
      </c>
      <c r="I6" s="23">
        <f t="shared" ref="I6:I22" si="1">I5+H6</f>
        <v>0.52333990795529262</v>
      </c>
    </row>
    <row r="7" spans="1:9" ht="15.6">
      <c r="E7" s="24" t="s">
        <v>107</v>
      </c>
      <c r="F7" s="19">
        <v>4.6666666666666661</v>
      </c>
      <c r="G7" s="19">
        <v>4.6666666666666661</v>
      </c>
      <c r="H7" s="14">
        <f t="shared" si="0"/>
        <v>7.3635765943458248E-2</v>
      </c>
      <c r="I7" s="23">
        <f t="shared" si="1"/>
        <v>0.59697567389875084</v>
      </c>
    </row>
    <row r="8" spans="1:9" ht="31.2">
      <c r="E8" s="24" t="s">
        <v>104</v>
      </c>
      <c r="F8" s="19">
        <v>4</v>
      </c>
      <c r="G8" s="19">
        <v>4</v>
      </c>
      <c r="H8" s="14">
        <f t="shared" si="0"/>
        <v>6.3116370808678504E-2</v>
      </c>
      <c r="I8" s="23">
        <f t="shared" si="1"/>
        <v>0.66009204470742933</v>
      </c>
    </row>
    <row r="9" spans="1:9" ht="15.6">
      <c r="B9" s="37">
        <f>B4/(B5-B6)</f>
        <v>0.12097264437689967</v>
      </c>
      <c r="E9" s="24" t="s">
        <v>246</v>
      </c>
      <c r="F9" s="19">
        <v>4</v>
      </c>
      <c r="G9" s="19">
        <v>4</v>
      </c>
      <c r="H9" s="14">
        <f t="shared" si="0"/>
        <v>6.3116370808678504E-2</v>
      </c>
      <c r="I9" s="23">
        <f t="shared" si="1"/>
        <v>0.72320841551610782</v>
      </c>
    </row>
    <row r="10" spans="1:9" ht="15.6">
      <c r="E10" s="24" t="s">
        <v>37</v>
      </c>
      <c r="F10" s="19">
        <v>2.666666666666667</v>
      </c>
      <c r="G10" s="19">
        <v>2.666666666666667</v>
      </c>
      <c r="H10" s="14">
        <f t="shared" si="0"/>
        <v>4.207758053911901E-2</v>
      </c>
      <c r="I10" s="23">
        <f t="shared" si="1"/>
        <v>0.76528599605522685</v>
      </c>
    </row>
    <row r="11" spans="1:9" ht="15.6">
      <c r="E11" s="24" t="s">
        <v>119</v>
      </c>
      <c r="F11" s="19">
        <v>2</v>
      </c>
      <c r="G11" s="19">
        <v>2</v>
      </c>
      <c r="H11" s="14">
        <f t="shared" si="0"/>
        <v>3.1558185404339252E-2</v>
      </c>
      <c r="I11" s="23">
        <f t="shared" si="1"/>
        <v>0.79684418145956615</v>
      </c>
    </row>
    <row r="12" spans="1:9" ht="15.6">
      <c r="E12" s="24" t="s">
        <v>247</v>
      </c>
      <c r="F12" s="19">
        <v>1.5</v>
      </c>
      <c r="G12" s="19">
        <v>1.5</v>
      </c>
      <c r="H12" s="14">
        <f t="shared" si="0"/>
        <v>2.3668639053254441E-2</v>
      </c>
      <c r="I12" s="23">
        <f t="shared" si="1"/>
        <v>0.8205128205128206</v>
      </c>
    </row>
    <row r="13" spans="1:9" ht="15.6">
      <c r="E13" s="24" t="s">
        <v>248</v>
      </c>
      <c r="F13" s="19">
        <v>1.5</v>
      </c>
      <c r="G13" s="19">
        <v>1.5</v>
      </c>
      <c r="H13" s="14">
        <f t="shared" si="0"/>
        <v>2.3668639053254441E-2</v>
      </c>
      <c r="I13" s="23">
        <f t="shared" si="1"/>
        <v>0.84418145956607504</v>
      </c>
    </row>
    <row r="14" spans="1:9" ht="15.6">
      <c r="E14" s="24" t="s">
        <v>249</v>
      </c>
      <c r="F14" s="19">
        <v>1.4166666666666667</v>
      </c>
      <c r="G14" s="19">
        <v>1.4166666666666667</v>
      </c>
      <c r="H14" s="14">
        <f t="shared" si="0"/>
        <v>2.2353714661406971E-2</v>
      </c>
      <c r="I14" s="23">
        <f t="shared" si="1"/>
        <v>0.86653517422748205</v>
      </c>
    </row>
    <row r="15" spans="1:9" ht="31.2">
      <c r="E15" s="24" t="s">
        <v>226</v>
      </c>
      <c r="F15" s="19">
        <v>1.3333333333333333</v>
      </c>
      <c r="G15" s="19">
        <v>1.3333333333333333</v>
      </c>
      <c r="H15" s="14">
        <f t="shared" si="0"/>
        <v>2.1038790269559501E-2</v>
      </c>
      <c r="I15" s="23">
        <f t="shared" si="1"/>
        <v>0.88757396449704151</v>
      </c>
    </row>
    <row r="16" spans="1:9" ht="15.6">
      <c r="E16" s="24" t="s">
        <v>219</v>
      </c>
      <c r="F16" s="19">
        <v>1.25</v>
      </c>
      <c r="G16" s="19">
        <v>1.25</v>
      </c>
      <c r="H16" s="14">
        <f t="shared" si="0"/>
        <v>1.9723865877712035E-2</v>
      </c>
      <c r="I16" s="23">
        <f t="shared" si="1"/>
        <v>0.90729783037475353</v>
      </c>
    </row>
    <row r="17" spans="5:9" ht="31.2">
      <c r="E17" s="24" t="s">
        <v>250</v>
      </c>
      <c r="F17" s="19">
        <v>1.1666666666666667</v>
      </c>
      <c r="G17" s="19">
        <v>1.1666666666666667</v>
      </c>
      <c r="H17" s="14">
        <f t="shared" si="0"/>
        <v>1.8408941485864565E-2</v>
      </c>
      <c r="I17" s="23">
        <f t="shared" si="1"/>
        <v>0.92570677186061812</v>
      </c>
    </row>
    <row r="18" spans="5:9" ht="15.6">
      <c r="E18" s="24" t="s">
        <v>40</v>
      </c>
      <c r="F18" s="19">
        <v>1.0833333333333333</v>
      </c>
      <c r="G18" s="19">
        <v>1.0833333333333333</v>
      </c>
      <c r="H18" s="14">
        <f t="shared" si="0"/>
        <v>1.7094017094017096E-2</v>
      </c>
      <c r="I18" s="23">
        <f t="shared" si="1"/>
        <v>0.94280078895463526</v>
      </c>
    </row>
    <row r="19" spans="5:9" ht="15.6">
      <c r="E19" s="24" t="s">
        <v>111</v>
      </c>
      <c r="F19" s="19">
        <v>1</v>
      </c>
      <c r="G19" s="19">
        <v>1</v>
      </c>
      <c r="H19" s="14">
        <f t="shared" si="0"/>
        <v>1.5779092702169626E-2</v>
      </c>
      <c r="I19" s="23">
        <f t="shared" si="1"/>
        <v>0.95857988165680486</v>
      </c>
    </row>
    <row r="20" spans="5:9" ht="31.2">
      <c r="E20" s="24" t="s">
        <v>232</v>
      </c>
      <c r="F20" s="19">
        <v>0.83333333333333337</v>
      </c>
      <c r="G20" s="19">
        <v>0.83333333333333337</v>
      </c>
      <c r="H20" s="14">
        <f t="shared" si="0"/>
        <v>1.314924391847469E-2</v>
      </c>
      <c r="I20" s="23">
        <f t="shared" si="1"/>
        <v>0.97172912557527957</v>
      </c>
    </row>
    <row r="21" spans="5:9" ht="15.6">
      <c r="E21" s="24" t="s">
        <v>100</v>
      </c>
      <c r="F21" s="19">
        <v>0.75</v>
      </c>
      <c r="G21" s="19">
        <v>0.75</v>
      </c>
      <c r="H21" s="14">
        <f t="shared" si="0"/>
        <v>1.183431952662722E-2</v>
      </c>
      <c r="I21" s="23">
        <f t="shared" si="1"/>
        <v>0.98356344510190674</v>
      </c>
    </row>
    <row r="22" spans="5:9" ht="15.6">
      <c r="E22" s="24" t="s">
        <v>39</v>
      </c>
      <c r="F22" s="19">
        <v>0.75</v>
      </c>
      <c r="G22" s="19">
        <v>0.75</v>
      </c>
      <c r="H22" s="14">
        <f t="shared" si="0"/>
        <v>1.183431952662722E-2</v>
      </c>
      <c r="I22" s="23">
        <f t="shared" si="1"/>
        <v>0.99539776462853391</v>
      </c>
    </row>
    <row r="23" spans="5:9" ht="15.6">
      <c r="E23" s="24" t="s">
        <v>251</v>
      </c>
      <c r="F23" s="19">
        <v>0.29166666666666669</v>
      </c>
      <c r="G23" s="19">
        <v>0.29166666666666669</v>
      </c>
      <c r="H23" s="14">
        <f t="shared" si="0"/>
        <v>4.6022353714661414E-3</v>
      </c>
      <c r="I23" s="23">
        <f>I22+H23</f>
        <v>1</v>
      </c>
    </row>
    <row r="24" spans="5:9" ht="15.6">
      <c r="E24" s="24"/>
      <c r="F24" s="35"/>
      <c r="G24" s="36">
        <f>SUM(G4:G23)</f>
        <v>63.374999999999993</v>
      </c>
      <c r="H24" s="37"/>
    </row>
  </sheetData>
  <dataValidations disablePrompts="1" count="1">
    <dataValidation type="list" allowBlank="1" showInputMessage="1" showErrorMessage="1" sqref="E4:E24" xr:uid="{00000000-0002-0000-0900-000000000000}">
      <formula1>EQUIPO</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FA5398B572DA004FBCD7AAC29D4FD093" ma:contentTypeVersion="16" ma:contentTypeDescription="Crear nuevo documento." ma:contentTypeScope="" ma:versionID="76a05d75f5b77673a6b6f4954f5099f6">
  <xsd:schema xmlns:xsd="http://www.w3.org/2001/XMLSchema" xmlns:xs="http://www.w3.org/2001/XMLSchema" xmlns:p="http://schemas.microsoft.com/office/2006/metadata/properties" xmlns:ns2="f9299f27-8f47-499d-9430-b92d14721907" xmlns:ns3="06e22ae0-d7b7-483c-814a-ed2be0301190" targetNamespace="http://schemas.microsoft.com/office/2006/metadata/properties" ma:root="true" ma:fieldsID="34d75f9c8fd2910a69760c3f4b6f8e21" ns2:_="" ns3:_="">
    <xsd:import namespace="f9299f27-8f47-499d-9430-b92d14721907"/>
    <xsd:import namespace="06e22ae0-d7b7-483c-814a-ed2be030119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OCR"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299f27-8f47-499d-9430-b92d147219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9c7536f9-bef7-4889-b465-744c342226e3"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6e22ae0-d7b7-483c-814a-ed2be0301190"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ef03576e-6993-4f66-ab7a-93991a6ae43e}" ma:internalName="TaxCatchAll" ma:showField="CatchAllData" ma:web="06e22ae0-d7b7-483c-814a-ed2be030119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9299f27-8f47-499d-9430-b92d14721907">
      <Terms xmlns="http://schemas.microsoft.com/office/infopath/2007/PartnerControls"/>
    </lcf76f155ced4ddcb4097134ff3c332f>
    <TaxCatchAll xmlns="06e22ae0-d7b7-483c-814a-ed2be0301190" xsi:nil="true"/>
  </documentManagement>
</p:properties>
</file>

<file path=customXml/item4.xml>��
</file>

<file path=customXml/itemProps1.xml><?xml version="1.0" encoding="utf-8"?>
<ds:datastoreItem xmlns:ds="http://schemas.openxmlformats.org/officeDocument/2006/customXml" ds:itemID="{D06E9B94-6864-40D4-B95B-4586D19858DB}">
  <ds:schemaRefs>
    <ds:schemaRef ds:uri="http://schemas.microsoft.com/sharepoint/v3/contenttype/forms"/>
  </ds:schemaRefs>
</ds:datastoreItem>
</file>

<file path=customXml/itemProps2.xml><?xml version="1.0" encoding="utf-8"?>
<ds:datastoreItem xmlns:ds="http://schemas.openxmlformats.org/officeDocument/2006/customXml" ds:itemID="{D71591B4-0D9C-400C-A032-AD054A790F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299f27-8f47-499d-9430-b92d14721907"/>
    <ds:schemaRef ds:uri="06e22ae0-d7b7-483c-814a-ed2be03011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37A5E5-3DD2-4EA7-94C7-969BF40105DB}">
  <ds:schemaRefs>
    <ds:schemaRef ds:uri="http://schemas.microsoft.com/office/2006/metadata/properties"/>
    <ds:schemaRef ds:uri="http://schemas.microsoft.com/office/infopath/2007/PartnerControls"/>
    <ds:schemaRef ds:uri="f9299f27-8f47-499d-9430-b92d14721907"/>
    <ds:schemaRef ds:uri="06e22ae0-d7b7-483c-814a-ed2be0301190"/>
  </ds:schemaRefs>
</ds:datastoreItem>
</file>

<file path=customXml/itemProps4.xml><?xml version="1.0" encoding="utf-8"?>
<ds:datastoreItem xmlns:ds="http://schemas.openxmlformats.org/officeDocument/2006/customXml" ds:itemID="{F0F0DD44-D1E6-4432-BAF6-C689211CC2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4</vt:i4>
      </vt:variant>
    </vt:vector>
  </HeadingPairs>
  <TitlesOfParts>
    <vt:vector size="16" baseType="lpstr">
      <vt:lpstr>Instructivo</vt:lpstr>
      <vt:lpstr>Resumen mensual y Gráficas</vt:lpstr>
      <vt:lpstr>Registrio Paros</vt:lpstr>
      <vt:lpstr>Detalle1</vt:lpstr>
      <vt:lpstr>Resumen general</vt:lpstr>
      <vt:lpstr>MTBF</vt:lpstr>
      <vt:lpstr>MTTR</vt:lpstr>
      <vt:lpstr>Análisis PNP por equipo</vt:lpstr>
      <vt:lpstr>Listas</vt:lpstr>
      <vt:lpstr>Pareto ago. 2017</vt:lpstr>
      <vt:lpstr>Pareto nov. 2017</vt:lpstr>
      <vt:lpstr>Pareto Mar.2018</vt:lpstr>
      <vt:lpstr>'Resumen mensual y Gráficas'!Área_de_impresión</vt:lpstr>
      <vt:lpstr>SECCION</vt:lpstr>
      <vt:lpstr>TIPO1</vt:lpstr>
      <vt:lpstr>TIPO2</vt:lpstr>
    </vt:vector>
  </TitlesOfParts>
  <Manager/>
  <Company>Luffi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Luffi</dc:creator>
  <cp:keywords/>
  <dc:description/>
  <cp:lastModifiedBy>Extractora Pajuil</cp:lastModifiedBy>
  <cp:revision/>
  <dcterms:created xsi:type="dcterms:W3CDTF">2014-08-01T19:33:43Z</dcterms:created>
  <dcterms:modified xsi:type="dcterms:W3CDTF">2026-07-02T16:37:51Z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0x010100FA5398B572DA004FBCD7AAC29D4FD093</vt:lpwstr>
  </property>
  <property fmtid="{D5CDD505-2E9C-101B-9397-08002B2CF9AE}" pid="3" name="AuthorIds_UIVersion_121344">
    <vt:lpwstr>159</vt:lpwstr>
  </property>
  <property fmtid="{D5CDD505-2E9C-101B-9397-08002B2CF9AE}" pid="4" name="MediaServiceImageTags">
    <vt:lpwstr/>
  </property>
</Properties>
</file>